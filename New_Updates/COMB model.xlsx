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MBEON\script\backend\New_Updates\"/>
    </mc:Choice>
  </mc:AlternateContent>
  <xr:revisionPtr revIDLastSave="0" documentId="13_ncr:1_{66042916-0CEB-4F51-A00D-C078860DFB6A}" xr6:coauthVersionLast="47" xr6:coauthVersionMax="47" xr10:uidLastSave="{00000000-0000-0000-0000-000000000000}"/>
  <bookViews>
    <workbookView xWindow="-108" yWindow="-108" windowWidth="23256" windowHeight="12456" firstSheet="1" activeTab="2" xr2:uid="{93A02624-0DC0-4080-9159-B3C756B21157}"/>
  </bookViews>
  <sheets>
    <sheet name="FS (2)" sheetId="8" state="hidden" r:id="rId1"/>
    <sheet name="Cover" sheetId="4" r:id="rId2"/>
    <sheet name="FS" sheetId="2" r:id="rId3"/>
    <sheet name="Valuation" sheetId="12" r:id="rId4"/>
    <sheet name="Drivers" sheetId="6" r:id="rId5"/>
    <sheet name="Ratios" sheetId="11" r:id="rId6"/>
    <sheet name="more Breakups" sheetId="7" r:id="rId7"/>
    <sheet name="COMB N" sheetId="1" r:id="rId8"/>
    <sheet name="charts 1" sheetId="13" r:id="rId9"/>
    <sheet name="chart 2" sheetId="14" r:id="rId10"/>
    <sheet name="Price volume" sheetId="3" r:id="rId11"/>
    <sheet name="Quarterly" sheetId="9" r:id="rId12"/>
    <sheet name="Sheet1" sheetId="10" r:id="rId13"/>
  </sheets>
  <definedNames>
    <definedName name="_xlnm.Print_Area" localSheetId="4">Drivers!$A$107:$H$520</definedName>
    <definedName name="_xlnm.Print_Area" localSheetId="2">FS!$A$1:$S$133</definedName>
    <definedName name="_xlnm.Print_Titles" localSheetId="4">Drivers!$4:$4</definedName>
    <definedName name="_xlnm.Print_Titles" localSheetId="2">FS!$4:$4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2" i="2" l="1"/>
  <c r="M16" i="13"/>
  <c r="N16" i="13"/>
  <c r="H595" i="6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03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26" i="14"/>
  <c r="E416" i="14"/>
  <c r="S9" i="13"/>
  <c r="Q7" i="13"/>
  <c r="D56" i="13"/>
  <c r="E56" i="13"/>
  <c r="T9" i="13" s="1"/>
  <c r="C56" i="13"/>
  <c r="R9" i="13" s="1"/>
  <c r="D31" i="13"/>
  <c r="S8" i="13" s="1"/>
  <c r="E31" i="13"/>
  <c r="T8" i="13" s="1"/>
  <c r="C31" i="13"/>
  <c r="R8" i="13" s="1"/>
  <c r="N31" i="13"/>
  <c r="N30" i="13"/>
  <c r="N29" i="13"/>
  <c r="N14" i="13"/>
  <c r="M14" i="13"/>
  <c r="N9" i="13"/>
  <c r="M9" i="13"/>
  <c r="N8" i="13"/>
  <c r="M8" i="13"/>
  <c r="N24" i="13"/>
  <c r="M24" i="13"/>
  <c r="G17" i="11"/>
  <c r="H17" i="11"/>
  <c r="F17" i="11"/>
  <c r="N18" i="13"/>
  <c r="M18" i="13"/>
  <c r="M11" i="13" s="1"/>
  <c r="C286" i="14"/>
  <c r="C266" i="14"/>
  <c r="J85" i="7"/>
  <c r="J86" i="7"/>
  <c r="J87" i="7"/>
  <c r="J88" i="7"/>
  <c r="J89" i="7"/>
  <c r="J90" i="7"/>
  <c r="J91" i="7"/>
  <c r="J92" i="7"/>
  <c r="J84" i="7"/>
  <c r="D191" i="14"/>
  <c r="E186" i="14"/>
  <c r="E187" i="14"/>
  <c r="E188" i="14"/>
  <c r="E189" i="14"/>
  <c r="E190" i="14"/>
  <c r="E185" i="14"/>
  <c r="E177" i="14"/>
  <c r="E178" i="14"/>
  <c r="E179" i="14"/>
  <c r="E180" i="14"/>
  <c r="E181" i="14"/>
  <c r="E176" i="14"/>
  <c r="E168" i="14"/>
  <c r="E169" i="14"/>
  <c r="E170" i="14"/>
  <c r="E171" i="14"/>
  <c r="E172" i="14"/>
  <c r="E167" i="14"/>
  <c r="J88" i="2"/>
  <c r="K88" i="2" s="1"/>
  <c r="D20" i="11"/>
  <c r="E20" i="11"/>
  <c r="F20" i="11"/>
  <c r="G20" i="11"/>
  <c r="H20" i="11"/>
  <c r="C20" i="11"/>
  <c r="P92" i="2"/>
  <c r="D15" i="11"/>
  <c r="E15" i="11"/>
  <c r="F15" i="11"/>
  <c r="G15" i="11"/>
  <c r="H15" i="11"/>
  <c r="C15" i="11"/>
  <c r="D14" i="11"/>
  <c r="E14" i="11"/>
  <c r="F14" i="11"/>
  <c r="G14" i="11"/>
  <c r="H14" i="11"/>
  <c r="C14" i="11"/>
  <c r="J87" i="2"/>
  <c r="D16" i="11"/>
  <c r="E16" i="11"/>
  <c r="F16" i="11"/>
  <c r="G16" i="11"/>
  <c r="H16" i="11"/>
  <c r="C16" i="11"/>
  <c r="D7" i="11"/>
  <c r="E7" i="11"/>
  <c r="F7" i="11"/>
  <c r="G7" i="11"/>
  <c r="H7" i="11"/>
  <c r="C7" i="11"/>
  <c r="D13" i="11"/>
  <c r="E13" i="11"/>
  <c r="F13" i="11"/>
  <c r="G13" i="11"/>
  <c r="H13" i="11"/>
  <c r="C13" i="11"/>
  <c r="L88" i="2" l="1"/>
  <c r="M88" i="2" s="1"/>
  <c r="K87" i="2"/>
  <c r="L87" i="2" s="1"/>
  <c r="M87" i="2" s="1"/>
  <c r="M5" i="13"/>
  <c r="M4" i="13"/>
  <c r="N11" i="13"/>
  <c r="N4" i="13"/>
  <c r="N5" i="13"/>
  <c r="J36" i="2"/>
  <c r="M6" i="13" l="1"/>
  <c r="N6" i="13"/>
  <c r="H10" i="11" l="1"/>
  <c r="T10" i="13" s="1"/>
  <c r="G10" i="11"/>
  <c r="S10" i="13" s="1"/>
  <c r="F10" i="11"/>
  <c r="R10" i="13" s="1"/>
  <c r="E10" i="11"/>
  <c r="D10" i="11"/>
  <c r="C10" i="11"/>
  <c r="H12" i="11"/>
  <c r="T12" i="13" s="1"/>
  <c r="G12" i="11"/>
  <c r="S12" i="13" s="1"/>
  <c r="F12" i="11"/>
  <c r="R12" i="13" s="1"/>
  <c r="E12" i="11"/>
  <c r="D12" i="11"/>
  <c r="C12" i="11"/>
  <c r="H11" i="11"/>
  <c r="T11" i="13" s="1"/>
  <c r="G11" i="11"/>
  <c r="S11" i="13" s="1"/>
  <c r="F11" i="11"/>
  <c r="R11" i="13" s="1"/>
  <c r="E11" i="11"/>
  <c r="D11" i="11"/>
  <c r="C11" i="11"/>
  <c r="E130" i="14"/>
  <c r="F130" i="14"/>
  <c r="G130" i="14"/>
  <c r="H130" i="14"/>
  <c r="I130" i="14"/>
  <c r="J130" i="14"/>
  <c r="F129" i="14"/>
  <c r="G129" i="14"/>
  <c r="H129" i="14"/>
  <c r="I129" i="14"/>
  <c r="J129" i="14"/>
  <c r="E129" i="14"/>
  <c r="D130" i="14"/>
  <c r="L9" i="11"/>
  <c r="K9" i="11"/>
  <c r="J9" i="11"/>
  <c r="I9" i="11"/>
  <c r="C9" i="11"/>
  <c r="D9" i="11"/>
  <c r="E9" i="11"/>
  <c r="F9" i="11"/>
  <c r="G9" i="11"/>
  <c r="H9" i="11"/>
  <c r="C337" i="6"/>
  <c r="F114" i="14"/>
  <c r="F113" i="14"/>
  <c r="F112" i="14"/>
  <c r="F111" i="14"/>
  <c r="F110" i="14"/>
  <c r="F109" i="14"/>
  <c r="F94" i="14"/>
  <c r="F93" i="14"/>
  <c r="F92" i="14"/>
  <c r="F91" i="14"/>
  <c r="N28" i="14" l="1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27" i="14"/>
  <c r="E6" i="14" l="1"/>
  <c r="F6" i="14"/>
  <c r="G6" i="14"/>
  <c r="D6" i="14"/>
  <c r="E5" i="14"/>
  <c r="F5" i="14"/>
  <c r="G5" i="14"/>
  <c r="I4" i="14"/>
  <c r="J4" i="14"/>
  <c r="K4" i="14"/>
  <c r="H4" i="14"/>
  <c r="E4" i="14"/>
  <c r="F4" i="14" s="1"/>
  <c r="G4" i="14" s="1"/>
  <c r="D5" i="14"/>
  <c r="B121" i="12"/>
  <c r="B16" i="12"/>
  <c r="D55" i="13"/>
  <c r="E55" i="13"/>
  <c r="C55" i="13"/>
  <c r="D54" i="13"/>
  <c r="E54" i="13"/>
  <c r="C54" i="13"/>
  <c r="D52" i="13"/>
  <c r="E52" i="13"/>
  <c r="D53" i="13"/>
  <c r="E53" i="13"/>
  <c r="C53" i="13"/>
  <c r="C52" i="13"/>
  <c r="D46" i="13"/>
  <c r="E46" i="13"/>
  <c r="D47" i="13"/>
  <c r="E47" i="13"/>
  <c r="D48" i="13"/>
  <c r="E48" i="13"/>
  <c r="D49" i="13"/>
  <c r="E49" i="13"/>
  <c r="C48" i="13"/>
  <c r="C47" i="13"/>
  <c r="D50" i="13"/>
  <c r="E50" i="13"/>
  <c r="C50" i="13"/>
  <c r="C49" i="13"/>
  <c r="C46" i="13"/>
  <c r="D44" i="13"/>
  <c r="S7" i="13" s="1"/>
  <c r="E44" i="13"/>
  <c r="T7" i="13" s="1"/>
  <c r="C44" i="13"/>
  <c r="R7" i="13" s="1"/>
  <c r="D43" i="13"/>
  <c r="E43" i="13"/>
  <c r="C43" i="13"/>
  <c r="D42" i="13"/>
  <c r="E42" i="13"/>
  <c r="C42" i="13"/>
  <c r="D41" i="13"/>
  <c r="E41" i="13"/>
  <c r="C41" i="13"/>
  <c r="D38" i="13"/>
  <c r="S6" i="13" s="1"/>
  <c r="E38" i="13"/>
  <c r="T6" i="13" s="1"/>
  <c r="C38" i="13"/>
  <c r="R6" i="13" s="1"/>
  <c r="C40" i="13"/>
  <c r="D40" i="13"/>
  <c r="E40" i="13"/>
  <c r="D37" i="13"/>
  <c r="E37" i="13"/>
  <c r="D39" i="13"/>
  <c r="E39" i="13"/>
  <c r="C39" i="13"/>
  <c r="C37" i="13"/>
  <c r="D36" i="13"/>
  <c r="E36" i="13"/>
  <c r="C36" i="13"/>
  <c r="D35" i="13"/>
  <c r="E35" i="13"/>
  <c r="C35" i="13"/>
  <c r="C4" i="13"/>
  <c r="D4" i="13"/>
  <c r="E4" i="13"/>
  <c r="C5" i="13"/>
  <c r="D5" i="13"/>
  <c r="E5" i="13"/>
  <c r="C6" i="13"/>
  <c r="R4" i="13" s="1"/>
  <c r="D6" i="13"/>
  <c r="S4" i="13" s="1"/>
  <c r="E6" i="13"/>
  <c r="T4" i="13" s="1"/>
  <c r="C7" i="13"/>
  <c r="D7" i="13"/>
  <c r="E7" i="13"/>
  <c r="C8" i="13"/>
  <c r="D8" i="13"/>
  <c r="E8" i="13"/>
  <c r="C9" i="13"/>
  <c r="D9" i="13"/>
  <c r="E9" i="13"/>
  <c r="C10" i="13"/>
  <c r="D10" i="13"/>
  <c r="E10" i="13"/>
  <c r="C11" i="13"/>
  <c r="D11" i="13"/>
  <c r="E11" i="13"/>
  <c r="C12" i="13"/>
  <c r="D12" i="13"/>
  <c r="E12" i="13"/>
  <c r="C13" i="13"/>
  <c r="D13" i="13"/>
  <c r="E13" i="13"/>
  <c r="C14" i="13"/>
  <c r="D14" i="13"/>
  <c r="E14" i="13"/>
  <c r="C15" i="13"/>
  <c r="D15" i="13"/>
  <c r="E15" i="13"/>
  <c r="C17" i="13"/>
  <c r="D17" i="13"/>
  <c r="E17" i="13"/>
  <c r="C18" i="13"/>
  <c r="D18" i="13"/>
  <c r="E18" i="13"/>
  <c r="C19" i="13"/>
  <c r="D19" i="13"/>
  <c r="E19" i="13"/>
  <c r="C20" i="13"/>
  <c r="D20" i="13"/>
  <c r="E20" i="13"/>
  <c r="C21" i="13"/>
  <c r="D21" i="13"/>
  <c r="E21" i="13"/>
  <c r="C22" i="13"/>
  <c r="D22" i="13"/>
  <c r="E22" i="13"/>
  <c r="C23" i="13"/>
  <c r="D23" i="13"/>
  <c r="E23" i="13"/>
  <c r="C24" i="13"/>
  <c r="D24" i="13"/>
  <c r="E24" i="13"/>
  <c r="C25" i="13"/>
  <c r="D25" i="13"/>
  <c r="E25" i="13"/>
  <c r="C26" i="13"/>
  <c r="D26" i="13"/>
  <c r="E26" i="13"/>
  <c r="C27" i="13"/>
  <c r="D27" i="13"/>
  <c r="E27" i="13"/>
  <c r="C28" i="13"/>
  <c r="D28" i="13"/>
  <c r="E28" i="13"/>
  <c r="C29" i="13"/>
  <c r="D29" i="13"/>
  <c r="E29" i="13"/>
  <c r="C30" i="13"/>
  <c r="R5" i="13" s="1"/>
  <c r="D30" i="13"/>
  <c r="S5" i="13" s="1"/>
  <c r="E30" i="13"/>
  <c r="T5" i="13" s="1"/>
  <c r="D3" i="13"/>
  <c r="S3" i="13" s="1"/>
  <c r="E3" i="13"/>
  <c r="T3" i="13" s="1"/>
  <c r="C3" i="13"/>
  <c r="R3" i="13" s="1"/>
  <c r="H2" i="13"/>
  <c r="H33" i="13" s="1"/>
  <c r="W2" i="13" s="1"/>
  <c r="D2" i="13"/>
  <c r="D33" i="13" s="1"/>
  <c r="S2" i="13" s="1"/>
  <c r="E2" i="13"/>
  <c r="E33" i="13" s="1"/>
  <c r="T2" i="13" s="1"/>
  <c r="F2" i="13"/>
  <c r="F33" i="13" s="1"/>
  <c r="U2" i="13" s="1"/>
  <c r="G2" i="13"/>
  <c r="G33" i="13" s="1"/>
  <c r="V2" i="13" s="1"/>
  <c r="C2" i="13"/>
  <c r="C33" i="13" s="1"/>
  <c r="R2" i="13" s="1"/>
  <c r="B30" i="13"/>
  <c r="B27" i="13"/>
  <c r="Q5" i="13" s="1"/>
  <c r="B28" i="13"/>
  <c r="B29" i="13"/>
  <c r="B25" i="13"/>
  <c r="B26" i="13"/>
  <c r="B4" i="13"/>
  <c r="B5" i="13"/>
  <c r="B6" i="13"/>
  <c r="Q4" i="13" s="1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3" i="13"/>
  <c r="C78" i="12"/>
  <c r="B78" i="12"/>
  <c r="B53" i="12"/>
  <c r="N15" i="13" l="1"/>
  <c r="M15" i="13"/>
  <c r="N12" i="13"/>
  <c r="M12" i="13"/>
  <c r="B116" i="12"/>
  <c r="B81" i="12"/>
  <c r="B82" i="12" s="1"/>
  <c r="J586" i="6"/>
  <c r="K586" i="6"/>
  <c r="L586" i="6"/>
  <c r="B47" i="12"/>
  <c r="I93" i="2" l="1"/>
  <c r="C8" i="11"/>
  <c r="D8" i="11"/>
  <c r="E8" i="11"/>
  <c r="F8" i="11"/>
  <c r="G8" i="11"/>
  <c r="H8" i="11"/>
  <c r="I48" i="7" l="1"/>
  <c r="I49" i="7"/>
  <c r="I50" i="7"/>
  <c r="I51" i="7"/>
  <c r="I52" i="7"/>
  <c r="I53" i="7"/>
  <c r="I54" i="7"/>
  <c r="I55" i="7"/>
  <c r="I56" i="7"/>
  <c r="I58" i="7"/>
  <c r="I59" i="7"/>
  <c r="I60" i="7"/>
  <c r="I61" i="7"/>
  <c r="I62" i="7"/>
  <c r="I57" i="7"/>
  <c r="AJ1123" i="3"/>
  <c r="AJ1124" i="3"/>
  <c r="AJ1125" i="3"/>
  <c r="AJ1126" i="3"/>
  <c r="AJ1127" i="3"/>
  <c r="AJ1128" i="3"/>
  <c r="AJ1129" i="3"/>
  <c r="AJ1130" i="3"/>
  <c r="AJ1131" i="3"/>
  <c r="AJ1132" i="3"/>
  <c r="AJ1133" i="3"/>
  <c r="AJ1134" i="3"/>
  <c r="AJ1135" i="3"/>
  <c r="AJ1136" i="3"/>
  <c r="AJ1137" i="3"/>
  <c r="AJ1138" i="3"/>
  <c r="AJ1139" i="3"/>
  <c r="AJ1140" i="3"/>
  <c r="AJ1141" i="3"/>
  <c r="AJ1142" i="3"/>
  <c r="AJ1143" i="3"/>
  <c r="AJ1144" i="3"/>
  <c r="AJ1145" i="3"/>
  <c r="AJ1146" i="3"/>
  <c r="AJ1147" i="3"/>
  <c r="AJ1148" i="3"/>
  <c r="AJ1149" i="3"/>
  <c r="AJ1150" i="3"/>
  <c r="AJ1151" i="3"/>
  <c r="AJ1152" i="3"/>
  <c r="AJ1153" i="3"/>
  <c r="AJ1154" i="3"/>
  <c r="AJ1155" i="3"/>
  <c r="AJ1156" i="3"/>
  <c r="AJ1157" i="3"/>
  <c r="AJ1158" i="3"/>
  <c r="AJ1159" i="3"/>
  <c r="AJ1160" i="3"/>
  <c r="AJ1161" i="3"/>
  <c r="AJ1162" i="3"/>
  <c r="AJ1163" i="3"/>
  <c r="AJ1164" i="3"/>
  <c r="AJ1165" i="3"/>
  <c r="AJ1166" i="3"/>
  <c r="AJ1167" i="3"/>
  <c r="AJ1168" i="3"/>
  <c r="AJ1169" i="3"/>
  <c r="AJ1170" i="3"/>
  <c r="AJ1171" i="3"/>
  <c r="AJ1172" i="3"/>
  <c r="AJ1173" i="3"/>
  <c r="AJ1174" i="3"/>
  <c r="AJ1175" i="3"/>
  <c r="AJ1102" i="3"/>
  <c r="AJ1103" i="3"/>
  <c r="AJ1104" i="3"/>
  <c r="AJ1105" i="3"/>
  <c r="AJ1106" i="3"/>
  <c r="AJ1107" i="3"/>
  <c r="AJ1108" i="3"/>
  <c r="AJ1109" i="3"/>
  <c r="AJ1110" i="3"/>
  <c r="AJ1111" i="3"/>
  <c r="AJ1112" i="3"/>
  <c r="AJ1113" i="3"/>
  <c r="AJ1114" i="3"/>
  <c r="AJ1115" i="3"/>
  <c r="AJ1116" i="3"/>
  <c r="AJ1117" i="3"/>
  <c r="AJ1118" i="3"/>
  <c r="AJ1119" i="3"/>
  <c r="AJ1120" i="3"/>
  <c r="AJ1121" i="3"/>
  <c r="AJ1122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J850" i="3"/>
  <c r="AJ851" i="3"/>
  <c r="AJ852" i="3"/>
  <c r="AJ853" i="3"/>
  <c r="AJ854" i="3"/>
  <c r="AJ855" i="3"/>
  <c r="AJ856" i="3"/>
  <c r="AJ857" i="3"/>
  <c r="AJ858" i="3"/>
  <c r="AJ859" i="3"/>
  <c r="AJ860" i="3"/>
  <c r="AJ861" i="3"/>
  <c r="AJ862" i="3"/>
  <c r="AJ863" i="3"/>
  <c r="AJ864" i="3"/>
  <c r="AJ865" i="3"/>
  <c r="AJ866" i="3"/>
  <c r="AJ867" i="3"/>
  <c r="AJ868" i="3"/>
  <c r="AJ869" i="3"/>
  <c r="AJ870" i="3"/>
  <c r="AJ871" i="3"/>
  <c r="AJ872" i="3"/>
  <c r="AJ873" i="3"/>
  <c r="AJ874" i="3"/>
  <c r="AJ875" i="3"/>
  <c r="AJ876" i="3"/>
  <c r="AJ877" i="3"/>
  <c r="AJ878" i="3"/>
  <c r="AJ879" i="3"/>
  <c r="AJ880" i="3"/>
  <c r="AJ881" i="3"/>
  <c r="AJ882" i="3"/>
  <c r="AJ883" i="3"/>
  <c r="AJ884" i="3"/>
  <c r="AJ885" i="3"/>
  <c r="AJ886" i="3"/>
  <c r="AJ887" i="3"/>
  <c r="AJ888" i="3"/>
  <c r="AJ889" i="3"/>
  <c r="AJ890" i="3"/>
  <c r="AJ891" i="3"/>
  <c r="AJ892" i="3"/>
  <c r="AJ893" i="3"/>
  <c r="AJ894" i="3"/>
  <c r="AJ895" i="3"/>
  <c r="AJ896" i="3"/>
  <c r="AJ897" i="3"/>
  <c r="AJ898" i="3"/>
  <c r="AJ899" i="3"/>
  <c r="AJ900" i="3"/>
  <c r="AJ901" i="3"/>
  <c r="AJ902" i="3"/>
  <c r="AJ903" i="3"/>
  <c r="AJ904" i="3"/>
  <c r="AJ905" i="3"/>
  <c r="AJ906" i="3"/>
  <c r="AJ907" i="3"/>
  <c r="AJ908" i="3"/>
  <c r="AJ909" i="3"/>
  <c r="AJ910" i="3"/>
  <c r="AJ911" i="3"/>
  <c r="AJ912" i="3"/>
  <c r="AJ913" i="3"/>
  <c r="AJ914" i="3"/>
  <c r="AJ915" i="3"/>
  <c r="AJ916" i="3"/>
  <c r="AJ917" i="3"/>
  <c r="AJ918" i="3"/>
  <c r="AJ919" i="3"/>
  <c r="AJ920" i="3"/>
  <c r="AJ921" i="3"/>
  <c r="AJ922" i="3"/>
  <c r="AJ923" i="3"/>
  <c r="AJ924" i="3"/>
  <c r="AJ925" i="3"/>
  <c r="AJ926" i="3"/>
  <c r="AJ927" i="3"/>
  <c r="AJ928" i="3"/>
  <c r="AJ929" i="3"/>
  <c r="AJ930" i="3"/>
  <c r="AJ931" i="3"/>
  <c r="AJ932" i="3"/>
  <c r="AJ933" i="3"/>
  <c r="AJ934" i="3"/>
  <c r="AJ935" i="3"/>
  <c r="AJ936" i="3"/>
  <c r="AJ937" i="3"/>
  <c r="AJ938" i="3"/>
  <c r="AJ939" i="3"/>
  <c r="AJ940" i="3"/>
  <c r="AJ941" i="3"/>
  <c r="AJ942" i="3"/>
  <c r="AJ943" i="3"/>
  <c r="AJ944" i="3"/>
  <c r="AJ945" i="3"/>
  <c r="AJ946" i="3"/>
  <c r="AJ947" i="3"/>
  <c r="AJ948" i="3"/>
  <c r="AJ949" i="3"/>
  <c r="AJ950" i="3"/>
  <c r="AJ951" i="3"/>
  <c r="AJ952" i="3"/>
  <c r="AJ953" i="3"/>
  <c r="AJ954" i="3"/>
  <c r="AJ955" i="3"/>
  <c r="AJ956" i="3"/>
  <c r="AJ957" i="3"/>
  <c r="AJ958" i="3"/>
  <c r="AJ959" i="3"/>
  <c r="AJ960" i="3"/>
  <c r="AJ961" i="3"/>
  <c r="AJ962" i="3"/>
  <c r="AJ963" i="3"/>
  <c r="AJ964" i="3"/>
  <c r="AJ965" i="3"/>
  <c r="AJ966" i="3"/>
  <c r="AJ967" i="3"/>
  <c r="AJ968" i="3"/>
  <c r="AJ969" i="3"/>
  <c r="AJ970" i="3"/>
  <c r="AJ971" i="3"/>
  <c r="AJ972" i="3"/>
  <c r="AJ973" i="3"/>
  <c r="AJ974" i="3"/>
  <c r="AJ975" i="3"/>
  <c r="AJ976" i="3"/>
  <c r="AJ977" i="3"/>
  <c r="AJ978" i="3"/>
  <c r="AJ979" i="3"/>
  <c r="AJ980" i="3"/>
  <c r="AJ981" i="3"/>
  <c r="AJ982" i="3"/>
  <c r="AJ983" i="3"/>
  <c r="AJ984" i="3"/>
  <c r="AJ985" i="3"/>
  <c r="AJ986" i="3"/>
  <c r="AJ987" i="3"/>
  <c r="AJ988" i="3"/>
  <c r="AJ989" i="3"/>
  <c r="AJ990" i="3"/>
  <c r="AJ991" i="3"/>
  <c r="AJ992" i="3"/>
  <c r="AJ993" i="3"/>
  <c r="AJ994" i="3"/>
  <c r="AJ995" i="3"/>
  <c r="AJ996" i="3"/>
  <c r="AJ997" i="3"/>
  <c r="AJ998" i="3"/>
  <c r="AJ999" i="3"/>
  <c r="AJ1000" i="3"/>
  <c r="AJ1001" i="3"/>
  <c r="AJ1002" i="3"/>
  <c r="AJ1003" i="3"/>
  <c r="AJ1004" i="3"/>
  <c r="AJ1005" i="3"/>
  <c r="AJ1006" i="3"/>
  <c r="AJ1007" i="3"/>
  <c r="AJ1008" i="3"/>
  <c r="AJ1009" i="3"/>
  <c r="AJ1010" i="3"/>
  <c r="AJ1011" i="3"/>
  <c r="AJ1012" i="3"/>
  <c r="AJ1013" i="3"/>
  <c r="AJ1014" i="3"/>
  <c r="AJ1015" i="3"/>
  <c r="AJ1016" i="3"/>
  <c r="AJ1017" i="3"/>
  <c r="AJ1018" i="3"/>
  <c r="AJ1019" i="3"/>
  <c r="AJ1020" i="3"/>
  <c r="AJ1021" i="3"/>
  <c r="AJ1022" i="3"/>
  <c r="AJ1023" i="3"/>
  <c r="AJ1024" i="3"/>
  <c r="AJ1025" i="3"/>
  <c r="AJ1026" i="3"/>
  <c r="AJ1027" i="3"/>
  <c r="AJ1028" i="3"/>
  <c r="AJ1029" i="3"/>
  <c r="AJ1030" i="3"/>
  <c r="AJ1031" i="3"/>
  <c r="AJ1032" i="3"/>
  <c r="AJ1033" i="3"/>
  <c r="AJ1034" i="3"/>
  <c r="AJ1035" i="3"/>
  <c r="AJ1036" i="3"/>
  <c r="AJ1037" i="3"/>
  <c r="AJ1038" i="3"/>
  <c r="AJ1039" i="3"/>
  <c r="AJ1040" i="3"/>
  <c r="AJ1041" i="3"/>
  <c r="AJ1042" i="3"/>
  <c r="AJ1043" i="3"/>
  <c r="AJ1044" i="3"/>
  <c r="AJ1045" i="3"/>
  <c r="AJ1046" i="3"/>
  <c r="AJ1047" i="3"/>
  <c r="AJ1048" i="3"/>
  <c r="AJ1049" i="3"/>
  <c r="AJ1050" i="3"/>
  <c r="AJ1051" i="3"/>
  <c r="AJ1052" i="3"/>
  <c r="AJ1053" i="3"/>
  <c r="AJ1054" i="3"/>
  <c r="AJ1055" i="3"/>
  <c r="AJ1056" i="3"/>
  <c r="AJ1057" i="3"/>
  <c r="AJ1058" i="3"/>
  <c r="AJ1059" i="3"/>
  <c r="AJ1060" i="3"/>
  <c r="AJ1061" i="3"/>
  <c r="AJ1062" i="3"/>
  <c r="AJ1063" i="3"/>
  <c r="AJ1064" i="3"/>
  <c r="AJ1065" i="3"/>
  <c r="AJ1066" i="3"/>
  <c r="AJ1067" i="3"/>
  <c r="AJ1068" i="3"/>
  <c r="AJ1069" i="3"/>
  <c r="AJ1070" i="3"/>
  <c r="AJ1071" i="3"/>
  <c r="AJ1072" i="3"/>
  <c r="AJ1073" i="3"/>
  <c r="AJ1074" i="3"/>
  <c r="AJ1075" i="3"/>
  <c r="AJ1076" i="3"/>
  <c r="AJ1077" i="3"/>
  <c r="AJ1078" i="3"/>
  <c r="AJ1079" i="3"/>
  <c r="AJ1080" i="3"/>
  <c r="AJ1081" i="3"/>
  <c r="AJ1082" i="3"/>
  <c r="AJ1083" i="3"/>
  <c r="AJ1084" i="3"/>
  <c r="AJ1085" i="3"/>
  <c r="AJ1086" i="3"/>
  <c r="AJ1087" i="3"/>
  <c r="AJ1088" i="3"/>
  <c r="AJ1089" i="3"/>
  <c r="AJ1090" i="3"/>
  <c r="AJ1091" i="3"/>
  <c r="AJ1092" i="3"/>
  <c r="AJ1093" i="3"/>
  <c r="AJ1094" i="3"/>
  <c r="AJ1095" i="3"/>
  <c r="AJ1096" i="3"/>
  <c r="AJ1097" i="3"/>
  <c r="AJ1098" i="3"/>
  <c r="AJ1099" i="3"/>
  <c r="AJ1100" i="3"/>
  <c r="AJ1101" i="3"/>
  <c r="AJ5" i="3"/>
  <c r="C65" i="12"/>
  <c r="F65" i="12" s="1"/>
  <c r="B52" i="12"/>
  <c r="B111" i="12" l="1"/>
  <c r="B58" i="12"/>
  <c r="B26" i="12" l="1"/>
  <c r="D2" i="12"/>
  <c r="E2" i="12"/>
  <c r="F2" i="12"/>
  <c r="C2" i="12"/>
  <c r="B85" i="12" l="1"/>
  <c r="B48" i="12"/>
  <c r="D9" i="12"/>
  <c r="F9" i="12"/>
  <c r="E9" i="12"/>
  <c r="I586" i="6" l="1"/>
  <c r="D3" i="11"/>
  <c r="E3" i="11"/>
  <c r="F3" i="11"/>
  <c r="G3" i="11"/>
  <c r="H3" i="11"/>
  <c r="D4" i="11"/>
  <c r="E4" i="11"/>
  <c r="F4" i="11"/>
  <c r="G4" i="11"/>
  <c r="H4" i="11"/>
  <c r="C4" i="11"/>
  <c r="C3" i="11"/>
  <c r="D5" i="11"/>
  <c r="E5" i="11"/>
  <c r="F5" i="11"/>
  <c r="G5" i="11"/>
  <c r="H5" i="11"/>
  <c r="C5" i="11"/>
  <c r="D2" i="11"/>
  <c r="E2" i="11"/>
  <c r="F2" i="11"/>
  <c r="G2" i="11"/>
  <c r="H2" i="11"/>
  <c r="I2" i="11"/>
  <c r="J2" i="11"/>
  <c r="K2" i="11"/>
  <c r="L2" i="11"/>
  <c r="C2" i="11"/>
  <c r="C92" i="2"/>
  <c r="D92" i="2"/>
  <c r="E92" i="2"/>
  <c r="F92" i="2"/>
  <c r="G92" i="2"/>
  <c r="C41" i="2"/>
  <c r="D41" i="2"/>
  <c r="E41" i="2"/>
  <c r="F41" i="2"/>
  <c r="G41" i="2"/>
  <c r="I41" i="2"/>
  <c r="C610" i="6"/>
  <c r="D610" i="6"/>
  <c r="E610" i="6"/>
  <c r="F610" i="6"/>
  <c r="G610" i="6"/>
  <c r="H610" i="6"/>
  <c r="I638" i="6"/>
  <c r="J638" i="6" s="1"/>
  <c r="K638" i="6" s="1"/>
  <c r="L638" i="6" s="1"/>
  <c r="I637" i="6"/>
  <c r="J637" i="6" s="1"/>
  <c r="K637" i="6" s="1"/>
  <c r="L637" i="6" s="1"/>
  <c r="I636" i="6"/>
  <c r="J636" i="6" s="1"/>
  <c r="K636" i="6" s="1"/>
  <c r="L636" i="6" s="1"/>
  <c r="I635" i="6"/>
  <c r="J635" i="6" s="1"/>
  <c r="K635" i="6" s="1"/>
  <c r="L635" i="6" s="1"/>
  <c r="I633" i="6"/>
  <c r="J633" i="6" s="1"/>
  <c r="K633" i="6" s="1"/>
  <c r="L633" i="6" s="1"/>
  <c r="C626" i="6"/>
  <c r="D626" i="6"/>
  <c r="E626" i="6"/>
  <c r="F626" i="6"/>
  <c r="C625" i="6"/>
  <c r="D625" i="6"/>
  <c r="E625" i="6"/>
  <c r="F625" i="6"/>
  <c r="I599" i="6"/>
  <c r="I534" i="6"/>
  <c r="I541" i="6" s="1"/>
  <c r="N206" i="6"/>
  <c r="C206" i="6"/>
  <c r="C207" i="6" s="1"/>
  <c r="D206" i="6"/>
  <c r="D207" i="6" s="1"/>
  <c r="E206" i="6"/>
  <c r="E207" i="6" s="1"/>
  <c r="F206" i="6"/>
  <c r="F207" i="6" s="1"/>
  <c r="G206" i="6"/>
  <c r="G207" i="6" s="1"/>
  <c r="H206" i="6"/>
  <c r="H207" i="6" s="1"/>
  <c r="J27" i="2"/>
  <c r="N196" i="6"/>
  <c r="N184" i="6"/>
  <c r="N172" i="6"/>
  <c r="C202" i="6"/>
  <c r="D202" i="6"/>
  <c r="E202" i="6"/>
  <c r="F202" i="6"/>
  <c r="G202" i="6"/>
  <c r="H202" i="6"/>
  <c r="I184" i="6"/>
  <c r="J184" i="6" s="1"/>
  <c r="K184" i="6" s="1"/>
  <c r="L184" i="6" s="1"/>
  <c r="M22" i="2" s="1"/>
  <c r="D192" i="6"/>
  <c r="E192" i="6"/>
  <c r="F192" i="6"/>
  <c r="G192" i="6"/>
  <c r="H192" i="6"/>
  <c r="O27" i="2"/>
  <c r="O28" i="2"/>
  <c r="O29" i="2"/>
  <c r="O30" i="2"/>
  <c r="O31" i="2"/>
  <c r="O32" i="2"/>
  <c r="I172" i="6"/>
  <c r="J21" i="2" s="1"/>
  <c r="F18" i="13" s="1"/>
  <c r="D180" i="6"/>
  <c r="E180" i="6"/>
  <c r="F180" i="6"/>
  <c r="G180" i="6"/>
  <c r="H180" i="6"/>
  <c r="I155" i="6"/>
  <c r="J155" i="6" s="1"/>
  <c r="K155" i="6" s="1"/>
  <c r="L155" i="6" s="1"/>
  <c r="M20" i="2" s="1"/>
  <c r="N155" i="6"/>
  <c r="D168" i="6"/>
  <c r="E168" i="6"/>
  <c r="F168" i="6"/>
  <c r="G168" i="6"/>
  <c r="H168" i="6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6" i="2"/>
  <c r="O25" i="2"/>
  <c r="N138" i="6"/>
  <c r="I123" i="6"/>
  <c r="J123" i="6" s="1"/>
  <c r="K123" i="6" s="1"/>
  <c r="L123" i="6" s="1"/>
  <c r="M15" i="2" s="1"/>
  <c r="J14" i="2"/>
  <c r="J106" i="6"/>
  <c r="K13" i="2" s="1"/>
  <c r="G10" i="13" s="1"/>
  <c r="I106" i="6"/>
  <c r="J13" i="2" s="1"/>
  <c r="F10" i="13" s="1"/>
  <c r="N93" i="6"/>
  <c r="C102" i="6"/>
  <c r="D102" i="6"/>
  <c r="E102" i="6"/>
  <c r="F102" i="6"/>
  <c r="G102" i="6"/>
  <c r="H102" i="6"/>
  <c r="N78" i="6"/>
  <c r="E89" i="6"/>
  <c r="F89" i="6"/>
  <c r="G89" i="6"/>
  <c r="H89" i="6"/>
  <c r="I9" i="6"/>
  <c r="G55" i="6"/>
  <c r="F55" i="6"/>
  <c r="E55" i="6"/>
  <c r="H55" i="6"/>
  <c r="C69" i="6"/>
  <c r="D69" i="6"/>
  <c r="E69" i="6"/>
  <c r="F69" i="6"/>
  <c r="G69" i="6"/>
  <c r="H69" i="6"/>
  <c r="C71" i="6"/>
  <c r="C72" i="6"/>
  <c r="D72" i="6"/>
  <c r="E72" i="6"/>
  <c r="F72" i="6"/>
  <c r="G72" i="6"/>
  <c r="H72" i="6"/>
  <c r="L5" i="9"/>
  <c r="L6" i="9"/>
  <c r="L7" i="9"/>
  <c r="N58" i="6"/>
  <c r="D71" i="6"/>
  <c r="E71" i="6"/>
  <c r="F71" i="6"/>
  <c r="G71" i="6"/>
  <c r="H71" i="6"/>
  <c r="C32" i="6"/>
  <c r="D32" i="6"/>
  <c r="E32" i="6"/>
  <c r="F32" i="6"/>
  <c r="G32" i="6"/>
  <c r="H32" i="6"/>
  <c r="C53" i="6"/>
  <c r="D53" i="6"/>
  <c r="E53" i="6"/>
  <c r="F53" i="6"/>
  <c r="G53" i="6"/>
  <c r="H53" i="6"/>
  <c r="L4" i="9"/>
  <c r="L3" i="9"/>
  <c r="K27" i="2" l="1"/>
  <c r="F24" i="13"/>
  <c r="G22" i="11"/>
  <c r="H22" i="11"/>
  <c r="F22" i="11"/>
  <c r="H6" i="11"/>
  <c r="F6" i="11"/>
  <c r="K14" i="2"/>
  <c r="F11" i="13"/>
  <c r="J76" i="2"/>
  <c r="F52" i="13" s="1"/>
  <c r="I611" i="6"/>
  <c r="B14" i="12"/>
  <c r="F66" i="12"/>
  <c r="C6" i="11"/>
  <c r="G6" i="11"/>
  <c r="E6" i="11"/>
  <c r="D6" i="11"/>
  <c r="J599" i="6"/>
  <c r="K106" i="6"/>
  <c r="K22" i="2"/>
  <c r="G19" i="13" s="1"/>
  <c r="J22" i="2"/>
  <c r="F19" i="13" s="1"/>
  <c r="L22" i="2"/>
  <c r="H19" i="13" s="1"/>
  <c r="J20" i="2"/>
  <c r="F17" i="13" s="1"/>
  <c r="L20" i="2"/>
  <c r="H17" i="13" s="1"/>
  <c r="K20" i="2"/>
  <c r="G17" i="13" s="1"/>
  <c r="L15" i="2"/>
  <c r="H12" i="13" s="1"/>
  <c r="K15" i="2"/>
  <c r="G12" i="13" s="1"/>
  <c r="J15" i="2"/>
  <c r="F12" i="13" s="1"/>
  <c r="C52" i="6"/>
  <c r="D52" i="6"/>
  <c r="E52" i="6"/>
  <c r="F52" i="6"/>
  <c r="G52" i="6"/>
  <c r="H52" i="6"/>
  <c r="N7" i="6"/>
  <c r="P33" i="2"/>
  <c r="O33" i="2" s="1"/>
  <c r="C230" i="6"/>
  <c r="D230" i="6"/>
  <c r="E230" i="6"/>
  <c r="F230" i="6"/>
  <c r="G230" i="6"/>
  <c r="H230" i="6"/>
  <c r="I468" i="6"/>
  <c r="J468" i="6" s="1"/>
  <c r="D469" i="6"/>
  <c r="E469" i="6"/>
  <c r="F469" i="6"/>
  <c r="G469" i="6"/>
  <c r="H469" i="6"/>
  <c r="I462" i="6"/>
  <c r="J60" i="2" s="1"/>
  <c r="D464" i="6"/>
  <c r="E464" i="6"/>
  <c r="F464" i="6"/>
  <c r="G464" i="6"/>
  <c r="H464" i="6"/>
  <c r="C463" i="6"/>
  <c r="D463" i="6"/>
  <c r="E463" i="6"/>
  <c r="F463" i="6"/>
  <c r="G463" i="6"/>
  <c r="H463" i="6"/>
  <c r="I451" i="6"/>
  <c r="I445" i="6"/>
  <c r="I450" i="6"/>
  <c r="I444" i="6"/>
  <c r="J445" i="6" s="1"/>
  <c r="K451" i="6" s="1"/>
  <c r="D457" i="6"/>
  <c r="E457" i="6"/>
  <c r="F457" i="6"/>
  <c r="G457" i="6"/>
  <c r="D458" i="6"/>
  <c r="E458" i="6"/>
  <c r="F458" i="6"/>
  <c r="G458" i="6"/>
  <c r="H458" i="6"/>
  <c r="H457" i="6"/>
  <c r="I430" i="6"/>
  <c r="J430" i="6" s="1"/>
  <c r="K430" i="6" s="1"/>
  <c r="L430" i="6" s="1"/>
  <c r="M58" i="2" s="1"/>
  <c r="D431" i="6"/>
  <c r="E431" i="6"/>
  <c r="F431" i="6"/>
  <c r="G431" i="6"/>
  <c r="H431" i="6"/>
  <c r="I413" i="6"/>
  <c r="D424" i="6"/>
  <c r="E424" i="6"/>
  <c r="F424" i="6"/>
  <c r="G424" i="6"/>
  <c r="H424" i="6"/>
  <c r="I412" i="6"/>
  <c r="I404" i="6"/>
  <c r="J413" i="6" s="1"/>
  <c r="I405" i="6"/>
  <c r="D423" i="6"/>
  <c r="E423" i="6"/>
  <c r="F423" i="6"/>
  <c r="G423" i="6"/>
  <c r="H423" i="6"/>
  <c r="L27" i="2" l="1"/>
  <c r="G24" i="13"/>
  <c r="K599" i="6"/>
  <c r="J611" i="6"/>
  <c r="L14" i="2"/>
  <c r="G11" i="13"/>
  <c r="K76" i="2"/>
  <c r="G52" i="13" s="1"/>
  <c r="L106" i="6"/>
  <c r="M13" i="2" s="1"/>
  <c r="L13" i="2"/>
  <c r="H10" i="13" s="1"/>
  <c r="I453" i="6"/>
  <c r="J450" i="6" s="1"/>
  <c r="I447" i="6"/>
  <c r="J444" i="6" s="1"/>
  <c r="K445" i="6" s="1"/>
  <c r="L451" i="6" s="1"/>
  <c r="K468" i="6"/>
  <c r="K61" i="2"/>
  <c r="J61" i="2"/>
  <c r="F43" i="13" s="1"/>
  <c r="J462" i="6"/>
  <c r="J451" i="6"/>
  <c r="J405" i="6"/>
  <c r="I409" i="6"/>
  <c r="J404" i="6" s="1"/>
  <c r="K413" i="6" s="1"/>
  <c r="J58" i="2"/>
  <c r="K58" i="2"/>
  <c r="L58" i="2"/>
  <c r="I417" i="6"/>
  <c r="J412" i="6" s="1"/>
  <c r="J417" i="6" s="1"/>
  <c r="K412" i="6" s="1"/>
  <c r="I396" i="6"/>
  <c r="J56" i="2" s="1"/>
  <c r="J55" i="2"/>
  <c r="M27" i="2" l="1"/>
  <c r="H24" i="13"/>
  <c r="K55" i="2"/>
  <c r="F41" i="13"/>
  <c r="M14" i="2"/>
  <c r="H11" i="13"/>
  <c r="L599" i="6"/>
  <c r="L611" i="6" s="1"/>
  <c r="K611" i="6"/>
  <c r="M76" i="2"/>
  <c r="L76" i="2"/>
  <c r="H52" i="13" s="1"/>
  <c r="J453" i="6"/>
  <c r="K450" i="6" s="1"/>
  <c r="K453" i="6" s="1"/>
  <c r="L450" i="6" s="1"/>
  <c r="L453" i="6" s="1"/>
  <c r="J447" i="6"/>
  <c r="K444" i="6" s="1"/>
  <c r="L445" i="6" s="1"/>
  <c r="I435" i="6"/>
  <c r="J59" i="2" s="1"/>
  <c r="K462" i="6"/>
  <c r="K60" i="2"/>
  <c r="G43" i="13" s="1"/>
  <c r="L468" i="6"/>
  <c r="M61" i="2" s="1"/>
  <c r="L61" i="2"/>
  <c r="K405" i="6"/>
  <c r="K417" i="6"/>
  <c r="L412" i="6" s="1"/>
  <c r="J409" i="6"/>
  <c r="K404" i="6" s="1"/>
  <c r="J396" i="6"/>
  <c r="K396" i="6" s="1"/>
  <c r="L396" i="6" s="1"/>
  <c r="M56" i="2" s="1"/>
  <c r="C555" i="6"/>
  <c r="D555" i="6"/>
  <c r="E555" i="6"/>
  <c r="F555" i="6"/>
  <c r="G555" i="6"/>
  <c r="H555" i="6"/>
  <c r="C564" i="6"/>
  <c r="D564" i="6"/>
  <c r="E564" i="6"/>
  <c r="F564" i="6"/>
  <c r="G564" i="6"/>
  <c r="H564" i="6"/>
  <c r="C549" i="6"/>
  <c r="D549" i="6"/>
  <c r="E549" i="6"/>
  <c r="F549" i="6"/>
  <c r="G549" i="6"/>
  <c r="H549" i="6"/>
  <c r="I547" i="6"/>
  <c r="J547" i="6" s="1"/>
  <c r="K547" i="6" s="1"/>
  <c r="L547" i="6" s="1"/>
  <c r="M70" i="2" s="1"/>
  <c r="J534" i="6"/>
  <c r="K534" i="6" s="1"/>
  <c r="L534" i="6" s="1"/>
  <c r="M68" i="2" s="1"/>
  <c r="D541" i="6"/>
  <c r="E541" i="6"/>
  <c r="F541" i="6"/>
  <c r="G541" i="6"/>
  <c r="H541" i="6"/>
  <c r="C496" i="6"/>
  <c r="D496" i="6"/>
  <c r="E496" i="6"/>
  <c r="F496" i="6"/>
  <c r="G496" i="6"/>
  <c r="H496" i="6"/>
  <c r="I488" i="6"/>
  <c r="J488" i="6" s="1"/>
  <c r="K488" i="6" s="1"/>
  <c r="L488" i="6" s="1"/>
  <c r="M65" i="2" s="1"/>
  <c r="D489" i="6"/>
  <c r="E489" i="6"/>
  <c r="F489" i="6"/>
  <c r="G489" i="6"/>
  <c r="H489" i="6"/>
  <c r="J526" i="6"/>
  <c r="K526" i="6"/>
  <c r="L526" i="6"/>
  <c r="I526" i="6"/>
  <c r="C523" i="6"/>
  <c r="D523" i="6"/>
  <c r="E523" i="6"/>
  <c r="F523" i="6"/>
  <c r="G523" i="6"/>
  <c r="H523" i="6"/>
  <c r="L55" i="2" l="1"/>
  <c r="K447" i="6"/>
  <c r="K435" i="6" s="1"/>
  <c r="L59" i="2" s="1"/>
  <c r="J435" i="6"/>
  <c r="K59" i="2" s="1"/>
  <c r="K409" i="6"/>
  <c r="L404" i="6" s="1"/>
  <c r="L462" i="6"/>
  <c r="M60" i="2" s="1"/>
  <c r="L60" i="2"/>
  <c r="H43" i="13" s="1"/>
  <c r="L405" i="6"/>
  <c r="L413" i="6"/>
  <c r="L417" i="6" s="1"/>
  <c r="K56" i="2"/>
  <c r="G41" i="13" s="1"/>
  <c r="L56" i="2"/>
  <c r="K68" i="2"/>
  <c r="G48" i="13" s="1"/>
  <c r="L68" i="2"/>
  <c r="H48" i="13" s="1"/>
  <c r="K70" i="2"/>
  <c r="J68" i="2"/>
  <c r="F48" i="13" s="1"/>
  <c r="L70" i="2"/>
  <c r="J70" i="2"/>
  <c r="J65" i="2"/>
  <c r="K65" i="2"/>
  <c r="L65" i="2"/>
  <c r="C247" i="6"/>
  <c r="D247" i="6"/>
  <c r="E247" i="6"/>
  <c r="F247" i="6"/>
  <c r="G247" i="6"/>
  <c r="H247" i="6"/>
  <c r="I252" i="6"/>
  <c r="D260" i="6"/>
  <c r="E260" i="6"/>
  <c r="F260" i="6"/>
  <c r="G260" i="6"/>
  <c r="H260" i="6"/>
  <c r="I266" i="6"/>
  <c r="I264" i="6"/>
  <c r="H267" i="6"/>
  <c r="G267" i="6"/>
  <c r="F267" i="6"/>
  <c r="E267" i="6"/>
  <c r="D267" i="6"/>
  <c r="D265" i="6"/>
  <c r="E265" i="6"/>
  <c r="F265" i="6"/>
  <c r="G265" i="6"/>
  <c r="H265" i="6"/>
  <c r="I275" i="6"/>
  <c r="J275" i="6" s="1"/>
  <c r="K275" i="6" s="1"/>
  <c r="L275" i="6" s="1"/>
  <c r="I276" i="6"/>
  <c r="J276" i="6" s="1"/>
  <c r="I274" i="6"/>
  <c r="J274" i="6" s="1"/>
  <c r="D280" i="6"/>
  <c r="E280" i="6"/>
  <c r="F280" i="6"/>
  <c r="G280" i="6"/>
  <c r="D281" i="6"/>
  <c r="E281" i="6"/>
  <c r="F281" i="6"/>
  <c r="G281" i="6"/>
  <c r="D282" i="6"/>
  <c r="E282" i="6"/>
  <c r="F282" i="6"/>
  <c r="G282" i="6"/>
  <c r="H281" i="6"/>
  <c r="H282" i="6"/>
  <c r="H280" i="6"/>
  <c r="I387" i="6"/>
  <c r="J387" i="6" s="1"/>
  <c r="K387" i="6" s="1"/>
  <c r="L387" i="6" s="1"/>
  <c r="I386" i="6"/>
  <c r="J386" i="6" s="1"/>
  <c r="K386" i="6" s="1"/>
  <c r="D391" i="6"/>
  <c r="E391" i="6"/>
  <c r="F391" i="6"/>
  <c r="G391" i="6"/>
  <c r="D392" i="6"/>
  <c r="E392" i="6"/>
  <c r="F392" i="6"/>
  <c r="G392" i="6"/>
  <c r="H392" i="6"/>
  <c r="H391" i="6"/>
  <c r="I352" i="6"/>
  <c r="J352" i="6" s="1"/>
  <c r="K352" i="6" s="1"/>
  <c r="L352" i="6" s="1"/>
  <c r="D366" i="6"/>
  <c r="E366" i="6"/>
  <c r="F366" i="6"/>
  <c r="G366" i="6"/>
  <c r="H366" i="6"/>
  <c r="I350" i="6"/>
  <c r="J350" i="6" s="1"/>
  <c r="K350" i="6" s="1"/>
  <c r="L350" i="6" s="1"/>
  <c r="I347" i="6"/>
  <c r="J347" i="6" s="1"/>
  <c r="K347" i="6" s="1"/>
  <c r="L347" i="6" s="1"/>
  <c r="I343" i="6"/>
  <c r="J343" i="6" s="1"/>
  <c r="D365" i="6"/>
  <c r="E365" i="6"/>
  <c r="F365" i="6"/>
  <c r="G365" i="6"/>
  <c r="H365" i="6"/>
  <c r="D364" i="6"/>
  <c r="E364" i="6"/>
  <c r="F364" i="6"/>
  <c r="G364" i="6"/>
  <c r="H364" i="6"/>
  <c r="D363" i="6"/>
  <c r="E363" i="6"/>
  <c r="F363" i="6"/>
  <c r="G363" i="6"/>
  <c r="H363" i="6"/>
  <c r="N380" i="6"/>
  <c r="C380" i="6"/>
  <c r="D380" i="6"/>
  <c r="E380" i="6"/>
  <c r="F380" i="6"/>
  <c r="G380" i="6"/>
  <c r="H380" i="6"/>
  <c r="N379" i="6"/>
  <c r="C379" i="6"/>
  <c r="D379" i="6"/>
  <c r="E379" i="6"/>
  <c r="F379" i="6"/>
  <c r="G379" i="6"/>
  <c r="H379" i="6"/>
  <c r="L323" i="6"/>
  <c r="K323" i="6"/>
  <c r="J323" i="6"/>
  <c r="I323" i="6"/>
  <c r="N315" i="6"/>
  <c r="N304" i="6"/>
  <c r="N301" i="6"/>
  <c r="N300" i="6"/>
  <c r="N299" i="6"/>
  <c r="N298" i="6"/>
  <c r="N297" i="6"/>
  <c r="N296" i="6"/>
  <c r="N295" i="6"/>
  <c r="N294" i="6"/>
  <c r="N293" i="6"/>
  <c r="C50" i="6"/>
  <c r="D50" i="6"/>
  <c r="E50" i="6"/>
  <c r="F50" i="6"/>
  <c r="G50" i="6"/>
  <c r="H50" i="6"/>
  <c r="C33" i="6"/>
  <c r="D33" i="6"/>
  <c r="E33" i="6"/>
  <c r="F33" i="6"/>
  <c r="G33" i="6"/>
  <c r="H33" i="6"/>
  <c r="H44" i="6"/>
  <c r="C31" i="6"/>
  <c r="D31" i="6"/>
  <c r="E31" i="6"/>
  <c r="F31" i="6"/>
  <c r="G31" i="6"/>
  <c r="H31" i="6"/>
  <c r="C28" i="6"/>
  <c r="D28" i="6"/>
  <c r="E28" i="6"/>
  <c r="F28" i="6"/>
  <c r="G28" i="6"/>
  <c r="C29" i="6"/>
  <c r="D29" i="6"/>
  <c r="E29" i="6"/>
  <c r="F29" i="6"/>
  <c r="G29" i="6"/>
  <c r="H29" i="6"/>
  <c r="H28" i="6"/>
  <c r="C27" i="6"/>
  <c r="D27" i="6"/>
  <c r="E27" i="6"/>
  <c r="F27" i="6"/>
  <c r="G27" i="6"/>
  <c r="H27" i="6"/>
  <c r="C26" i="6"/>
  <c r="D26" i="6"/>
  <c r="E26" i="6"/>
  <c r="F26" i="6"/>
  <c r="G26" i="6"/>
  <c r="H26" i="6"/>
  <c r="D640" i="6"/>
  <c r="E640" i="6"/>
  <c r="F640" i="6"/>
  <c r="G640" i="6"/>
  <c r="H640" i="6"/>
  <c r="C640" i="6"/>
  <c r="D623" i="6"/>
  <c r="E623" i="6"/>
  <c r="F623" i="6"/>
  <c r="G617" i="6"/>
  <c r="G626" i="6" s="1"/>
  <c r="H617" i="6"/>
  <c r="H626" i="6" s="1"/>
  <c r="C586" i="6"/>
  <c r="D586" i="6"/>
  <c r="E586" i="6"/>
  <c r="F586" i="6"/>
  <c r="G586" i="6"/>
  <c r="H586" i="6"/>
  <c r="C605" i="6"/>
  <c r="D605" i="6"/>
  <c r="E605" i="6"/>
  <c r="F605" i="6"/>
  <c r="G605" i="6"/>
  <c r="C606" i="6"/>
  <c r="D606" i="6"/>
  <c r="E606" i="6"/>
  <c r="F606" i="6"/>
  <c r="G606" i="6"/>
  <c r="H606" i="6"/>
  <c r="H605" i="6"/>
  <c r="H584" i="6"/>
  <c r="G584" i="6"/>
  <c r="F584" i="6"/>
  <c r="E584" i="6"/>
  <c r="D584" i="6"/>
  <c r="E576" i="6"/>
  <c r="F576" i="6"/>
  <c r="G576" i="6"/>
  <c r="H576" i="6"/>
  <c r="D576" i="6"/>
  <c r="C539" i="6"/>
  <c r="D539" i="6"/>
  <c r="E539" i="6"/>
  <c r="F539" i="6"/>
  <c r="G539" i="6"/>
  <c r="H539" i="6"/>
  <c r="C481" i="6"/>
  <c r="D481" i="6"/>
  <c r="E481" i="6"/>
  <c r="F481" i="6"/>
  <c r="G481" i="6"/>
  <c r="H481" i="6"/>
  <c r="C455" i="6"/>
  <c r="D455" i="6"/>
  <c r="E455" i="6"/>
  <c r="F455" i="6"/>
  <c r="G455" i="6"/>
  <c r="H455" i="6"/>
  <c r="C441" i="6"/>
  <c r="D441" i="6"/>
  <c r="E441" i="6"/>
  <c r="F441" i="6"/>
  <c r="G441" i="6"/>
  <c r="H441" i="6"/>
  <c r="C408" i="6"/>
  <c r="E416" i="6"/>
  <c r="E408" i="6"/>
  <c r="F408" i="6"/>
  <c r="F416" i="6"/>
  <c r="I419" i="6"/>
  <c r="I401" i="6" s="1"/>
  <c r="J57" i="2" s="1"/>
  <c r="J419" i="6"/>
  <c r="J401" i="6" s="1"/>
  <c r="K57" i="2" s="1"/>
  <c r="C419" i="6"/>
  <c r="D419" i="6"/>
  <c r="D421" i="6" s="1"/>
  <c r="E419" i="6"/>
  <c r="F419" i="6"/>
  <c r="G419" i="6"/>
  <c r="G421" i="6" s="1"/>
  <c r="H419" i="6"/>
  <c r="H421" i="6" s="1"/>
  <c r="C389" i="6"/>
  <c r="D389" i="6"/>
  <c r="E389" i="6"/>
  <c r="F389" i="6"/>
  <c r="G389" i="6"/>
  <c r="H389" i="6"/>
  <c r="C278" i="6"/>
  <c r="D278" i="6"/>
  <c r="E278" i="6"/>
  <c r="F278" i="6"/>
  <c r="G278" i="6"/>
  <c r="H278" i="6"/>
  <c r="C273" i="6"/>
  <c r="D273" i="6"/>
  <c r="E273" i="6"/>
  <c r="F273" i="6"/>
  <c r="G273" i="6"/>
  <c r="H273" i="6"/>
  <c r="C258" i="6"/>
  <c r="D258" i="6"/>
  <c r="E258" i="6"/>
  <c r="F258" i="6"/>
  <c r="G258" i="6"/>
  <c r="H258" i="6"/>
  <c r="C245" i="6"/>
  <c r="D245" i="6"/>
  <c r="E245" i="6"/>
  <c r="F245" i="6"/>
  <c r="G245" i="6"/>
  <c r="H245" i="6"/>
  <c r="C228" i="6"/>
  <c r="D228" i="6"/>
  <c r="E228" i="6"/>
  <c r="F228" i="6"/>
  <c r="G228" i="6"/>
  <c r="H228" i="6"/>
  <c r="R196" i="6"/>
  <c r="C175" i="6"/>
  <c r="C178" i="6" s="1"/>
  <c r="D175" i="6"/>
  <c r="E176" i="6"/>
  <c r="E178" i="6" s="1"/>
  <c r="F176" i="6"/>
  <c r="F178" i="6" s="1"/>
  <c r="C190" i="6"/>
  <c r="D190" i="6"/>
  <c r="E190" i="6"/>
  <c r="G190" i="6"/>
  <c r="H190" i="6"/>
  <c r="F190" i="6"/>
  <c r="G178" i="6"/>
  <c r="H178" i="6"/>
  <c r="G166" i="6"/>
  <c r="H166" i="6"/>
  <c r="C166" i="6"/>
  <c r="D166" i="6"/>
  <c r="E166" i="6"/>
  <c r="F166" i="6"/>
  <c r="R184" i="6"/>
  <c r="R172" i="6"/>
  <c r="R155" i="6"/>
  <c r="H144" i="6"/>
  <c r="H149" i="6" s="1"/>
  <c r="G144" i="6"/>
  <c r="G149" i="6" s="1"/>
  <c r="C149" i="6"/>
  <c r="D149" i="6"/>
  <c r="E149" i="6"/>
  <c r="F149" i="6"/>
  <c r="R138" i="6"/>
  <c r="C129" i="6"/>
  <c r="C134" i="6" s="1"/>
  <c r="G128" i="6"/>
  <c r="G134" i="6" s="1"/>
  <c r="D134" i="6"/>
  <c r="E134" i="6"/>
  <c r="F134" i="6"/>
  <c r="H134" i="6"/>
  <c r="R123" i="6"/>
  <c r="C119" i="6"/>
  <c r="D119" i="6"/>
  <c r="E119" i="6"/>
  <c r="G119" i="6"/>
  <c r="H119" i="6"/>
  <c r="F119" i="6"/>
  <c r="R106" i="6"/>
  <c r="C100" i="6"/>
  <c r="D100" i="6"/>
  <c r="E100" i="6"/>
  <c r="F100" i="6"/>
  <c r="G100" i="6"/>
  <c r="H100" i="6"/>
  <c r="C87" i="6"/>
  <c r="D87" i="6"/>
  <c r="E87" i="6"/>
  <c r="F87" i="6"/>
  <c r="G87" i="6"/>
  <c r="H87" i="6"/>
  <c r="R93" i="6"/>
  <c r="C20" i="7"/>
  <c r="D20" i="7"/>
  <c r="E20" i="7"/>
  <c r="F20" i="7"/>
  <c r="G20" i="7"/>
  <c r="H20" i="7"/>
  <c r="C19" i="7"/>
  <c r="D19" i="7"/>
  <c r="E19" i="7"/>
  <c r="F19" i="7"/>
  <c r="G19" i="7"/>
  <c r="H19" i="7"/>
  <c r="R78" i="6"/>
  <c r="C74" i="6"/>
  <c r="D74" i="6"/>
  <c r="E74" i="6"/>
  <c r="F74" i="6"/>
  <c r="G74" i="6"/>
  <c r="H74" i="6"/>
  <c r="C22" i="6"/>
  <c r="D22" i="6"/>
  <c r="E22" i="6"/>
  <c r="G22" i="6"/>
  <c r="H22" i="6"/>
  <c r="F22" i="6"/>
  <c r="R58" i="6"/>
  <c r="R7" i="6"/>
  <c r="S23" i="2"/>
  <c r="S24" i="2"/>
  <c r="S25" i="2"/>
  <c r="S26" i="2"/>
  <c r="S27" i="2"/>
  <c r="S28" i="2"/>
  <c r="S29" i="2"/>
  <c r="S30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6" i="2"/>
  <c r="R90" i="2"/>
  <c r="Q90" i="2"/>
  <c r="R41" i="2"/>
  <c r="Q41" i="2"/>
  <c r="R33" i="2"/>
  <c r="Q33" i="2"/>
  <c r="C514" i="6"/>
  <c r="D514" i="6"/>
  <c r="E514" i="6"/>
  <c r="F514" i="6"/>
  <c r="G514" i="6"/>
  <c r="H514" i="6"/>
  <c r="C92" i="7"/>
  <c r="C99" i="7" s="1"/>
  <c r="D92" i="7"/>
  <c r="D99" i="7" s="1"/>
  <c r="E92" i="7"/>
  <c r="E99" i="7" s="1"/>
  <c r="F92" i="7"/>
  <c r="F99" i="7" s="1"/>
  <c r="G92" i="7"/>
  <c r="G99" i="7" s="1"/>
  <c r="H92" i="7"/>
  <c r="H99" i="7" s="1"/>
  <c r="C520" i="6"/>
  <c r="D520" i="6"/>
  <c r="E520" i="6"/>
  <c r="F520" i="6"/>
  <c r="G520" i="6"/>
  <c r="H520" i="6"/>
  <c r="D356" i="6"/>
  <c r="D358" i="6" s="1"/>
  <c r="D360" i="6" s="1"/>
  <c r="E356" i="6"/>
  <c r="E358" i="6" s="1"/>
  <c r="E360" i="6" s="1"/>
  <c r="F356" i="6"/>
  <c r="F358" i="6" s="1"/>
  <c r="F360" i="6" s="1"/>
  <c r="C373" i="6"/>
  <c r="C377" i="6" s="1"/>
  <c r="D373" i="6"/>
  <c r="D377" i="6" s="1"/>
  <c r="E373" i="6"/>
  <c r="E377" i="6" s="1"/>
  <c r="F373" i="6"/>
  <c r="F377" i="6" s="1"/>
  <c r="G373" i="6"/>
  <c r="G377" i="6" s="1"/>
  <c r="H373" i="6"/>
  <c r="H377" i="6" s="1"/>
  <c r="C356" i="6"/>
  <c r="C358" i="6" s="1"/>
  <c r="C360" i="6" s="1"/>
  <c r="G356" i="6"/>
  <c r="G358" i="6" s="1"/>
  <c r="G360" i="6" s="1"/>
  <c r="H356" i="6"/>
  <c r="H358" i="6" s="1"/>
  <c r="H360" i="6" s="1"/>
  <c r="P315" i="6"/>
  <c r="P301" i="6"/>
  <c r="P300" i="6"/>
  <c r="P299" i="6"/>
  <c r="P298" i="6"/>
  <c r="P297" i="6"/>
  <c r="P304" i="6"/>
  <c r="P296" i="6"/>
  <c r="P295" i="6"/>
  <c r="P294" i="6"/>
  <c r="P293" i="6"/>
  <c r="D333" i="6"/>
  <c r="E333" i="6"/>
  <c r="E334" i="6" s="1"/>
  <c r="F333" i="6"/>
  <c r="F334" i="6" s="1"/>
  <c r="G333" i="6"/>
  <c r="G334" i="6" s="1"/>
  <c r="H333" i="6"/>
  <c r="H334" i="6" s="1"/>
  <c r="D328" i="6"/>
  <c r="E328" i="6"/>
  <c r="F328" i="6"/>
  <c r="G328" i="6"/>
  <c r="D329" i="6"/>
  <c r="E329" i="6"/>
  <c r="F329" i="6"/>
  <c r="G329" i="6"/>
  <c r="D330" i="6"/>
  <c r="E330" i="6"/>
  <c r="F330" i="6"/>
  <c r="G330" i="6"/>
  <c r="H329" i="6"/>
  <c r="H330" i="6"/>
  <c r="H328" i="6"/>
  <c r="C117" i="8"/>
  <c r="H89" i="8"/>
  <c r="G89" i="8"/>
  <c r="F89" i="8"/>
  <c r="E89" i="8"/>
  <c r="D89" i="8"/>
  <c r="C89" i="8"/>
  <c r="H40" i="8"/>
  <c r="G40" i="8"/>
  <c r="F40" i="8"/>
  <c r="E40" i="8"/>
  <c r="D40" i="8"/>
  <c r="C40" i="8"/>
  <c r="L26" i="8"/>
  <c r="L28" i="8" s="1"/>
  <c r="L30" i="8" s="1"/>
  <c r="L33" i="8" s="1"/>
  <c r="K26" i="8"/>
  <c r="K28" i="8" s="1"/>
  <c r="K30" i="8" s="1"/>
  <c r="K33" i="8" s="1"/>
  <c r="J26" i="8"/>
  <c r="J28" i="8" s="1"/>
  <c r="J30" i="8" s="1"/>
  <c r="J33" i="8" s="1"/>
  <c r="L23" i="8"/>
  <c r="K23" i="8"/>
  <c r="J23" i="8"/>
  <c r="I23" i="8"/>
  <c r="K16" i="8"/>
  <c r="K18" i="8" s="1"/>
  <c r="J16" i="8"/>
  <c r="J18" i="8" s="1"/>
  <c r="I16" i="8"/>
  <c r="I18" i="8" s="1"/>
  <c r="I24" i="8" s="1"/>
  <c r="I26" i="8" s="1"/>
  <c r="I28" i="8" s="1"/>
  <c r="I30" i="8" s="1"/>
  <c r="I33" i="8" s="1"/>
  <c r="L12" i="8"/>
  <c r="L16" i="8" s="1"/>
  <c r="L18" i="8" s="1"/>
  <c r="K12" i="8"/>
  <c r="J12" i="8"/>
  <c r="I12" i="8"/>
  <c r="L9" i="8"/>
  <c r="K9" i="8"/>
  <c r="J9" i="8"/>
  <c r="I9" i="8"/>
  <c r="L6" i="8"/>
  <c r="K6" i="8"/>
  <c r="J6" i="8"/>
  <c r="I6" i="8"/>
  <c r="E44" i="7"/>
  <c r="G90" i="2"/>
  <c r="F90" i="2"/>
  <c r="E90" i="2"/>
  <c r="D90" i="2"/>
  <c r="C90" i="2"/>
  <c r="I90" i="2"/>
  <c r="F301" i="6"/>
  <c r="F305" i="6" s="1"/>
  <c r="C301" i="6"/>
  <c r="C305" i="6" s="1"/>
  <c r="D301" i="6"/>
  <c r="D305" i="6" s="1"/>
  <c r="E301" i="6"/>
  <c r="E305" i="6" s="1"/>
  <c r="C63" i="7"/>
  <c r="D63" i="7"/>
  <c r="E63" i="7"/>
  <c r="F63" i="7"/>
  <c r="H63" i="7"/>
  <c r="G63" i="7"/>
  <c r="C44" i="7"/>
  <c r="D44" i="7"/>
  <c r="F44" i="7"/>
  <c r="H44" i="7"/>
  <c r="G44" i="7"/>
  <c r="D311" i="6"/>
  <c r="D335" i="6" s="1"/>
  <c r="E311" i="6"/>
  <c r="E335" i="6" s="1"/>
  <c r="F311" i="6"/>
  <c r="F335" i="6" s="1"/>
  <c r="G311" i="6"/>
  <c r="G335" i="6" s="1"/>
  <c r="H311" i="6"/>
  <c r="H335" i="6" s="1"/>
  <c r="G315" i="6"/>
  <c r="G337" i="6" s="1"/>
  <c r="D315" i="6"/>
  <c r="E315" i="6"/>
  <c r="F315" i="6"/>
  <c r="H315" i="6"/>
  <c r="H337" i="6" s="1"/>
  <c r="H301" i="6"/>
  <c r="H305" i="6" s="1"/>
  <c r="H151" i="6" s="1"/>
  <c r="G301" i="6"/>
  <c r="G305" i="6" s="1"/>
  <c r="J23" i="2"/>
  <c r="C120" i="2"/>
  <c r="F337" i="6" l="1"/>
  <c r="E337" i="6"/>
  <c r="D337" i="6"/>
  <c r="F20" i="13"/>
  <c r="J172" i="6"/>
  <c r="K21" i="2" s="1"/>
  <c r="F42" i="13"/>
  <c r="K172" i="6"/>
  <c r="L21" i="2" s="1"/>
  <c r="G42" i="13"/>
  <c r="M55" i="2"/>
  <c r="H41" i="13"/>
  <c r="C588" i="6"/>
  <c r="C592" i="6"/>
  <c r="C591" i="6"/>
  <c r="H588" i="6"/>
  <c r="H591" i="6"/>
  <c r="H592" i="6"/>
  <c r="G588" i="6"/>
  <c r="G592" i="6"/>
  <c r="G591" i="6"/>
  <c r="F588" i="6"/>
  <c r="F591" i="6"/>
  <c r="F592" i="6"/>
  <c r="E588" i="6"/>
  <c r="E591" i="6"/>
  <c r="E592" i="6"/>
  <c r="D588" i="6"/>
  <c r="D592" i="6"/>
  <c r="D591" i="6"/>
  <c r="H623" i="6"/>
  <c r="H625" i="6"/>
  <c r="G623" i="6"/>
  <c r="G625" i="6"/>
  <c r="F248" i="6"/>
  <c r="F151" i="6"/>
  <c r="E248" i="6"/>
  <c r="E151" i="6"/>
  <c r="G248" i="6"/>
  <c r="G151" i="6"/>
  <c r="D248" i="6"/>
  <c r="D151" i="6"/>
  <c r="C248" i="6"/>
  <c r="C151" i="6"/>
  <c r="L444" i="6"/>
  <c r="L447" i="6" s="1"/>
  <c r="L435" i="6" s="1"/>
  <c r="M59" i="2" s="1"/>
  <c r="L409" i="6"/>
  <c r="L419" i="6" s="1"/>
  <c r="L401" i="6" s="1"/>
  <c r="M57" i="2" s="1"/>
  <c r="J252" i="6"/>
  <c r="K47" i="2" s="1"/>
  <c r="I11" i="6"/>
  <c r="K419" i="6"/>
  <c r="K401" i="6" s="1"/>
  <c r="L57" i="2" s="1"/>
  <c r="J264" i="6"/>
  <c r="J12" i="6" s="1"/>
  <c r="I12" i="6"/>
  <c r="J266" i="6"/>
  <c r="K49" i="2" s="1"/>
  <c r="I14" i="6"/>
  <c r="H483" i="6"/>
  <c r="H248" i="6"/>
  <c r="G522" i="6"/>
  <c r="G483" i="6"/>
  <c r="D522" i="6"/>
  <c r="D483" i="6"/>
  <c r="E522" i="6"/>
  <c r="E483" i="6"/>
  <c r="C522" i="6"/>
  <c r="C483" i="6"/>
  <c r="F522" i="6"/>
  <c r="F483" i="6"/>
  <c r="C529" i="6"/>
  <c r="C527" i="6"/>
  <c r="C526" i="6"/>
  <c r="C528" i="6"/>
  <c r="G526" i="6"/>
  <c r="G527" i="6"/>
  <c r="G528" i="6"/>
  <c r="G529" i="6"/>
  <c r="E528" i="6"/>
  <c r="E529" i="6"/>
  <c r="E526" i="6"/>
  <c r="E527" i="6"/>
  <c r="F526" i="6"/>
  <c r="F527" i="6"/>
  <c r="F528" i="6"/>
  <c r="F529" i="6"/>
  <c r="D526" i="6"/>
  <c r="D529" i="6"/>
  <c r="D527" i="6"/>
  <c r="D528" i="6"/>
  <c r="H527" i="6"/>
  <c r="H526" i="6"/>
  <c r="H528" i="6"/>
  <c r="H529" i="6"/>
  <c r="Q295" i="6"/>
  <c r="H522" i="6"/>
  <c r="J47" i="2"/>
  <c r="J49" i="2"/>
  <c r="J48" i="2"/>
  <c r="J273" i="6"/>
  <c r="J271" i="6" s="1"/>
  <c r="I273" i="6"/>
  <c r="I271" i="6" s="1"/>
  <c r="K276" i="6"/>
  <c r="K274" i="6"/>
  <c r="K273" i="6" s="1"/>
  <c r="I384" i="6"/>
  <c r="K384" i="6"/>
  <c r="L386" i="6"/>
  <c r="L384" i="6" s="1"/>
  <c r="J384" i="6"/>
  <c r="C375" i="6"/>
  <c r="H375" i="6"/>
  <c r="G375" i="6"/>
  <c r="F375" i="6"/>
  <c r="E375" i="6"/>
  <c r="D375" i="6"/>
  <c r="J356" i="6"/>
  <c r="K343" i="6"/>
  <c r="I356" i="6"/>
  <c r="N311" i="6"/>
  <c r="N320" i="6" s="1"/>
  <c r="Q296" i="6"/>
  <c r="Q293" i="6"/>
  <c r="Q301" i="6"/>
  <c r="N305" i="6"/>
  <c r="N522" i="6" s="1"/>
  <c r="Q300" i="6"/>
  <c r="Q294" i="6"/>
  <c r="Q299" i="6"/>
  <c r="Q298" i="6"/>
  <c r="Q297" i="6"/>
  <c r="H324" i="6"/>
  <c r="F325" i="6"/>
  <c r="D323" i="6"/>
  <c r="D325" i="6"/>
  <c r="F324" i="6"/>
  <c r="E324" i="6"/>
  <c r="D324" i="6"/>
  <c r="H323" i="6"/>
  <c r="F323" i="6"/>
  <c r="G323" i="6"/>
  <c r="H325" i="6"/>
  <c r="E323" i="6"/>
  <c r="G325" i="6"/>
  <c r="E325" i="6"/>
  <c r="G324" i="6"/>
  <c r="H309" i="6"/>
  <c r="G309" i="6"/>
  <c r="Q303" i="6"/>
  <c r="Q304" i="6"/>
  <c r="F309" i="6"/>
  <c r="E309" i="6"/>
  <c r="D309" i="6"/>
  <c r="C309" i="6"/>
  <c r="Q302" i="6"/>
  <c r="E421" i="6"/>
  <c r="F421" i="6"/>
  <c r="C421" i="6"/>
  <c r="H290" i="6"/>
  <c r="G290" i="6"/>
  <c r="F290" i="6"/>
  <c r="E290" i="6"/>
  <c r="D290" i="6"/>
  <c r="C290" i="6"/>
  <c r="D178" i="6"/>
  <c r="G307" i="6"/>
  <c r="E307" i="6"/>
  <c r="D307" i="6"/>
  <c r="P305" i="6"/>
  <c r="P311" i="6" s="1"/>
  <c r="P320" i="6" s="1"/>
  <c r="F65" i="7"/>
  <c r="D65" i="7"/>
  <c r="C65" i="7"/>
  <c r="H320" i="6"/>
  <c r="F307" i="6"/>
  <c r="I305" i="6"/>
  <c r="H307" i="6"/>
  <c r="G65" i="7"/>
  <c r="E65" i="7"/>
  <c r="H65" i="7"/>
  <c r="G320" i="6"/>
  <c r="C320" i="6"/>
  <c r="D320" i="6"/>
  <c r="E320" i="6"/>
  <c r="F320" i="6"/>
  <c r="L172" i="6" l="1"/>
  <c r="M21" i="2" s="1"/>
  <c r="M23" i="2" s="1"/>
  <c r="H42" i="13"/>
  <c r="L23" i="2"/>
  <c r="H18" i="13"/>
  <c r="K23" i="2"/>
  <c r="G18" i="13"/>
  <c r="I16" i="6"/>
  <c r="I138" i="6"/>
  <c r="J17" i="2" s="1"/>
  <c r="F14" i="13" s="1"/>
  <c r="I13" i="6"/>
  <c r="M54" i="2"/>
  <c r="L18" i="6"/>
  <c r="L54" i="2"/>
  <c r="H40" i="13" s="1"/>
  <c r="K18" i="6"/>
  <c r="J50" i="2"/>
  <c r="F37" i="13" s="1"/>
  <c r="I15" i="6"/>
  <c r="J54" i="2"/>
  <c r="F40" i="13" s="1"/>
  <c r="I18" i="6"/>
  <c r="K50" i="2"/>
  <c r="G37" i="13" s="1"/>
  <c r="J15" i="6"/>
  <c r="K54" i="2"/>
  <c r="G40" i="13" s="1"/>
  <c r="J18" i="6"/>
  <c r="K264" i="6"/>
  <c r="K12" i="6" s="1"/>
  <c r="I234" i="6"/>
  <c r="J46" i="2" s="1"/>
  <c r="F36" i="13" s="1"/>
  <c r="K266" i="6"/>
  <c r="J14" i="6"/>
  <c r="K252" i="6"/>
  <c r="J11" i="6"/>
  <c r="K48" i="2"/>
  <c r="I514" i="6"/>
  <c r="I501" i="6" s="1"/>
  <c r="I63" i="6" s="1"/>
  <c r="I475" i="6"/>
  <c r="J64" i="2" s="1"/>
  <c r="L276" i="6"/>
  <c r="K271" i="6"/>
  <c r="L274" i="6"/>
  <c r="L273" i="6" s="1"/>
  <c r="I373" i="6"/>
  <c r="I357" i="6" s="1"/>
  <c r="I358" i="6" s="1"/>
  <c r="I341" i="6" s="1"/>
  <c r="I17" i="6" s="1"/>
  <c r="J373" i="6"/>
  <c r="J357" i="6" s="1"/>
  <c r="J358" i="6" s="1"/>
  <c r="J341" i="6" s="1"/>
  <c r="J17" i="6" s="1"/>
  <c r="L343" i="6"/>
  <c r="L356" i="6" s="1"/>
  <c r="K356" i="6"/>
  <c r="I301" i="6"/>
  <c r="I314" i="6"/>
  <c r="I312" i="6"/>
  <c r="I313" i="6"/>
  <c r="I317" i="6" s="1"/>
  <c r="I303" i="6"/>
  <c r="I304" i="6"/>
  <c r="I302" i="6"/>
  <c r="J305" i="6"/>
  <c r="I294" i="6"/>
  <c r="I297" i="6"/>
  <c r="I300" i="6"/>
  <c r="I298" i="6"/>
  <c r="I295" i="6"/>
  <c r="I293" i="6"/>
  <c r="I296" i="6"/>
  <c r="I299" i="6"/>
  <c r="G20" i="13" l="1"/>
  <c r="H20" i="13"/>
  <c r="J16" i="6"/>
  <c r="J138" i="6"/>
  <c r="K17" i="2" s="1"/>
  <c r="G14" i="13" s="1"/>
  <c r="L50" i="2"/>
  <c r="H37" i="13" s="1"/>
  <c r="K15" i="6"/>
  <c r="L48" i="2"/>
  <c r="L264" i="6"/>
  <c r="L266" i="6"/>
  <c r="K14" i="6"/>
  <c r="L49" i="2"/>
  <c r="L252" i="6"/>
  <c r="K11" i="6"/>
  <c r="L47" i="2"/>
  <c r="J475" i="6"/>
  <c r="K64" i="2" s="1"/>
  <c r="J234" i="6"/>
  <c r="K46" i="2" s="1"/>
  <c r="G36" i="13" s="1"/>
  <c r="I559" i="6"/>
  <c r="J73" i="2" s="1"/>
  <c r="I553" i="6"/>
  <c r="J71" i="2" s="1"/>
  <c r="J67" i="2"/>
  <c r="I494" i="6"/>
  <c r="J66" i="2" s="1"/>
  <c r="I69" i="6" s="1"/>
  <c r="I58" i="6" s="1"/>
  <c r="J8" i="2" s="1"/>
  <c r="J301" i="6"/>
  <c r="J514" i="6"/>
  <c r="J501" i="6" s="1"/>
  <c r="J63" i="6" s="1"/>
  <c r="L271" i="6"/>
  <c r="K53" i="2"/>
  <c r="G39" i="13" s="1"/>
  <c r="J53" i="2"/>
  <c r="F39" i="13" s="1"/>
  <c r="K373" i="6"/>
  <c r="K357" i="6" s="1"/>
  <c r="K358" i="6" s="1"/>
  <c r="K341" i="6" s="1"/>
  <c r="K17" i="6" s="1"/>
  <c r="L373" i="6"/>
  <c r="L357" i="6" s="1"/>
  <c r="L358" i="6" s="1"/>
  <c r="L341" i="6" s="1"/>
  <c r="L17" i="6" s="1"/>
  <c r="I318" i="6"/>
  <c r="I333" i="6"/>
  <c r="I334" i="6" s="1"/>
  <c r="J312" i="6"/>
  <c r="J313" i="6"/>
  <c r="J317" i="6" s="1"/>
  <c r="J314" i="6"/>
  <c r="I316" i="6"/>
  <c r="I311" i="6"/>
  <c r="I335" i="6" s="1"/>
  <c r="J303" i="6"/>
  <c r="J304" i="6"/>
  <c r="J302" i="6"/>
  <c r="I309" i="6"/>
  <c r="K305" i="6"/>
  <c r="J298" i="6"/>
  <c r="J294" i="6"/>
  <c r="J297" i="6"/>
  <c r="J300" i="6"/>
  <c r="J293" i="6"/>
  <c r="J295" i="6"/>
  <c r="J299" i="6"/>
  <c r="J296" i="6"/>
  <c r="I609" i="6" l="1"/>
  <c r="J77" i="2" s="1"/>
  <c r="F47" i="13"/>
  <c r="I4" i="11"/>
  <c r="F5" i="13"/>
  <c r="F46" i="13"/>
  <c r="K16" i="6"/>
  <c r="K138" i="6"/>
  <c r="L17" i="2" s="1"/>
  <c r="H14" i="13" s="1"/>
  <c r="M50" i="2"/>
  <c r="L15" i="6"/>
  <c r="M49" i="2"/>
  <c r="L14" i="6"/>
  <c r="M48" i="2"/>
  <c r="L12" i="6"/>
  <c r="M47" i="2"/>
  <c r="L11" i="6"/>
  <c r="K475" i="6"/>
  <c r="L64" i="2" s="1"/>
  <c r="K234" i="6"/>
  <c r="L46" i="2" s="1"/>
  <c r="H36" i="13" s="1"/>
  <c r="J559" i="6"/>
  <c r="K73" i="2" s="1"/>
  <c r="J553" i="6"/>
  <c r="K71" i="2" s="1"/>
  <c r="K67" i="2"/>
  <c r="J494" i="6"/>
  <c r="K66" i="2" s="1"/>
  <c r="J69" i="6" s="1"/>
  <c r="J58" i="6" s="1"/>
  <c r="K8" i="2" s="1"/>
  <c r="K301" i="6"/>
  <c r="K514" i="6"/>
  <c r="K501" i="6" s="1"/>
  <c r="K63" i="6" s="1"/>
  <c r="M53" i="2"/>
  <c r="L53" i="2"/>
  <c r="H39" i="13" s="1"/>
  <c r="I315" i="6"/>
  <c r="J318" i="6"/>
  <c r="J333" i="6"/>
  <c r="J334" i="6" s="1"/>
  <c r="K314" i="6"/>
  <c r="K312" i="6"/>
  <c r="K313" i="6"/>
  <c r="K317" i="6" s="1"/>
  <c r="J311" i="6"/>
  <c r="J335" i="6" s="1"/>
  <c r="J316" i="6"/>
  <c r="K303" i="6"/>
  <c r="K304" i="6"/>
  <c r="K302" i="6"/>
  <c r="J309" i="6"/>
  <c r="L305" i="6"/>
  <c r="K294" i="6"/>
  <c r="K297" i="6"/>
  <c r="K300" i="6"/>
  <c r="K295" i="6"/>
  <c r="K298" i="6"/>
  <c r="K296" i="6"/>
  <c r="K299" i="6"/>
  <c r="K293" i="6"/>
  <c r="I320" i="6" l="1"/>
  <c r="I289" i="6" s="1"/>
  <c r="I337" i="6"/>
  <c r="G46" i="13"/>
  <c r="J4" i="11"/>
  <c r="G5" i="13"/>
  <c r="J609" i="6"/>
  <c r="K77" i="2" s="1"/>
  <c r="G47" i="13"/>
  <c r="L16" i="6"/>
  <c r="L138" i="6"/>
  <c r="M17" i="2" s="1"/>
  <c r="J52" i="2"/>
  <c r="I19" i="6"/>
  <c r="I7" i="6" s="1"/>
  <c r="J7" i="2" s="1"/>
  <c r="F4" i="13" s="1"/>
  <c r="L475" i="6"/>
  <c r="M64" i="2" s="1"/>
  <c r="L234" i="6"/>
  <c r="M46" i="2" s="1"/>
  <c r="K559" i="6"/>
  <c r="L73" i="2" s="1"/>
  <c r="K553" i="6"/>
  <c r="L71" i="2" s="1"/>
  <c r="L67" i="2"/>
  <c r="K494" i="6"/>
  <c r="L66" i="2" s="1"/>
  <c r="K69" i="6" s="1"/>
  <c r="K58" i="6" s="1"/>
  <c r="L8" i="2" s="1"/>
  <c r="H5" i="13" s="1"/>
  <c r="L301" i="6"/>
  <c r="L514" i="6"/>
  <c r="L501" i="6" s="1"/>
  <c r="L63" i="6" s="1"/>
  <c r="I290" i="6"/>
  <c r="I380" i="6"/>
  <c r="J315" i="6"/>
  <c r="K318" i="6"/>
  <c r="K333" i="6"/>
  <c r="K334" i="6" s="1"/>
  <c r="K316" i="6"/>
  <c r="K311" i="6"/>
  <c r="L312" i="6"/>
  <c r="L313" i="6"/>
  <c r="L317" i="6" s="1"/>
  <c r="L314" i="6"/>
  <c r="K309" i="6"/>
  <c r="L302" i="6"/>
  <c r="L303" i="6"/>
  <c r="L304" i="6"/>
  <c r="L294" i="6"/>
  <c r="L297" i="6"/>
  <c r="L300" i="6"/>
  <c r="L293" i="6"/>
  <c r="L295" i="6"/>
  <c r="L298" i="6"/>
  <c r="L296" i="6"/>
  <c r="L299" i="6"/>
  <c r="J320" i="6" l="1"/>
  <c r="J289" i="6" s="1"/>
  <c r="J337" i="6"/>
  <c r="K609" i="6"/>
  <c r="L77" i="2" s="1"/>
  <c r="H47" i="13"/>
  <c r="H6" i="14"/>
  <c r="H5" i="14"/>
  <c r="F38" i="13"/>
  <c r="U6" i="13" s="1"/>
  <c r="H46" i="13"/>
  <c r="K4" i="11"/>
  <c r="I196" i="6"/>
  <c r="J25" i="2" s="1"/>
  <c r="F22" i="13" s="1"/>
  <c r="I3" i="11"/>
  <c r="I78" i="6"/>
  <c r="J9" i="2"/>
  <c r="F6" i="13" s="1"/>
  <c r="U4" i="13" s="1"/>
  <c r="K52" i="2"/>
  <c r="J19" i="6"/>
  <c r="L559" i="6"/>
  <c r="M73" i="2" s="1"/>
  <c r="L553" i="6"/>
  <c r="M71" i="2" s="1"/>
  <c r="M67" i="2"/>
  <c r="L494" i="6"/>
  <c r="M66" i="2" s="1"/>
  <c r="L69" i="6" s="1"/>
  <c r="L58" i="6" s="1"/>
  <c r="M8" i="2" s="1"/>
  <c r="J290" i="6"/>
  <c r="J380" i="6"/>
  <c r="K315" i="6"/>
  <c r="L318" i="6"/>
  <c r="L333" i="6"/>
  <c r="L334" i="6" s="1"/>
  <c r="K335" i="6"/>
  <c r="L311" i="6"/>
  <c r="L335" i="6" s="1"/>
  <c r="L316" i="6"/>
  <c r="L309" i="6"/>
  <c r="L609" i="6" l="1"/>
  <c r="M77" i="2" s="1"/>
  <c r="I6" i="11"/>
  <c r="I22" i="11"/>
  <c r="K320" i="6"/>
  <c r="K289" i="6" s="1"/>
  <c r="K337" i="6"/>
  <c r="I5" i="14"/>
  <c r="I6" i="14"/>
  <c r="G38" i="13"/>
  <c r="V6" i="13" s="1"/>
  <c r="I5" i="11"/>
  <c r="L4" i="11"/>
  <c r="J78" i="6"/>
  <c r="J10" i="2"/>
  <c r="F7" i="13" s="1"/>
  <c r="I93" i="6"/>
  <c r="J11" i="2" s="1"/>
  <c r="F8" i="13" s="1"/>
  <c r="L52" i="2"/>
  <c r="K19" i="6"/>
  <c r="K290" i="6"/>
  <c r="K380" i="6"/>
  <c r="L315" i="6"/>
  <c r="L320" i="6" l="1"/>
  <c r="L289" i="6" s="1"/>
  <c r="L337" i="6"/>
  <c r="J5" i="14"/>
  <c r="J6" i="14"/>
  <c r="H38" i="13"/>
  <c r="W6" i="13" s="1"/>
  <c r="K78" i="6"/>
  <c r="J12" i="2"/>
  <c r="F9" i="13" s="1"/>
  <c r="J6" i="2"/>
  <c r="K10" i="2"/>
  <c r="G7" i="13" s="1"/>
  <c r="J93" i="6"/>
  <c r="K11" i="2" s="1"/>
  <c r="G8" i="13" s="1"/>
  <c r="M52" i="2"/>
  <c r="L19" i="6"/>
  <c r="L290" i="6"/>
  <c r="L380" i="6"/>
  <c r="I20" i="11" l="1"/>
  <c r="I16" i="11"/>
  <c r="K5" i="14"/>
  <c r="K6" i="14"/>
  <c r="F3" i="13"/>
  <c r="U3" i="13" s="1"/>
  <c r="I8" i="11"/>
  <c r="J16" i="2"/>
  <c r="I7" i="11" s="1"/>
  <c r="K12" i="2"/>
  <c r="G9" i="13" s="1"/>
  <c r="L10" i="2"/>
  <c r="H7" i="13" s="1"/>
  <c r="K93" i="6"/>
  <c r="L11" i="2" s="1"/>
  <c r="H8" i="13" s="1"/>
  <c r="L78" i="6"/>
  <c r="M10" i="2" s="1"/>
  <c r="J18" i="2" l="1"/>
  <c r="F15" i="13" s="1"/>
  <c r="F13" i="13"/>
  <c r="J24" i="2"/>
  <c r="L93" i="6"/>
  <c r="M11" i="2" s="1"/>
  <c r="M12" i="2" s="1"/>
  <c r="L12" i="2"/>
  <c r="H9" i="13" s="1"/>
  <c r="J26" i="2" l="1"/>
  <c r="F21" i="13"/>
  <c r="J28" i="2" l="1"/>
  <c r="F23" i="13"/>
  <c r="I206" i="6" l="1"/>
  <c r="J29" i="2" s="1"/>
  <c r="J30" i="2" s="1"/>
  <c r="F25" i="13"/>
  <c r="I10" i="11" l="1"/>
  <c r="U10" i="13" s="1"/>
  <c r="F27" i="13"/>
  <c r="J31" i="2"/>
  <c r="J33" i="2"/>
  <c r="F30" i="13" s="1"/>
  <c r="U5" i="13" s="1"/>
  <c r="J32" i="2"/>
  <c r="F26" i="13"/>
  <c r="I546" i="6"/>
  <c r="J69" i="2" s="1"/>
  <c r="J41" i="2" l="1"/>
  <c r="J74" i="2"/>
  <c r="F50" i="13" s="1"/>
  <c r="F49" i="13"/>
  <c r="J81" i="2"/>
  <c r="F29" i="13"/>
  <c r="F28" i="13"/>
  <c r="J34" i="2"/>
  <c r="I592" i="6"/>
  <c r="B62" i="12"/>
  <c r="I617" i="6"/>
  <c r="C5" i="12"/>
  <c r="F31" i="13" l="1"/>
  <c r="U8" i="13" s="1"/>
  <c r="I17" i="11"/>
  <c r="I620" i="6"/>
  <c r="I634" i="6" s="1"/>
  <c r="I631" i="6" s="1"/>
  <c r="J79" i="2" s="1"/>
  <c r="I619" i="6"/>
  <c r="I615" i="6" s="1"/>
  <c r="J78" i="2" s="1"/>
  <c r="J80" i="2" l="1"/>
  <c r="F53" i="13"/>
  <c r="C3" i="12" l="1"/>
  <c r="I591" i="6"/>
  <c r="J82" i="2"/>
  <c r="I595" i="6"/>
  <c r="J85" i="2" s="1"/>
  <c r="F56" i="13" s="1"/>
  <c r="U9" i="13" s="1"/>
  <c r="I11" i="11" l="1"/>
  <c r="U11" i="13" s="1"/>
  <c r="J83" i="2"/>
  <c r="F54" i="13"/>
  <c r="B30" i="12"/>
  <c r="C4" i="12"/>
  <c r="C6" i="12" s="1"/>
  <c r="C7" i="12" s="1"/>
  <c r="J62" i="2" l="1"/>
  <c r="F55" i="13"/>
  <c r="I14" i="11" l="1"/>
  <c r="I12" i="11"/>
  <c r="U12" i="13" s="1"/>
  <c r="I13" i="11"/>
  <c r="J45" i="2"/>
  <c r="I15" i="11" s="1"/>
  <c r="F44" i="13"/>
  <c r="U7" i="13" s="1"/>
  <c r="I379" i="6"/>
  <c r="I523" i="6"/>
  <c r="F35" i="13" l="1"/>
  <c r="J9" i="6"/>
  <c r="J13" i="6" s="1"/>
  <c r="J7" i="6" s="1"/>
  <c r="K7" i="2" s="1"/>
  <c r="J92" i="2"/>
  <c r="J3" i="11" l="1"/>
  <c r="G4" i="13"/>
  <c r="K6" i="2"/>
  <c r="K9" i="2"/>
  <c r="J196" i="6"/>
  <c r="K25" i="2" s="1"/>
  <c r="J20" i="11" l="1"/>
  <c r="J16" i="11"/>
  <c r="J6" i="11"/>
  <c r="J22" i="11"/>
  <c r="G22" i="13"/>
  <c r="G6" i="13"/>
  <c r="V4" i="13" s="1"/>
  <c r="J5" i="11"/>
  <c r="K16" i="2"/>
  <c r="J7" i="11" s="1"/>
  <c r="G3" i="13"/>
  <c r="V3" i="13" s="1"/>
  <c r="J8" i="11"/>
  <c r="K18" i="2" l="1"/>
  <c r="G13" i="13"/>
  <c r="G15" i="13" l="1"/>
  <c r="K24" i="2"/>
  <c r="K26" i="2" l="1"/>
  <c r="G21" i="13"/>
  <c r="K28" i="2" l="1"/>
  <c r="G23" i="13"/>
  <c r="J206" i="6" l="1"/>
  <c r="K29" i="2" s="1"/>
  <c r="G25" i="13"/>
  <c r="K30" i="2" l="1"/>
  <c r="G26" i="13"/>
  <c r="J546" i="6"/>
  <c r="K69" i="2" s="1"/>
  <c r="J10" i="11" l="1"/>
  <c r="V10" i="13" s="1"/>
  <c r="K74" i="2"/>
  <c r="G50" i="13" s="1"/>
  <c r="G49" i="13"/>
  <c r="G27" i="13"/>
  <c r="K31" i="2"/>
  <c r="K32" i="2"/>
  <c r="K33" i="2"/>
  <c r="G30" i="13" s="1"/>
  <c r="V5" i="13" s="1"/>
  <c r="K81" i="2" l="1"/>
  <c r="G29" i="13"/>
  <c r="G28" i="13"/>
  <c r="K34" i="2"/>
  <c r="J592" i="6"/>
  <c r="J617" i="6"/>
  <c r="D5" i="12"/>
  <c r="K41" i="2"/>
  <c r="B60" i="12" l="1"/>
  <c r="B61" i="12" s="1"/>
  <c r="B90" i="12" s="1"/>
  <c r="G31" i="13"/>
  <c r="V8" i="13" s="1"/>
  <c r="J619" i="6"/>
  <c r="K36" i="2" s="1"/>
  <c r="J620" i="6"/>
  <c r="J634" i="6" s="1"/>
  <c r="J631" i="6" s="1"/>
  <c r="K79" i="2" s="1"/>
  <c r="J615" i="6"/>
  <c r="J17" i="11" l="1"/>
  <c r="B95" i="12"/>
  <c r="K78" i="2"/>
  <c r="B99" i="12" l="1"/>
  <c r="B104" i="12"/>
  <c r="K80" i="2"/>
  <c r="G53" i="13"/>
  <c r="D3" i="12" l="1"/>
  <c r="J591" i="6"/>
  <c r="K82" i="2"/>
  <c r="J595" i="6"/>
  <c r="K85" i="2" s="1"/>
  <c r="G56" i="13" s="1"/>
  <c r="V9" i="13" s="1"/>
  <c r="J11" i="11" l="1"/>
  <c r="V11" i="13" s="1"/>
  <c r="B50" i="12"/>
  <c r="B91" i="12"/>
  <c r="B117" i="12" s="1"/>
  <c r="K83" i="2"/>
  <c r="G54" i="13"/>
  <c r="D4" i="12"/>
  <c r="B46" i="12" s="1"/>
  <c r="B49" i="12" s="1"/>
  <c r="D6" i="12"/>
  <c r="D7" i="12" s="1"/>
  <c r="D10" i="12" s="1"/>
  <c r="K62" i="2" l="1"/>
  <c r="G55" i="13"/>
  <c r="B51" i="12"/>
  <c r="B89" i="12" s="1"/>
  <c r="J14" i="11" l="1"/>
  <c r="J12" i="11"/>
  <c r="V12" i="13" s="1"/>
  <c r="J13" i="11"/>
  <c r="G44" i="13"/>
  <c r="V7" i="13" s="1"/>
  <c r="K45" i="2"/>
  <c r="J15" i="11" s="1"/>
  <c r="J379" i="6"/>
  <c r="J523" i="6"/>
  <c r="G35" i="13" l="1"/>
  <c r="K9" i="6"/>
  <c r="K13" i="6" s="1"/>
  <c r="K7" i="6" s="1"/>
  <c r="L7" i="2" s="1"/>
  <c r="K92" i="2"/>
  <c r="H4" i="13" l="1"/>
  <c r="L6" i="2"/>
  <c r="K3" i="11"/>
  <c r="L9" i="2"/>
  <c r="K196" i="6"/>
  <c r="L25" i="2" s="1"/>
  <c r="K20" i="11" l="1"/>
  <c r="K16" i="11"/>
  <c r="K6" i="11"/>
  <c r="K22" i="11"/>
  <c r="H22" i="13"/>
  <c r="H6" i="13"/>
  <c r="W4" i="13" s="1"/>
  <c r="L16" i="2"/>
  <c r="K7" i="11" s="1"/>
  <c r="K5" i="11"/>
  <c r="H3" i="13"/>
  <c r="W3" i="13" s="1"/>
  <c r="K8" i="11"/>
  <c r="L18" i="2" l="1"/>
  <c r="H13" i="13"/>
  <c r="H15" i="13" l="1"/>
  <c r="L24" i="2"/>
  <c r="L26" i="2" l="1"/>
  <c r="H21" i="13"/>
  <c r="L28" i="2" l="1"/>
  <c r="H23" i="13"/>
  <c r="K206" i="6" l="1"/>
  <c r="L29" i="2" s="1"/>
  <c r="H25" i="13"/>
  <c r="L30" i="2" l="1"/>
  <c r="H26" i="13"/>
  <c r="K546" i="6"/>
  <c r="L69" i="2" s="1"/>
  <c r="K10" i="11" l="1"/>
  <c r="W10" i="13" s="1"/>
  <c r="L74" i="2"/>
  <c r="H50" i="13" s="1"/>
  <c r="H49" i="13"/>
  <c r="L33" i="2"/>
  <c r="H30" i="13" s="1"/>
  <c r="W5" i="13" s="1"/>
  <c r="H27" i="13"/>
  <c r="L32" i="2"/>
  <c r="L31" i="2"/>
  <c r="H28" i="13" l="1"/>
  <c r="L34" i="2"/>
  <c r="H31" i="13" s="1"/>
  <c r="W8" i="13" s="1"/>
  <c r="K592" i="6"/>
  <c r="K617" i="6"/>
  <c r="E5" i="12"/>
  <c r="L41" i="2"/>
  <c r="L81" i="2"/>
  <c r="H29" i="13"/>
  <c r="K620" i="6" l="1"/>
  <c r="K634" i="6" s="1"/>
  <c r="K631" i="6" s="1"/>
  <c r="L79" i="2" s="1"/>
  <c r="K619" i="6"/>
  <c r="K615" i="6" l="1"/>
  <c r="L78" i="2" s="1"/>
  <c r="L36" i="2"/>
  <c r="K17" i="11" s="1"/>
  <c r="L80" i="2" l="1"/>
  <c r="H53" i="13"/>
  <c r="E3" i="12" l="1"/>
  <c r="K591" i="6"/>
  <c r="L82" i="2"/>
  <c r="K595" i="6"/>
  <c r="L85" i="2" s="1"/>
  <c r="H56" i="13" s="1"/>
  <c r="W9" i="13" s="1"/>
  <c r="K11" i="11" l="1"/>
  <c r="W11" i="13" s="1"/>
  <c r="L83" i="2"/>
  <c r="H54" i="13"/>
  <c r="E4" i="12"/>
  <c r="E6" i="12"/>
  <c r="E7" i="12" s="1"/>
  <c r="E10" i="12" s="1"/>
  <c r="L62" i="2" l="1"/>
  <c r="H55" i="13"/>
  <c r="K14" i="11" l="1"/>
  <c r="K12" i="11"/>
  <c r="W12" i="13" s="1"/>
  <c r="K13" i="11"/>
  <c r="L45" i="2"/>
  <c r="K15" i="11" s="1"/>
  <c r="H44" i="13"/>
  <c r="W7" i="13" s="1"/>
  <c r="K379" i="6"/>
  <c r="K523" i="6"/>
  <c r="H35" i="13" l="1"/>
  <c r="L9" i="6"/>
  <c r="L13" i="6" s="1"/>
  <c r="L7" i="6" s="1"/>
  <c r="M7" i="2" s="1"/>
  <c r="L92" i="2"/>
  <c r="L196" i="6" l="1"/>
  <c r="M25" i="2" s="1"/>
  <c r="L3" i="11"/>
  <c r="M9" i="2"/>
  <c r="M6" i="2"/>
  <c r="L8" i="11" l="1"/>
  <c r="L20" i="11"/>
  <c r="L16" i="11"/>
  <c r="L6" i="11"/>
  <c r="L22" i="11"/>
  <c r="M16" i="2"/>
  <c r="L5" i="11"/>
  <c r="M18" i="2" l="1"/>
  <c r="L7" i="11"/>
  <c r="M24" i="2"/>
  <c r="M26" i="2" s="1"/>
  <c r="M28" i="2" s="1"/>
  <c r="L206" i="6" s="1"/>
  <c r="M29" i="2" s="1"/>
  <c r="M30" i="2" l="1"/>
  <c r="L546" i="6"/>
  <c r="M69" i="2" s="1"/>
  <c r="M74" i="2" s="1"/>
  <c r="L10" i="11" l="1"/>
  <c r="M32" i="2"/>
  <c r="M81" i="2" s="1"/>
  <c r="M31" i="2"/>
  <c r="M33" i="2"/>
  <c r="M41" i="2"/>
  <c r="M34" i="2" l="1"/>
  <c r="L592" i="6"/>
  <c r="L617" i="6"/>
  <c r="F5" i="12"/>
  <c r="L620" i="6" l="1"/>
  <c r="L634" i="6" s="1"/>
  <c r="L631" i="6" s="1"/>
  <c r="M79" i="2" s="1"/>
  <c r="L619" i="6"/>
  <c r="M36" i="2" s="1"/>
  <c r="L17" i="11" s="1"/>
  <c r="L615" i="6"/>
  <c r="M78" i="2" s="1"/>
  <c r="M80" i="2" s="1"/>
  <c r="F3" i="12" l="1"/>
  <c r="L591" i="6"/>
  <c r="M82" i="2"/>
  <c r="L595" i="6"/>
  <c r="M85" i="2" s="1"/>
  <c r="L11" i="11" l="1"/>
  <c r="M83" i="2"/>
  <c r="M62" i="2" s="1"/>
  <c r="F4" i="12"/>
  <c r="F6" i="12" s="1"/>
  <c r="F7" i="12" s="1"/>
  <c r="L14" i="11" l="1"/>
  <c r="L12" i="11"/>
  <c r="L13" i="11"/>
  <c r="F8" i="12"/>
  <c r="F10" i="12" s="1"/>
  <c r="B13" i="12" s="1"/>
  <c r="B15" i="12" s="1"/>
  <c r="B17" i="12" s="1"/>
  <c r="B88" i="12" s="1"/>
  <c r="B92" i="12" s="1"/>
  <c r="M45" i="2"/>
  <c r="L379" i="6"/>
  <c r="L523" i="6"/>
  <c r="M92" i="2" l="1"/>
  <c r="L15" i="11"/>
  <c r="B98" i="12"/>
  <c r="B100" i="12" s="1"/>
  <c r="B93" i="12"/>
  <c r="B103" i="12" s="1"/>
  <c r="B10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tc={27353BB4-BE06-44D7-BC91-CE71AFA2651B}</author>
    <author>tc={9916B379-35D6-41FA-B05E-1C34E40081B9}</author>
  </authors>
  <commentList>
    <comment ref="H313" authorId="0" shapeId="0" xr:uid="{27353BB4-BE06-44D7-BC91-CE71AFA2651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Significant credit risk but not impaired</t>
        </r>
      </text>
    </comment>
    <comment ref="H314" authorId="1" shapeId="0" xr:uid="{9916B379-35D6-41FA-B05E-1C34E40081B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Default or impaired status</t>
        </r>
      </text>
    </comment>
  </commentList>
</comments>
</file>

<file path=xl/sharedStrings.xml><?xml version="1.0" encoding="utf-8"?>
<sst xmlns="http://schemas.openxmlformats.org/spreadsheetml/2006/main" count="1187" uniqueCount="705">
  <si>
    <t>Date</t>
  </si>
  <si>
    <t>Price to Book Ratio</t>
  </si>
  <si>
    <t>COMB</t>
  </si>
  <si>
    <t>Price Earnings Ratio (P/E)</t>
  </si>
  <si>
    <t>Last Price</t>
  </si>
  <si>
    <t>Volume</t>
  </si>
  <si>
    <t>SMAVG (15)</t>
  </si>
  <si>
    <t>Gross income</t>
  </si>
  <si>
    <t>Interest income</t>
  </si>
  <si>
    <t>Less: Interest expense</t>
  </si>
  <si>
    <t>Net interest income</t>
  </si>
  <si>
    <t>Fee and commission income</t>
  </si>
  <si>
    <t>Less: Fee and commission expense</t>
  </si>
  <si>
    <t>Net fee and commission income</t>
  </si>
  <si>
    <t>Net gains/(losses) from trading</t>
  </si>
  <si>
    <t>Net gains/(losses) from derecognition of financial assets</t>
  </si>
  <si>
    <t>Net other operating income</t>
  </si>
  <si>
    <t>Total operating income</t>
  </si>
  <si>
    <t>Less: Impairment charges and other losses</t>
  </si>
  <si>
    <t>Net operating income</t>
  </si>
  <si>
    <t>Depreciation and amortisation</t>
  </si>
  <si>
    <t>Other operating expenses</t>
  </si>
  <si>
    <t>Total operating expenses</t>
  </si>
  <si>
    <t>Operating profit before taxes on financial services</t>
  </si>
  <si>
    <t>Less: Taxes on financial services</t>
  </si>
  <si>
    <t>Operating profit after taxes on financial services</t>
  </si>
  <si>
    <t>Share of profit/(loss) of associate, net of tax</t>
  </si>
  <si>
    <t>Profit before tax</t>
  </si>
  <si>
    <t>Less: Income tax expense/(reversal)</t>
  </si>
  <si>
    <t>Profit for the year</t>
  </si>
  <si>
    <t>Profit attributable to:
Equity holders of the Bank</t>
  </si>
  <si>
    <t>Non-controlling interest</t>
  </si>
  <si>
    <t>Earnings per share
Basic earnings per ordinary share (Rs.)</t>
  </si>
  <si>
    <t>Diluted earnings per ordinary share (Rs.)</t>
  </si>
  <si>
    <t>Balances with Central Banks</t>
  </si>
  <si>
    <t>Placements with banks</t>
  </si>
  <si>
    <t>Securities purchased under resale agreements</t>
  </si>
  <si>
    <t>Derivative financial assets</t>
  </si>
  <si>
    <t>Financial assets recognised through profit or loss – measured at fair value</t>
  </si>
  <si>
    <t>Financial assets at amortised cost – loans and advances to other customers</t>
  </si>
  <si>
    <t>Financial assets at amortised cost – debt and other financial instruments</t>
  </si>
  <si>
    <t>Financial assets measured at fair value through other comprehensive income</t>
  </si>
  <si>
    <t>Investments in subsidiaries</t>
  </si>
  <si>
    <t>Investment in associate</t>
  </si>
  <si>
    <t>Property, plant and equipment and right-of-use assets</t>
  </si>
  <si>
    <t>Investment properties</t>
  </si>
  <si>
    <t>Intangible assets</t>
  </si>
  <si>
    <t>Deferred tax assets</t>
  </si>
  <si>
    <t>Other assets</t>
  </si>
  <si>
    <t>Total assets</t>
  </si>
  <si>
    <t>Derivative financial liabilities</t>
  </si>
  <si>
    <t>Securities sold under repurchase agreements</t>
  </si>
  <si>
    <t>Financial liabilities at amortised cost – due to depositors</t>
  </si>
  <si>
    <t>Financial liabilities at amortised cost – other borrowings</t>
  </si>
  <si>
    <t>Current tax liabilities</t>
  </si>
  <si>
    <t>Deferred tax liabilities</t>
  </si>
  <si>
    <t>Other liabilities</t>
  </si>
  <si>
    <t>Due to subsidiaries</t>
  </si>
  <si>
    <t>Subordinated liabilities</t>
  </si>
  <si>
    <t>Total liabilities</t>
  </si>
  <si>
    <t>Statutory reserves</t>
  </si>
  <si>
    <t>Retained earnings</t>
  </si>
  <si>
    <t>Other reserves</t>
  </si>
  <si>
    <t>Total equity attributable to equity holders of the Bank</t>
  </si>
  <si>
    <t>Total equity</t>
  </si>
  <si>
    <t>Total liabilities and equity</t>
  </si>
  <si>
    <t>Contingent liabilities and commitments</t>
  </si>
  <si>
    <t>Net assets value per ordinary share (Rs.)</t>
  </si>
  <si>
    <t>Number of customer service centres</t>
  </si>
  <si>
    <t>For the year ended December 31,</t>
  </si>
  <si>
    <t>Cash flows from operating activities Profit before income tax</t>
  </si>
  <si>
    <t>Change in operating assets</t>
  </si>
  <si>
    <t>Change in operating liabilities</t>
  </si>
  <si>
    <t>(Gains)/losses on sale of property, plant and equipment</t>
  </si>
  <si>
    <t>Share of (profit)/loss of associate, net of tax</t>
  </si>
  <si>
    <t>Dividends received from investments in associate and subsidiaries</t>
  </si>
  <si>
    <t>Interest expense on subordinated liabilities</t>
  </si>
  <si>
    <t>Net unrealised gains/(losses) arising from translating the Financial Statements of foreign operations</t>
  </si>
  <si>
    <t>Benefits paid on defined benefit plans</t>
  </si>
  <si>
    <t>Income tax paid</t>
  </si>
  <si>
    <t>Surcharge tax paid</t>
  </si>
  <si>
    <t>Net cash from/(used in) operating activities</t>
  </si>
  <si>
    <t>Proceeds from sale of property, plant and equipment</t>
  </si>
  <si>
    <t>Purchase of financial investments</t>
  </si>
  <si>
    <t>Proceeds from sale and maturity of financial investments</t>
  </si>
  <si>
    <t>Purchase of intangible assets</t>
  </si>
  <si>
    <t>Net cash from/(used in) investing activities</t>
  </si>
  <si>
    <t>Proceeds from issue of subordinated liabilities</t>
  </si>
  <si>
    <t>Redemption of subordinated liabilities</t>
  </si>
  <si>
    <t>Interest paid on subordinated liabilities</t>
  </si>
  <si>
    <t>Payment of lease liabilities/advance payment of right-of-use assets</t>
  </si>
  <si>
    <t>Dividend paid to non-controlling interest</t>
  </si>
  <si>
    <t>Dividend paid to shareholders</t>
  </si>
  <si>
    <t>Net cash from/(used in) financing activities</t>
  </si>
  <si>
    <t>Net increase/(decrease) in cash and cash equivalents</t>
  </si>
  <si>
    <t>Cash and cash equivalents as at January 01,</t>
  </si>
  <si>
    <t>Gross cash and cash equivalents as at December 31,</t>
  </si>
  <si>
    <t>Less: Impairment charges on cash and cash equivalents</t>
  </si>
  <si>
    <t>Cash and cash equivalents as per Statement of Financial Position</t>
  </si>
  <si>
    <t>Assets</t>
  </si>
  <si>
    <t>Cash and cash equivalents</t>
  </si>
  <si>
    <t>OCI</t>
  </si>
  <si>
    <t>Transfer of FV losses reclassification of debt from FVTOCI to AC</t>
  </si>
  <si>
    <t>Financial assets at amortised cost – loans and advances to banks</t>
  </si>
  <si>
    <t>Other items</t>
  </si>
  <si>
    <t>Less: Expenses</t>
  </si>
  <si>
    <t>Personnel expenses</t>
  </si>
  <si>
    <t>Liabilities</t>
  </si>
  <si>
    <t>Due to banks</t>
  </si>
  <si>
    <t>Equity</t>
  </si>
  <si>
    <t>Stated capital</t>
  </si>
  <si>
    <t>Non-cash items included in profit before tax</t>
  </si>
  <si>
    <t>Adjustments for:</t>
  </si>
  <si>
    <t>Purchase of property, plant and equipment</t>
  </si>
  <si>
    <t>Cash flows from investing activities</t>
  </si>
  <si>
    <t>Proceeds from issue of ordinary voting shares under employee share option plans</t>
  </si>
  <si>
    <t>Cash flows from financing activities</t>
  </si>
  <si>
    <t>(LKR '000 except per share data)</t>
  </si>
  <si>
    <t>COMMERCIAL BANK OF CEYLON PLC</t>
  </si>
  <si>
    <t>COMB X</t>
  </si>
  <si>
    <t>COMB N</t>
  </si>
  <si>
    <t>BALANCE SHEET</t>
  </si>
  <si>
    <t>INCOME STATEMENT</t>
  </si>
  <si>
    <t>CASH FLOW STATEMENT</t>
  </si>
  <si>
    <t>2023F</t>
  </si>
  <si>
    <t>2024F</t>
  </si>
  <si>
    <t>2025F</t>
  </si>
  <si>
    <t>2026F</t>
  </si>
  <si>
    <t>Number of employees</t>
  </si>
  <si>
    <t>Memorandum information</t>
  </si>
  <si>
    <t>Trade finance</t>
  </si>
  <si>
    <t>Lease/hire purchase receivable</t>
  </si>
  <si>
    <t>Credit cards</t>
  </si>
  <si>
    <t>Pawning</t>
  </si>
  <si>
    <t>Staff loans</t>
  </si>
  <si>
    <t>Housing loans</t>
  </si>
  <si>
    <t>Personal loans</t>
  </si>
  <si>
    <t>Term loans</t>
  </si>
  <si>
    <t>Short term</t>
  </si>
  <si>
    <t>Long term</t>
  </si>
  <si>
    <t>Bills of exchange</t>
  </si>
  <si>
    <t>Overdrafts</t>
  </si>
  <si>
    <t>Gross Loans and advances</t>
  </si>
  <si>
    <t>Gross loans and advances</t>
  </si>
  <si>
    <t>Stage 1</t>
  </si>
  <si>
    <t>Stage 2</t>
  </si>
  <si>
    <t>Stage 3 (*)</t>
  </si>
  <si>
    <t>Less: Provision for impairment</t>
  </si>
  <si>
    <t>Stage 3</t>
  </si>
  <si>
    <t>Net loans and advances</t>
  </si>
  <si>
    <t>Sri Lankan Rupee</t>
  </si>
  <si>
    <t>United States Dollar</t>
  </si>
  <si>
    <t>Great Britain Pound</t>
  </si>
  <si>
    <t>Euro</t>
  </si>
  <si>
    <t>Australian Dollar</t>
  </si>
  <si>
    <t>Japanese Yen</t>
  </si>
  <si>
    <t>Bangladesh Taka</t>
  </si>
  <si>
    <t>Maldivian Rufiyaa</t>
  </si>
  <si>
    <t>Others</t>
  </si>
  <si>
    <t>By currency</t>
  </si>
  <si>
    <t>Agriculture and fishing</t>
  </si>
  <si>
    <t>Arts, entertainment and recreation</t>
  </si>
  <si>
    <t>Construction</t>
  </si>
  <si>
    <t>Consumption and other</t>
  </si>
  <si>
    <t>Education</t>
  </si>
  <si>
    <t>Financial services</t>
  </si>
  <si>
    <t>Healthcare, social services and support services</t>
  </si>
  <si>
    <t>Information technology and communication services</t>
  </si>
  <si>
    <t>Infrastructure development</t>
  </si>
  <si>
    <t>Lending to overseas entities</t>
  </si>
  <si>
    <t>Manufacturing</t>
  </si>
  <si>
    <t>Professional, scientific, and technical activities</t>
  </si>
  <si>
    <t>Tourism</t>
  </si>
  <si>
    <t>Transport and storage</t>
  </si>
  <si>
    <t>Wholesale and retail trade</t>
  </si>
  <si>
    <t>By industry</t>
  </si>
  <si>
    <t>IS check</t>
  </si>
  <si>
    <t>BS check</t>
  </si>
  <si>
    <t>Singapore dollar</t>
  </si>
  <si>
    <t>Check</t>
  </si>
  <si>
    <t>% of impairment provisions provided</t>
  </si>
  <si>
    <t>Increase in Stage 3 gross loans</t>
  </si>
  <si>
    <t>Increase as a % of previous year's stage 2 gross loans</t>
  </si>
  <si>
    <t>% of stage 3 loans to total Gross loans</t>
  </si>
  <si>
    <t>Loan portfolio growth</t>
  </si>
  <si>
    <r>
      <rPr>
        <sz val="11"/>
        <rFont val="Calibri"/>
        <family val="2"/>
        <scheme val="minor"/>
      </rPr>
      <t>Treasury Bonds (*)</t>
    </r>
  </si>
  <si>
    <r>
      <rPr>
        <sz val="11"/>
        <rFont val="Calibri"/>
        <family val="2"/>
        <scheme val="minor"/>
      </rPr>
      <t>Sri Lanka Sovereign Bonds (SLSB) (*)</t>
    </r>
  </si>
  <si>
    <r>
      <rPr>
        <sz val="11"/>
        <rFont val="Calibri"/>
        <family val="2"/>
        <scheme val="minor"/>
      </rPr>
      <t>Treasury Bills</t>
    </r>
  </si>
  <si>
    <r>
      <rPr>
        <sz val="11"/>
        <rFont val="Calibri"/>
        <family val="2"/>
        <scheme val="minor"/>
      </rPr>
      <t>Treasury Bonds</t>
    </r>
  </si>
  <si>
    <r>
      <rPr>
        <sz val="11"/>
        <rFont val="Calibri"/>
        <family val="2"/>
        <scheme val="minor"/>
      </rPr>
      <t>Government Securities – Maldives</t>
    </r>
  </si>
  <si>
    <r>
      <rPr>
        <sz val="11"/>
        <rFont val="Calibri"/>
        <family val="2"/>
        <scheme val="minor"/>
      </rPr>
      <t>Other instruments</t>
    </r>
  </si>
  <si>
    <r>
      <rPr>
        <sz val="11"/>
        <rFont val="Calibri"/>
        <family val="2"/>
        <scheme val="minor"/>
      </rPr>
      <t>Debentures</t>
    </r>
  </si>
  <si>
    <r>
      <rPr>
        <sz val="11"/>
        <rFont val="Calibri"/>
        <family val="2"/>
        <scheme val="minor"/>
      </rPr>
      <t>Trust certificates</t>
    </r>
  </si>
  <si>
    <r>
      <rPr>
        <sz val="11"/>
        <rFont val="Calibri"/>
        <family val="2"/>
        <scheme val="minor"/>
      </rPr>
      <t>Corporate investments in Bangladesh</t>
    </r>
  </si>
  <si>
    <r>
      <rPr>
        <sz val="11"/>
        <rFont val="Calibri"/>
        <family val="2"/>
        <scheme val="minor"/>
      </rPr>
      <t>Less: Provision for impairment</t>
    </r>
  </si>
  <si>
    <t>Government Securities – Sri Lanka</t>
  </si>
  <si>
    <t>Sri Lanka Development Bonds (SLDB) (*)</t>
  </si>
  <si>
    <t>Government Securities – Bangladesh</t>
  </si>
  <si>
    <t>Total gross</t>
  </si>
  <si>
    <t>Bogawantalawa Tea Estate PLC</t>
  </si>
  <si>
    <t>MTD Walkers PLC</t>
  </si>
  <si>
    <t>Singer Finance (Lanka) PLC</t>
  </si>
  <si>
    <t>Ceylon Electricity Board</t>
  </si>
  <si>
    <t>People's Leasing &amp; Finance PLC</t>
  </si>
  <si>
    <t>Impairments</t>
  </si>
  <si>
    <t>GROSS loans and advances to other customers</t>
  </si>
  <si>
    <t>Equity securities</t>
  </si>
  <si>
    <t>Government securities (after impairment)</t>
  </si>
  <si>
    <t>Local currency</t>
  </si>
  <si>
    <t>Foreign currency</t>
  </si>
  <si>
    <t>Repo securities</t>
  </si>
  <si>
    <t>Savings deposits</t>
  </si>
  <si>
    <r>
      <rPr>
        <sz val="11"/>
        <rFont val="Calibri"/>
        <family val="2"/>
        <scheme val="minor"/>
      </rPr>
      <t>Current account balances</t>
    </r>
  </si>
  <si>
    <r>
      <rPr>
        <sz val="11"/>
        <rFont val="Calibri"/>
        <family val="2"/>
        <scheme val="minor"/>
      </rPr>
      <t>Time deposits</t>
    </r>
  </si>
  <si>
    <r>
      <rPr>
        <sz val="11"/>
        <rFont val="Calibri"/>
        <family val="2"/>
        <scheme val="minor"/>
      </rPr>
      <t>Other deposits</t>
    </r>
  </si>
  <si>
    <t>Local currency deposits</t>
  </si>
  <si>
    <t>Foreign currency deposits</t>
  </si>
  <si>
    <t>Current account balances</t>
  </si>
  <si>
    <t>Time deposits</t>
  </si>
  <si>
    <t>Other deposits</t>
  </si>
  <si>
    <t>By Product</t>
  </si>
  <si>
    <t>Deposits</t>
  </si>
  <si>
    <t>Other currencies</t>
  </si>
  <si>
    <t>Sri Lanka Rupee</t>
  </si>
  <si>
    <t>Deposits from finance companies</t>
  </si>
  <si>
    <t>Deposits from other customers</t>
  </si>
  <si>
    <t>Deposits from banks</t>
  </si>
  <si>
    <t>By institution/customers</t>
  </si>
  <si>
    <t>LIABILITIES</t>
  </si>
  <si>
    <t>1H2023</t>
  </si>
  <si>
    <t>1H2022</t>
  </si>
  <si>
    <t>Placements with Banks</t>
  </si>
  <si>
    <t>Financial assets recognized through profit or loss</t>
  </si>
  <si>
    <t>Derivatives</t>
  </si>
  <si>
    <t>Other financial instruments</t>
  </si>
  <si>
    <t>Financial assets at amortized cost - loans and advances to other customers</t>
  </si>
  <si>
    <t>Financial assets at amortized cost - debt and other financial instruments</t>
  </si>
  <si>
    <t>Interest accrued on impaired loans and advances to other customers</t>
  </si>
  <si>
    <t>Interest expense</t>
  </si>
  <si>
    <t>Refinance borrowings</t>
  </si>
  <si>
    <t>Foreign currency borrowings</t>
  </si>
  <si>
    <t>Interest expense on lease liabilities</t>
  </si>
  <si>
    <t>From Sri Lanka</t>
  </si>
  <si>
    <t>From Bangladesh</t>
  </si>
  <si>
    <t>Financial assets recognised through profit or loss</t>
  </si>
  <si>
    <t>Financial assets at amortised cost – Debt and other financial instruments</t>
  </si>
  <si>
    <t>Interest income from government securities</t>
  </si>
  <si>
    <t>Maldives</t>
  </si>
  <si>
    <t>Loans and advances related services</t>
  </si>
  <si>
    <t>Credit and debit cards related services</t>
  </si>
  <si>
    <t>Trade and remittances related services</t>
  </si>
  <si>
    <t>Deposits related services</t>
  </si>
  <si>
    <t>Guarantees related services</t>
  </si>
  <si>
    <t>Other financial services</t>
  </si>
  <si>
    <t>Fee and commission expense</t>
  </si>
  <si>
    <t>Derivative financial instruments</t>
  </si>
  <si>
    <t>Foreign exchange gains/(losses) from banks and other customers</t>
  </si>
  <si>
    <t>Government Securities</t>
  </si>
  <si>
    <t>Net mark-to-market gains/(losses)</t>
  </si>
  <si>
    <t>Net capital gains</t>
  </si>
  <si>
    <t>Equities</t>
  </si>
  <si>
    <t>Dividend income</t>
  </si>
  <si>
    <t>Gains/(losses) on sale of property, plant and equipment</t>
  </si>
  <si>
    <t>Gains on revaluation of foreign exchange</t>
  </si>
  <si>
    <t>Recoveries o/a loans written off</t>
  </si>
  <si>
    <t>Dividend income from subsidiaries</t>
  </si>
  <si>
    <t>Dividend income from other equity securities</t>
  </si>
  <si>
    <t>Profit due to change in ownership</t>
  </si>
  <si>
    <t>Rental and other income</t>
  </si>
  <si>
    <t>Less: Profit due to change in ownership</t>
  </si>
  <si>
    <t>Loans and advances to other customers</t>
  </si>
  <si>
    <t>Individual impairment</t>
  </si>
  <si>
    <t>Collective impairment</t>
  </si>
  <si>
    <t>Other financial assets and off-balance sheet credit exposures</t>
  </si>
  <si>
    <t>Total impairment charges</t>
  </si>
  <si>
    <t>Direct write-offs</t>
  </si>
  <si>
    <t>Impairment charges and other losses</t>
  </si>
  <si>
    <t>Salary and bonus</t>
  </si>
  <si>
    <t>Pension costs</t>
  </si>
  <si>
    <t>Contributions to defined contribution/benefit plans –</t>
  </si>
  <si>
    <t>Funded schemes</t>
  </si>
  <si>
    <t>Contributions to defined benefit plans – Unfunded schemes</t>
  </si>
  <si>
    <t>Equity-settled share-based payment expense</t>
  </si>
  <si>
    <t>Other expenses</t>
  </si>
  <si>
    <t>PPE</t>
  </si>
  <si>
    <t>Right of use of assets</t>
  </si>
  <si>
    <t>Computer software</t>
  </si>
  <si>
    <t>Maintenance of property, plant, and equipment</t>
  </si>
  <si>
    <t>Establishment expenses</t>
  </si>
  <si>
    <t>Office administration expenses</t>
  </si>
  <si>
    <t>Deposit insurance premium</t>
  </si>
  <si>
    <t>Taxes on financial services</t>
  </si>
  <si>
    <t>VAT</t>
  </si>
  <si>
    <t>NBT</t>
  </si>
  <si>
    <t>Debt repayment</t>
  </si>
  <si>
    <t>Cash in hand</t>
  </si>
  <si>
    <t>Coins and notes held in local currency</t>
  </si>
  <si>
    <t>Coins and notes held in foreign currency</t>
  </si>
  <si>
    <t>Balances with banks</t>
  </si>
  <si>
    <t>Local banks</t>
  </si>
  <si>
    <t>Foreign banks</t>
  </si>
  <si>
    <t>Money at call and at short notice</t>
  </si>
  <si>
    <t>Gross cash and cash equivalents (*)</t>
  </si>
  <si>
    <t>Statutory balances with Central Banks</t>
  </si>
  <si>
    <t>Balances with Central Bank of Sri Lanka</t>
  </si>
  <si>
    <t>Balances with Bangladesh Bank</t>
  </si>
  <si>
    <t>Balances with Maldives Monetary Authority</t>
  </si>
  <si>
    <t>Non-statutory balances with Central Banks</t>
  </si>
  <si>
    <t>Placements within Sri Lanka</t>
  </si>
  <si>
    <t>Placements outside Sri Lanka</t>
  </si>
  <si>
    <t>Less: provision for impairments</t>
  </si>
  <si>
    <t>Government securities</t>
  </si>
  <si>
    <t>Treasury bills</t>
  </si>
  <si>
    <t>Treasury bonds</t>
  </si>
  <si>
    <t>Opening balance</t>
  </si>
  <si>
    <t>Capex / additions</t>
  </si>
  <si>
    <t>Disposals</t>
  </si>
  <si>
    <t>Exchange rate varaince</t>
  </si>
  <si>
    <t>Transfers / other adjustments</t>
  </si>
  <si>
    <t>Closing Balance</t>
  </si>
  <si>
    <t>Cost</t>
  </si>
  <si>
    <t>Accumulated depreciation</t>
  </si>
  <si>
    <t>Charge for the year</t>
  </si>
  <si>
    <t>Net book value</t>
  </si>
  <si>
    <t>Computer Software</t>
  </si>
  <si>
    <t>Software under development</t>
  </si>
  <si>
    <t>Goodwill</t>
  </si>
  <si>
    <t>Software</t>
  </si>
  <si>
    <t>Additions</t>
  </si>
  <si>
    <t>Amortization</t>
  </si>
  <si>
    <t>Closing balance</t>
  </si>
  <si>
    <t>Financial liabilities at amortized cost – due to depositors</t>
  </si>
  <si>
    <t>Borrowings from International Finance Corporation (IFC)</t>
  </si>
  <si>
    <t>Payable more than 1 year</t>
  </si>
  <si>
    <t>Payable within 1 year</t>
  </si>
  <si>
    <t>Issues to ESOP</t>
  </si>
  <si>
    <t>Issue for dividends</t>
  </si>
  <si>
    <t>Rights Issues</t>
  </si>
  <si>
    <t>Private placements</t>
  </si>
  <si>
    <t>VOTING Number of shares at year end</t>
  </si>
  <si>
    <t>NON VOTING Number of shares at year end</t>
  </si>
  <si>
    <t>Dividends - VOTING</t>
  </si>
  <si>
    <t>Dividends - NON VOTING</t>
  </si>
  <si>
    <t>Dividend per share issued</t>
  </si>
  <si>
    <t>VOTING</t>
  </si>
  <si>
    <t>NON VOTING</t>
  </si>
  <si>
    <t>TOTAL shares (VOTING + NV)</t>
  </si>
  <si>
    <t>Nominal value per share</t>
  </si>
  <si>
    <t>Other comprehensive</t>
  </si>
  <si>
    <t>Dividends paid</t>
  </si>
  <si>
    <t>Check - other adjustments</t>
  </si>
  <si>
    <t>Surcharge tax</t>
  </si>
  <si>
    <t>Revaluation reserve</t>
  </si>
  <si>
    <t>General reserve</t>
  </si>
  <si>
    <t>Fair value reserve</t>
  </si>
  <si>
    <t>Foreign currency translation reserve</t>
  </si>
  <si>
    <t>Employee share option reserve</t>
  </si>
  <si>
    <t>Hedging reserve</t>
  </si>
  <si>
    <t>Transfer to other reserves (general reserve)</t>
  </si>
  <si>
    <t>Interest rate</t>
  </si>
  <si>
    <t>Loan portfolio by province</t>
  </si>
  <si>
    <t>Maturity profile - loans</t>
  </si>
  <si>
    <t>Loan mix</t>
  </si>
  <si>
    <t>% of gross loans categorized under each stage</t>
  </si>
  <si>
    <t>Average AWPLR throughout the year</t>
  </si>
  <si>
    <t>Financail assets / total assets</t>
  </si>
  <si>
    <t>Financail assets / net loans and advances</t>
  </si>
  <si>
    <t>Growth YoY</t>
  </si>
  <si>
    <t>Gvt Sec - SL</t>
  </si>
  <si>
    <t>Gvt Sec - Maldives</t>
  </si>
  <si>
    <t>Gvt Sec - Bangladesh</t>
  </si>
  <si>
    <t>Other instruments</t>
  </si>
  <si>
    <t>Impairments to total gross financial assets</t>
  </si>
  <si>
    <t>Gsec - Growth YoY</t>
  </si>
  <si>
    <t>Equity - Growth YoY</t>
  </si>
  <si>
    <t>T Bills - Growth YoY</t>
  </si>
  <si>
    <t>T Bonds - Growth YoY</t>
  </si>
  <si>
    <t>As a % of deposits</t>
  </si>
  <si>
    <t>Total deposits / total assets</t>
  </si>
  <si>
    <t>Total deposits / gross loans and advances</t>
  </si>
  <si>
    <t>Deposit mix</t>
  </si>
  <si>
    <t>As a % of gross loans</t>
  </si>
  <si>
    <t>Growh YoY</t>
  </si>
  <si>
    <t>As a % of taxes</t>
  </si>
  <si>
    <t>Additions / opening balance</t>
  </si>
  <si>
    <t>Depreciaiton / opening balance</t>
  </si>
  <si>
    <t>Amortisation / opening balance</t>
  </si>
  <si>
    <t>As a % of PBT</t>
  </si>
  <si>
    <t>Cash as a % of deposits</t>
  </si>
  <si>
    <t>9M Sep23</t>
  </si>
  <si>
    <t>Quarter</t>
  </si>
  <si>
    <t>Period</t>
  </si>
  <si>
    <t>Less : Interest expense</t>
  </si>
  <si>
    <t>Less : Impairment charges and other losses</t>
  </si>
  <si>
    <t>Operating profit before Taxes on financial services</t>
  </si>
  <si>
    <t>Operating profit after Taxes on financial services</t>
  </si>
  <si>
    <t>Add/(less): Share of profit/(loss) of associate, net of tax</t>
  </si>
  <si>
    <t>Profit before income tax</t>
  </si>
  <si>
    <t>Profit for the period</t>
  </si>
  <si>
    <t>Profit attributable to:</t>
  </si>
  <si>
    <t>Equity holders of the Bank</t>
  </si>
  <si>
    <t>Earnings per share</t>
  </si>
  <si>
    <t>Less : Income tax expense / (reversal)</t>
  </si>
  <si>
    <t>Annualised</t>
  </si>
  <si>
    <t>For the quarter ended</t>
  </si>
  <si>
    <t>Deposit interest rate</t>
  </si>
  <si>
    <t>Other financial liabilities</t>
  </si>
  <si>
    <t>Interest expense except depositors</t>
  </si>
  <si>
    <t>Interest on opening cash</t>
  </si>
  <si>
    <t>As a % of loan book</t>
  </si>
  <si>
    <t>As a % of fee income</t>
  </si>
  <si>
    <t>Impairment as a % of gross loans</t>
  </si>
  <si>
    <t>As a % of opening PPE</t>
  </si>
  <si>
    <t>Taxes on interest income</t>
  </si>
  <si>
    <t>Income tax</t>
  </si>
  <si>
    <t>As a % pf PBT</t>
  </si>
  <si>
    <t>New debenture issue</t>
  </si>
  <si>
    <t>Dividend payout</t>
  </si>
  <si>
    <t>Transfer to general reserve out of profit</t>
  </si>
  <si>
    <t>Cash / total assets</t>
  </si>
  <si>
    <t>Net interest margin</t>
  </si>
  <si>
    <t>Interest rate spread</t>
  </si>
  <si>
    <t>NAVPS</t>
  </si>
  <si>
    <t>EPS</t>
  </si>
  <si>
    <t>Unadjusted</t>
  </si>
  <si>
    <t>Adjusted</t>
  </si>
  <si>
    <t>Residual income</t>
  </si>
  <si>
    <t>Net income</t>
  </si>
  <si>
    <t>Equity charge</t>
  </si>
  <si>
    <t>Terminal value</t>
  </si>
  <si>
    <t>Discount factor</t>
  </si>
  <si>
    <t>Cost of equity</t>
  </si>
  <si>
    <t>Beta</t>
  </si>
  <si>
    <t>g = b x ROE</t>
  </si>
  <si>
    <t>1-payout</t>
  </si>
  <si>
    <t>Diviend per share</t>
  </si>
  <si>
    <t>ROE</t>
  </si>
  <si>
    <t>Estiamted g</t>
  </si>
  <si>
    <t>PV of RI + terminal value</t>
  </si>
  <si>
    <t>All figures in LKR 000</t>
  </si>
  <si>
    <t>PBV based valuation</t>
  </si>
  <si>
    <t>Peer PBV</t>
  </si>
  <si>
    <t>TTM EPS</t>
  </si>
  <si>
    <t>comparison - forward PE</t>
  </si>
  <si>
    <t>HNB.N</t>
  </si>
  <si>
    <t>SAMP.N</t>
  </si>
  <si>
    <t>NTB.N</t>
  </si>
  <si>
    <t>NDB.N</t>
  </si>
  <si>
    <t>SEYB.N</t>
  </si>
  <si>
    <t>DFCC.N</t>
  </si>
  <si>
    <t>PABC.N</t>
  </si>
  <si>
    <t>PE</t>
  </si>
  <si>
    <t>PBV</t>
  </si>
  <si>
    <t>FY24 EPS</t>
  </si>
  <si>
    <t>9M 2023</t>
  </si>
  <si>
    <t>9M 2022</t>
  </si>
  <si>
    <t>PAT to equity</t>
  </si>
  <si>
    <t xml:space="preserve">TTM </t>
  </si>
  <si>
    <t>RI</t>
  </si>
  <si>
    <t>Discount to Non voting share</t>
  </si>
  <si>
    <t>Voting</t>
  </si>
  <si>
    <t>Non voting</t>
  </si>
  <si>
    <t>Current price - voting</t>
  </si>
  <si>
    <t>Return - voting</t>
  </si>
  <si>
    <t>Current price - non voting</t>
  </si>
  <si>
    <t>Return - non voting</t>
  </si>
  <si>
    <t>Discount</t>
  </si>
  <si>
    <t>g</t>
  </si>
  <si>
    <t>r</t>
  </si>
  <si>
    <t>Justified PBV</t>
  </si>
  <si>
    <t>Justified Trailng PE</t>
  </si>
  <si>
    <t>(1-b) (1+g) / (r - g)</t>
  </si>
  <si>
    <t>b</t>
  </si>
  <si>
    <t>Justified PE</t>
  </si>
  <si>
    <t>FY24 NAVPS</t>
  </si>
  <si>
    <t>ROE (2023E)</t>
  </si>
  <si>
    <t>Curent NAVPS</t>
  </si>
  <si>
    <t>Forward PE</t>
  </si>
  <si>
    <t>ROE (2024 expected)</t>
  </si>
  <si>
    <t>Weighted average intrinsic value</t>
  </si>
  <si>
    <t>Weighted average value per share - COMB.N</t>
  </si>
  <si>
    <t>Weighted average value per share - COMB.X</t>
  </si>
  <si>
    <t>Present Value of Residual Income</t>
  </si>
  <si>
    <t>Value per share</t>
  </si>
  <si>
    <t>Residual Income per share</t>
  </si>
  <si>
    <t>No of shares ('000)</t>
  </si>
  <si>
    <t>Residual Income (RI) Valuation</t>
  </si>
  <si>
    <t>(LKR '000)</t>
  </si>
  <si>
    <t>Risk Free rate</t>
  </si>
  <si>
    <t>Equity Risk Premium</t>
  </si>
  <si>
    <t>Cost of Equity</t>
  </si>
  <si>
    <t>Justified PBV = (ROE - g)/ (r - g)</t>
  </si>
  <si>
    <t>Justified Price to Book Valuation</t>
  </si>
  <si>
    <t>Net Asset Value Per Share (2024E)</t>
  </si>
  <si>
    <t>Growth rate (g)</t>
  </si>
  <si>
    <t>Cost of equity (r)</t>
  </si>
  <si>
    <t>Forward PE Valuation</t>
  </si>
  <si>
    <t>EPS (2024E)</t>
  </si>
  <si>
    <t>Expected forward PE</t>
  </si>
  <si>
    <t>Peer average PE</t>
  </si>
  <si>
    <t>Net Asset Value Based Valuation</t>
  </si>
  <si>
    <t>Net Asset Value per share (Sep 2023)</t>
  </si>
  <si>
    <t>Net Asset Value per share (2024E)</t>
  </si>
  <si>
    <t>Peer average</t>
  </si>
  <si>
    <t>Peer valuation multiples</t>
  </si>
  <si>
    <t>Financial assets through profit or loss (fair value)</t>
  </si>
  <si>
    <t>Debt and other financial instruments</t>
  </si>
  <si>
    <t>Financial assets through other comprehensive income</t>
  </si>
  <si>
    <t>Balances with banks and derivatives</t>
  </si>
  <si>
    <t>PPE and intangible assets</t>
  </si>
  <si>
    <t>Deferred tax and other assets</t>
  </si>
  <si>
    <t>Liabilities Due to banks and derivatives</t>
  </si>
  <si>
    <t>Tax and other liabilities</t>
  </si>
  <si>
    <t>Reserves and non-controlling interest</t>
  </si>
  <si>
    <t>Net Asset Value Per Share</t>
  </si>
  <si>
    <t>1-year T bill rate</t>
  </si>
  <si>
    <t>LKR Bn</t>
  </si>
  <si>
    <t>Loans and advanves to customers (LHS) (LKR Bn)</t>
  </si>
  <si>
    <t>Growth YoY (%) (RHS)</t>
  </si>
  <si>
    <t>AWPR</t>
  </si>
  <si>
    <t>AWDR</t>
  </si>
  <si>
    <t>Spread</t>
  </si>
  <si>
    <t>SDFR</t>
  </si>
  <si>
    <t>SLFR</t>
  </si>
  <si>
    <t>LKR</t>
  </si>
  <si>
    <t>Other</t>
  </si>
  <si>
    <t>Bangladeshi Taka</t>
  </si>
  <si>
    <t>Loans by currency exposure</t>
  </si>
  <si>
    <t>USD</t>
  </si>
  <si>
    <t>Overseas entities</t>
  </si>
  <si>
    <t>Consumption</t>
  </si>
  <si>
    <t>Agriculture</t>
  </si>
  <si>
    <t>Wholesale/ retail trade</t>
  </si>
  <si>
    <t>Impairments provision / Gross loans</t>
  </si>
  <si>
    <t>Impairments/ Gross loans</t>
  </si>
  <si>
    <t>Impairment/ Gross loans</t>
  </si>
  <si>
    <t>Total capital ratio</t>
  </si>
  <si>
    <t>PABC</t>
  </si>
  <si>
    <t>SAMP</t>
  </si>
  <si>
    <t>NTB</t>
  </si>
  <si>
    <t>HNB</t>
  </si>
  <si>
    <t>SEYB</t>
  </si>
  <si>
    <t>NDB</t>
  </si>
  <si>
    <t>DFCC</t>
  </si>
  <si>
    <t>Liquidity coverage ratio (all currency)</t>
  </si>
  <si>
    <t>Net Stable Funding Ratio</t>
  </si>
  <si>
    <t>ROA</t>
  </si>
  <si>
    <t>Net margin</t>
  </si>
  <si>
    <t>Equity/ total assets</t>
  </si>
  <si>
    <t>Cost to income (operating)</t>
  </si>
  <si>
    <t>Gross income per employee</t>
  </si>
  <si>
    <t>Deposits / total assets</t>
  </si>
  <si>
    <t>Cost to income (with impairments)</t>
  </si>
  <si>
    <t>Gross income per service centre</t>
  </si>
  <si>
    <t>Avg. yield on interest earning assets</t>
  </si>
  <si>
    <t>Avg. cost on interest bearing funds</t>
  </si>
  <si>
    <t>Net interest spread</t>
  </si>
  <si>
    <t>Segmental result</t>
  </si>
  <si>
    <t>Personal Banking</t>
  </si>
  <si>
    <t>Corporate Banking</t>
  </si>
  <si>
    <t>International Ops</t>
  </si>
  <si>
    <t>Dealing/ Treasury</t>
  </si>
  <si>
    <t>NBFI/ Real Estate</t>
  </si>
  <si>
    <t>Operating income</t>
  </si>
  <si>
    <t>Unalocated</t>
  </si>
  <si>
    <t>Loans by product</t>
  </si>
  <si>
    <t>Current accounts</t>
  </si>
  <si>
    <t>Loans by province</t>
  </si>
  <si>
    <t>Western province</t>
  </si>
  <si>
    <t>Central province</t>
  </si>
  <si>
    <t>Bangladesh</t>
  </si>
  <si>
    <t>Southern province</t>
  </si>
  <si>
    <t>1-year capital gain</t>
  </si>
  <si>
    <t>1-year dividend yield</t>
  </si>
  <si>
    <t>1-year total return</t>
  </si>
  <si>
    <t>1-year high</t>
  </si>
  <si>
    <t>1-year low</t>
  </si>
  <si>
    <t>EPS (TTM) (LKR)</t>
  </si>
  <si>
    <t>NAVPS (Sep23) (LKR)</t>
  </si>
  <si>
    <t>Valuation multiples</t>
  </si>
  <si>
    <t>PE ratio</t>
  </si>
  <si>
    <t>PB ratio</t>
  </si>
  <si>
    <t>Trade Date</t>
  </si>
  <si>
    <t>Open (Rs.)</t>
  </si>
  <si>
    <t>High (Rs.)</t>
  </si>
  <si>
    <t>Low (Rs.)</t>
  </si>
  <si>
    <t>TradeVolume</t>
  </si>
  <si>
    <t>Turnover (Rs.)</t>
  </si>
  <si>
    <t>Price (LKR) (LHS)</t>
  </si>
  <si>
    <t>Volume (RHS)</t>
  </si>
  <si>
    <t>COMB.N</t>
  </si>
  <si>
    <t>COMB.X</t>
  </si>
  <si>
    <t>currrent price</t>
  </si>
  <si>
    <t>dividend</t>
  </si>
  <si>
    <t>Scirpt dividend</t>
  </si>
  <si>
    <t>1-year ago price</t>
  </si>
  <si>
    <t>DPS (2023)</t>
  </si>
  <si>
    <t>Key data</t>
  </si>
  <si>
    <t>Top 5 shareholders - COMB.N</t>
  </si>
  <si>
    <t>Top 5 shareholders - COMB.X</t>
  </si>
  <si>
    <t>Shareholding details</t>
  </si>
  <si>
    <t>No of shares (Mn)-voting</t>
  </si>
  <si>
    <t>No of shares (Mn)-non voting</t>
  </si>
  <si>
    <t>Total no of shares (Mn)</t>
  </si>
  <si>
    <t>MCAP (Mn)-voting</t>
  </si>
  <si>
    <t>MCAP (Mn)-non voting</t>
  </si>
  <si>
    <t>DFCC Bank PLC A/C 1</t>
  </si>
  <si>
    <t>Mr.Y. S. H. I. Silva</t>
  </si>
  <si>
    <t>Employees' Provident Fund</t>
  </si>
  <si>
    <t>Mr. D. P. Pieris</t>
  </si>
  <si>
    <t>Int. Finance Corporation</t>
  </si>
  <si>
    <t>Employees' Trust Fund Board</t>
  </si>
  <si>
    <t>Akbar Brothers (Pvt) Ltd.</t>
  </si>
  <si>
    <t>GF Capital Global Limited</t>
  </si>
  <si>
    <t>Mr. M. F. Hashim</t>
  </si>
  <si>
    <t>M. J. F. Exports (Pvt) Ltd</t>
  </si>
  <si>
    <t>Licensed Commercial Banks</t>
  </si>
  <si>
    <t>Earnings/Profits, Rs. Mn</t>
  </si>
  <si>
    <t>Q1</t>
  </si>
  <si>
    <t>Q2</t>
  </si>
  <si>
    <t>Q3</t>
  </si>
  <si>
    <t>Q4</t>
  </si>
  <si>
    <r>
      <t>Total Income</t>
    </r>
    <r>
      <rPr>
        <vertAlign val="superscript"/>
        <sz val="12"/>
        <color indexed="8"/>
        <rFont val="Times New Roman"/>
        <family val="1"/>
      </rPr>
      <t>(a)</t>
    </r>
  </si>
  <si>
    <t>Interest Income</t>
  </si>
  <si>
    <t>Interest Expenses</t>
  </si>
  <si>
    <t>Net Interest Income</t>
  </si>
  <si>
    <t>Non-interest Income</t>
  </si>
  <si>
    <t>Gain from Trading (Net)</t>
  </si>
  <si>
    <t>Operating Expenses</t>
  </si>
  <si>
    <t>Staff cost</t>
  </si>
  <si>
    <t>Impairment for Loans &amp; Other Losses</t>
  </si>
  <si>
    <t xml:space="preserve">Profit Before VAT &amp; Taxes </t>
  </si>
  <si>
    <t>VAT, NBT and Other Taxes on Financial Service</t>
  </si>
  <si>
    <t>Share of Profit/(Loss) of Associates &amp; Joint Ventures</t>
  </si>
  <si>
    <t>Profit Before Corporate Taxes</t>
  </si>
  <si>
    <t>Corporate Tax</t>
  </si>
  <si>
    <t>Profits After Corporate Tax</t>
  </si>
  <si>
    <t>Assets, Rs. Mn</t>
  </si>
  <si>
    <t>Total Assets</t>
  </si>
  <si>
    <t>Cash and Due From Banks</t>
  </si>
  <si>
    <t>Investments</t>
  </si>
  <si>
    <t>Financial Assets at Fair Value Through Profit or Loss</t>
  </si>
  <si>
    <t xml:space="preserve">Financial Investments at Amortised Cost </t>
  </si>
  <si>
    <t>Financial Assets at Fair Value Through Other Comprehensive Income</t>
  </si>
  <si>
    <t xml:space="preserve">Investments in Subsidiaries, Associates and Joint Ventures </t>
  </si>
  <si>
    <r>
      <t xml:space="preserve">Net Loans and Receivables </t>
    </r>
    <r>
      <rPr>
        <b/>
        <vertAlign val="superscript"/>
        <sz val="12"/>
        <rFont val="Times New Roman"/>
        <family val="1"/>
      </rPr>
      <t>(a)</t>
    </r>
  </si>
  <si>
    <t>Gross Loans and Receivables</t>
  </si>
  <si>
    <t>o/w Gross LKR Loans</t>
  </si>
  <si>
    <t>Gross FCY Loans</t>
  </si>
  <si>
    <t>Stage 3 Loans</t>
  </si>
  <si>
    <r>
      <t>Net Stage 3 Loans</t>
    </r>
    <r>
      <rPr>
        <vertAlign val="superscript"/>
        <sz val="12"/>
        <color indexed="8"/>
        <rFont val="Times New Roman"/>
        <family val="1"/>
      </rPr>
      <t>(b)</t>
    </r>
  </si>
  <si>
    <t>Total Impairment on Loans</t>
  </si>
  <si>
    <t>o/w Individual Impairment</t>
  </si>
  <si>
    <t>Collective Impairment</t>
  </si>
  <si>
    <r>
      <t xml:space="preserve">Investment Properties </t>
    </r>
    <r>
      <rPr>
        <b/>
        <vertAlign val="superscript"/>
        <sz val="12"/>
        <rFont val="Times New Roman"/>
        <family val="1"/>
      </rPr>
      <t>(c)</t>
    </r>
    <r>
      <rPr>
        <b/>
        <sz val="12"/>
        <rFont val="Times New Roman"/>
        <family val="1"/>
      </rPr>
      <t xml:space="preserve"> </t>
    </r>
  </si>
  <si>
    <r>
      <t xml:space="preserve">Property, Plant and Equipment </t>
    </r>
    <r>
      <rPr>
        <b/>
        <vertAlign val="superscript"/>
        <sz val="12"/>
        <rFont val="Times New Roman"/>
        <family val="1"/>
      </rPr>
      <t>(c)</t>
    </r>
  </si>
  <si>
    <r>
      <t xml:space="preserve">Other Assets </t>
    </r>
    <r>
      <rPr>
        <b/>
        <vertAlign val="superscript"/>
        <sz val="12"/>
        <rFont val="Times New Roman"/>
        <family val="1"/>
      </rPr>
      <t>(c)</t>
    </r>
    <r>
      <rPr>
        <b/>
        <sz val="12"/>
        <rFont val="Times New Roman"/>
        <family val="1"/>
      </rPr>
      <t xml:space="preserve"> </t>
    </r>
  </si>
  <si>
    <t>Liabilities, Rs. Mn</t>
  </si>
  <si>
    <t>Total Liabilities including Equity</t>
  </si>
  <si>
    <t>LKR Deposits</t>
  </si>
  <si>
    <t>Time Deposits</t>
  </si>
  <si>
    <t>Savings Deposits</t>
  </si>
  <si>
    <t>Current Deposits</t>
  </si>
  <si>
    <t>Other Deposits</t>
  </si>
  <si>
    <t>FCY Deposits</t>
  </si>
  <si>
    <t>Borrowings</t>
  </si>
  <si>
    <t>LKR Borrowings</t>
  </si>
  <si>
    <t>FCY Borrowings</t>
  </si>
  <si>
    <t>Other Liabilities</t>
  </si>
  <si>
    <t>Equity Capital &amp; Reserves</t>
  </si>
  <si>
    <t>LKR BN</t>
  </si>
  <si>
    <t>Total Assets (LKR Bn) (LHS)</t>
  </si>
  <si>
    <t>Cash (LKR Bn) (RHS)</t>
  </si>
  <si>
    <t>Net Loans (LKR Bn)</t>
  </si>
  <si>
    <t>Deposits (LKR Bn)</t>
  </si>
  <si>
    <t>Profits After Tax (LKR Bn) (RHS)</t>
  </si>
  <si>
    <t>Net Interest Income (LKR Bn) (LHS)</t>
  </si>
  <si>
    <t>Public holding-voting</t>
  </si>
  <si>
    <t>Public holding-non voting</t>
  </si>
  <si>
    <t>Earnings Per Share (LKR)</t>
  </si>
  <si>
    <t>Net Asset Value Per Share (LKR)</t>
  </si>
  <si>
    <t>INCOME STATEMENT (LKR Mn except per sahre data)</t>
  </si>
  <si>
    <t>BALANCE SHEET (LKR Mn except per sahre data)</t>
  </si>
  <si>
    <t>Loans and advances</t>
  </si>
  <si>
    <t>EPS (LKR)</t>
  </si>
  <si>
    <t>NAVPS (LKR)</t>
  </si>
  <si>
    <t>Key financials (LKR Mn)</t>
  </si>
  <si>
    <t>Per share data</t>
  </si>
  <si>
    <t>Q1-22</t>
  </si>
  <si>
    <t>Q2-22</t>
  </si>
  <si>
    <t>Q3-22</t>
  </si>
  <si>
    <t>Q4-22</t>
  </si>
  <si>
    <t>Q1-23</t>
  </si>
  <si>
    <t>Q2-23</t>
  </si>
  <si>
    <t>Q3-23</t>
  </si>
  <si>
    <t>Dividend - FY24</t>
  </si>
  <si>
    <t>Divided yield - vorting</t>
  </si>
  <si>
    <t>total return - voting</t>
  </si>
  <si>
    <t>Divided yield - non voting</t>
  </si>
  <si>
    <t>total return - non voting</t>
  </si>
  <si>
    <t>Asset base as at Sep 2023</t>
  </si>
  <si>
    <t>Historical returns</t>
  </si>
  <si>
    <t>not in report</t>
  </si>
  <si>
    <t>correct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</si>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</sst>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0"/>
    <numFmt numFmtId="167" formatCode="0.0000"/>
    <numFmt numFmtId="168" formatCode="0.0%"/>
    <numFmt numFmtId="169" formatCode="0.0000%"/>
    <numFmt numFmtId="170" formatCode="0.00\x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i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name val="Book Antiqua"/>
      <family val="1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6C757D"/>
      <name val="Arial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b/>
      <sz val="10"/>
      <color theme="0"/>
      <name val="Calibri"/>
      <family val="2"/>
      <scheme val="minor"/>
    </font>
    <font>
      <b/>
      <sz val="14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b/>
      <sz val="14"/>
      <name val="Times New Roman"/>
      <family val="1"/>
    </font>
    <font>
      <i/>
      <sz val="12"/>
      <color indexed="8"/>
      <name val="Times New Roman"/>
      <family val="1"/>
    </font>
    <font>
      <i/>
      <sz val="12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rgb="FFE4E4E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7" fillId="0" borderId="0" applyFont="0" applyFill="0" applyBorder="0" applyAlignment="0" applyProtection="0"/>
  </cellStyleXfs>
  <cellXfs count="257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4" fillId="0" borderId="0" xfId="0" applyFont="1"/>
    <xf numFmtId="0" fontId="0" fillId="0" borderId="0" xfId="0" applyAlignment="1">
      <alignment wrapText="1"/>
    </xf>
    <xf numFmtId="1" fontId="0" fillId="0" borderId="0" xfId="1" applyNumberFormat="1" applyFont="1"/>
    <xf numFmtId="0" fontId="0" fillId="2" borderId="0" xfId="0" applyFill="1"/>
    <xf numFmtId="0" fontId="0" fillId="3" borderId="0" xfId="0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2" fillId="2" borderId="0" xfId="0" applyFont="1" applyFill="1"/>
    <xf numFmtId="1" fontId="5" fillId="2" borderId="0" xfId="1" applyNumberFormat="1" applyFont="1" applyFill="1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164" fontId="0" fillId="0" borderId="0" xfId="1" applyNumberFormat="1" applyFont="1" applyBorder="1"/>
    <xf numFmtId="164" fontId="0" fillId="0" borderId="2" xfId="1" applyNumberFormat="1" applyFont="1" applyBorder="1"/>
    <xf numFmtId="164" fontId="0" fillId="0" borderId="2" xfId="0" applyNumberFormat="1" applyBorder="1"/>
    <xf numFmtId="0" fontId="0" fillId="0" borderId="0" xfId="0" applyAlignment="1">
      <alignment horizontal="right"/>
    </xf>
    <xf numFmtId="0" fontId="0" fillId="0" borderId="2" xfId="0" applyBorder="1"/>
    <xf numFmtId="0" fontId="8" fillId="0" borderId="0" xfId="0" applyFont="1"/>
    <xf numFmtId="43" fontId="8" fillId="0" borderId="0" xfId="1" applyFont="1"/>
    <xf numFmtId="164" fontId="0" fillId="3" borderId="0" xfId="1" applyNumberFormat="1" applyFont="1" applyFill="1"/>
    <xf numFmtId="0" fontId="0" fillId="0" borderId="0" xfId="0" applyAlignment="1">
      <alignment horizontal="left" indent="2"/>
    </xf>
    <xf numFmtId="164" fontId="0" fillId="0" borderId="3" xfId="1" applyNumberFormat="1" applyFont="1" applyBorder="1"/>
    <xf numFmtId="164" fontId="9" fillId="0" borderId="1" xfId="1" applyNumberFormat="1" applyFont="1" applyBorder="1"/>
    <xf numFmtId="164" fontId="9" fillId="0" borderId="0" xfId="1" applyNumberFormat="1" applyFont="1"/>
    <xf numFmtId="164" fontId="9" fillId="0" borderId="0" xfId="1" applyNumberFormat="1" applyFont="1" applyBorder="1"/>
    <xf numFmtId="164" fontId="9" fillId="0" borderId="2" xfId="1" applyNumberFormat="1" applyFont="1" applyBorder="1"/>
    <xf numFmtId="43" fontId="9" fillId="0" borderId="0" xfId="1" applyFont="1"/>
    <xf numFmtId="164" fontId="9" fillId="0" borderId="0" xfId="1" applyNumberFormat="1" applyFont="1" applyFill="1"/>
    <xf numFmtId="164" fontId="10" fillId="0" borderId="0" xfId="1" applyNumberFormat="1" applyFont="1"/>
    <xf numFmtId="0" fontId="3" fillId="0" borderId="0" xfId="0" applyFont="1"/>
    <xf numFmtId="164" fontId="3" fillId="0" borderId="0" xfId="1" applyNumberFormat="1" applyFont="1"/>
    <xf numFmtId="164" fontId="3" fillId="0" borderId="0" xfId="1" applyNumberFormat="1" applyFont="1" applyAlignment="1">
      <alignment horizontal="right"/>
    </xf>
    <xf numFmtId="164" fontId="9" fillId="0" borderId="3" xfId="1" applyNumberFormat="1" applyFont="1" applyBorder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  <xf numFmtId="0" fontId="11" fillId="0" borderId="0" xfId="0" applyFont="1"/>
    <xf numFmtId="0" fontId="11" fillId="0" borderId="0" xfId="0" applyFont="1" applyAlignment="1">
      <alignment horizontal="left" indent="1"/>
    </xf>
    <xf numFmtId="0" fontId="0" fillId="4" borderId="0" xfId="0" applyFill="1"/>
    <xf numFmtId="164" fontId="0" fillId="4" borderId="0" xfId="1" applyNumberFormat="1" applyFont="1" applyFill="1"/>
    <xf numFmtId="165" fontId="0" fillId="0" borderId="0" xfId="1" applyNumberFormat="1" applyFont="1"/>
    <xf numFmtId="0" fontId="2" fillId="5" borderId="0" xfId="0" applyFont="1" applyFill="1"/>
    <xf numFmtId="164" fontId="3" fillId="0" borderId="0" xfId="0" applyNumberFormat="1" applyFont="1"/>
    <xf numFmtId="164" fontId="11" fillId="0" borderId="3" xfId="1" applyNumberFormat="1" applyFont="1" applyBorder="1"/>
    <xf numFmtId="164" fontId="5" fillId="2" borderId="0" xfId="0" applyNumberFormat="1" applyFont="1" applyFill="1"/>
    <xf numFmtId="164" fontId="0" fillId="0" borderId="3" xfId="0" applyNumberFormat="1" applyBorder="1"/>
    <xf numFmtId="164" fontId="8" fillId="0" borderId="0" xfId="0" applyNumberFormat="1" applyFont="1"/>
    <xf numFmtId="0" fontId="3" fillId="0" borderId="0" xfId="0" applyFont="1" applyAlignment="1">
      <alignment wrapText="1"/>
    </xf>
    <xf numFmtId="1" fontId="2" fillId="2" borderId="0" xfId="1" applyNumberFormat="1" applyFont="1" applyFill="1"/>
    <xf numFmtId="0" fontId="0" fillId="0" borderId="0" xfId="0" applyAlignment="1">
      <alignment horizontal="left" wrapText="1" indent="2"/>
    </xf>
    <xf numFmtId="164" fontId="11" fillId="0" borderId="0" xfId="1" applyNumberFormat="1" applyFont="1"/>
    <xf numFmtId="43" fontId="9" fillId="0" borderId="0" xfId="0" applyNumberFormat="1" applyFont="1"/>
    <xf numFmtId="164" fontId="11" fillId="0" borderId="0" xfId="1" applyNumberFormat="1" applyFont="1" applyBorder="1"/>
    <xf numFmtId="164" fontId="11" fillId="0" borderId="0" xfId="0" applyNumberFormat="1" applyFont="1"/>
    <xf numFmtId="164" fontId="11" fillId="0" borderId="3" xfId="0" applyNumberFormat="1" applyFont="1" applyBorder="1"/>
    <xf numFmtId="164" fontId="11" fillId="3" borderId="0" xfId="1" applyNumberFormat="1" applyFont="1" applyFill="1" applyBorder="1"/>
    <xf numFmtId="164" fontId="11" fillId="3" borderId="0" xfId="0" applyNumberFormat="1" applyFont="1" applyFill="1"/>
    <xf numFmtId="43" fontId="11" fillId="0" borderId="0" xfId="1" applyFont="1"/>
    <xf numFmtId="164" fontId="11" fillId="3" borderId="0" xfId="1" applyNumberFormat="1" applyFont="1" applyFill="1"/>
    <xf numFmtId="0" fontId="11" fillId="3" borderId="0" xfId="0" applyFont="1" applyFill="1"/>
    <xf numFmtId="0" fontId="11" fillId="0" borderId="3" xfId="0" applyFont="1" applyBorder="1"/>
    <xf numFmtId="1" fontId="11" fillId="2" borderId="0" xfId="1" applyNumberFormat="1" applyFont="1" applyFill="1"/>
    <xf numFmtId="0" fontId="11" fillId="2" borderId="0" xfId="0" applyFont="1" applyFill="1"/>
    <xf numFmtId="164" fontId="11" fillId="0" borderId="0" xfId="1" applyNumberFormat="1" applyFont="1" applyFill="1"/>
    <xf numFmtId="9" fontId="11" fillId="0" borderId="0" xfId="2" applyFont="1"/>
    <xf numFmtId="10" fontId="11" fillId="0" borderId="0" xfId="2" applyNumberFormat="1" applyFont="1"/>
    <xf numFmtId="3" fontId="11" fillId="0" borderId="0" xfId="0" applyNumberFormat="1" applyFont="1"/>
    <xf numFmtId="164" fontId="12" fillId="5" borderId="0" xfId="1" applyNumberFormat="1" applyFont="1" applyFill="1"/>
    <xf numFmtId="0" fontId="12" fillId="5" borderId="0" xfId="0" applyFont="1" applyFill="1"/>
    <xf numFmtId="9" fontId="9" fillId="0" borderId="0" xfId="0" applyNumberFormat="1" applyFont="1"/>
    <xf numFmtId="3" fontId="9" fillId="0" borderId="3" xfId="0" applyNumberFormat="1" applyFont="1" applyBorder="1"/>
    <xf numFmtId="3" fontId="9" fillId="0" borderId="0" xfId="0" applyNumberFormat="1" applyFont="1"/>
    <xf numFmtId="0" fontId="0" fillId="6" borderId="0" xfId="0" applyFill="1"/>
    <xf numFmtId="164" fontId="11" fillId="6" borderId="0" xfId="1" applyNumberFormat="1" applyFont="1" applyFill="1"/>
    <xf numFmtId="0" fontId="11" fillId="6" borderId="0" xfId="0" applyFont="1" applyFill="1"/>
    <xf numFmtId="164" fontId="11" fillId="0" borderId="0" xfId="1" applyNumberFormat="1" applyFont="1" applyFill="1" applyBorder="1"/>
    <xf numFmtId="0" fontId="3" fillId="0" borderId="0" xfId="0" applyFont="1" applyAlignment="1">
      <alignment horizontal="left" indent="1"/>
    </xf>
    <xf numFmtId="10" fontId="11" fillId="0" borderId="0" xfId="2" applyNumberFormat="1" applyFont="1" applyBorder="1"/>
    <xf numFmtId="0" fontId="0" fillId="0" borderId="0" xfId="0" applyAlignment="1">
      <alignment horizontal="left" indent="3"/>
    </xf>
    <xf numFmtId="0" fontId="0" fillId="0" borderId="0" xfId="0" applyAlignment="1">
      <alignment horizontal="left" indent="5"/>
    </xf>
    <xf numFmtId="164" fontId="11" fillId="0" borderId="2" xfId="1" applyNumberFormat="1" applyFont="1" applyBorder="1"/>
    <xf numFmtId="10" fontId="9" fillId="0" borderId="0" xfId="2" applyNumberFormat="1" applyFont="1" applyBorder="1"/>
    <xf numFmtId="164" fontId="9" fillId="0" borderId="3" xfId="1" applyNumberFormat="1" applyFont="1" applyFill="1" applyBorder="1"/>
    <xf numFmtId="10" fontId="9" fillId="0" borderId="0" xfId="0" applyNumberFormat="1" applyFont="1"/>
    <xf numFmtId="0" fontId="13" fillId="0" borderId="0" xfId="0" applyFont="1" applyAlignment="1">
      <alignment horizontal="center"/>
    </xf>
    <xf numFmtId="10" fontId="11" fillId="0" borderId="3" xfId="2" applyNumberFormat="1" applyFont="1" applyBorder="1"/>
    <xf numFmtId="10" fontId="9" fillId="0" borderId="0" xfId="2" applyNumberFormat="1" applyFont="1"/>
    <xf numFmtId="16" fontId="0" fillId="4" borderId="0" xfId="0" applyNumberFormat="1" applyFill="1"/>
    <xf numFmtId="0" fontId="2" fillId="5" borderId="0" xfId="0" applyFont="1" applyFill="1" applyAlignment="1">
      <alignment horizontal="right"/>
    </xf>
    <xf numFmtId="9" fontId="11" fillId="0" borderId="0" xfId="0" applyNumberFormat="1" applyFont="1"/>
    <xf numFmtId="10" fontId="11" fillId="0" borderId="0" xfId="0" applyNumberFormat="1" applyFont="1"/>
    <xf numFmtId="17" fontId="0" fillId="4" borderId="0" xfId="0" applyNumberFormat="1" applyFill="1"/>
    <xf numFmtId="10" fontId="0" fillId="0" borderId="0" xfId="2" applyNumberFormat="1" applyFont="1"/>
    <xf numFmtId="16" fontId="0" fillId="0" borderId="0" xfId="0" applyNumberFormat="1"/>
    <xf numFmtId="17" fontId="0" fillId="0" borderId="0" xfId="0" applyNumberFormat="1"/>
    <xf numFmtId="10" fontId="14" fillId="0" borderId="0" xfId="2" applyNumberFormat="1" applyFont="1"/>
    <xf numFmtId="3" fontId="0" fillId="0" borderId="3" xfId="0" applyNumberFormat="1" applyBorder="1"/>
    <xf numFmtId="43" fontId="0" fillId="0" borderId="0" xfId="0" applyNumberFormat="1"/>
    <xf numFmtId="164" fontId="0" fillId="7" borderId="1" xfId="0" applyNumberFormat="1" applyFill="1" applyBorder="1"/>
    <xf numFmtId="164" fontId="0" fillId="7" borderId="0" xfId="0" applyNumberFormat="1" applyFill="1"/>
    <xf numFmtId="164" fontId="0" fillId="7" borderId="2" xfId="0" applyNumberFormat="1" applyFill="1" applyBorder="1"/>
    <xf numFmtId="43" fontId="0" fillId="7" borderId="0" xfId="0" applyNumberFormat="1" applyFill="1"/>
    <xf numFmtId="164" fontId="3" fillId="7" borderId="0" xfId="1" applyNumberFormat="1" applyFont="1" applyFill="1" applyAlignment="1">
      <alignment horizontal="right"/>
    </xf>
    <xf numFmtId="1" fontId="0" fillId="0" borderId="0" xfId="0" applyNumberFormat="1"/>
    <xf numFmtId="10" fontId="0" fillId="0" borderId="0" xfId="0" applyNumberFormat="1"/>
    <xf numFmtId="2" fontId="11" fillId="0" borderId="0" xfId="0" applyNumberFormat="1" applyFont="1"/>
    <xf numFmtId="165" fontId="0" fillId="7" borderId="0" xfId="0" applyNumberFormat="1" applyFill="1"/>
    <xf numFmtId="0" fontId="2" fillId="8" borderId="0" xfId="0" applyFont="1" applyFill="1"/>
    <xf numFmtId="9" fontId="0" fillId="0" borderId="0" xfId="0" applyNumberFormat="1"/>
    <xf numFmtId="166" fontId="0" fillId="0" borderId="0" xfId="0" applyNumberFormat="1"/>
    <xf numFmtId="43" fontId="0" fillId="9" borderId="0" xfId="0" applyNumberFormat="1" applyFill="1"/>
    <xf numFmtId="9" fontId="0" fillId="0" borderId="0" xfId="2" applyFont="1"/>
    <xf numFmtId="167" fontId="0" fillId="0" borderId="0" xfId="0" applyNumberFormat="1"/>
    <xf numFmtId="168" fontId="0" fillId="0" borderId="0" xfId="0" applyNumberFormat="1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3" fontId="0" fillId="0" borderId="0" xfId="0" applyNumberFormat="1" applyAlignment="1">
      <alignment horizontal="right"/>
    </xf>
    <xf numFmtId="164" fontId="2" fillId="8" borderId="0" xfId="1" applyNumberFormat="1" applyFont="1" applyFill="1"/>
    <xf numFmtId="0" fontId="2" fillId="8" borderId="0" xfId="0" applyFont="1" applyFill="1" applyAlignment="1">
      <alignment horizontal="right"/>
    </xf>
    <xf numFmtId="164" fontId="0" fillId="9" borderId="0" xfId="1" applyNumberFormat="1" applyFont="1" applyFill="1"/>
    <xf numFmtId="43" fontId="0" fillId="9" borderId="0" xfId="0" applyNumberFormat="1" applyFill="1" applyAlignment="1">
      <alignment horizontal="right"/>
    </xf>
    <xf numFmtId="0" fontId="0" fillId="9" borderId="0" xfId="0" applyFill="1"/>
    <xf numFmtId="10" fontId="0" fillId="9" borderId="0" xfId="0" applyNumberFormat="1" applyFill="1"/>
    <xf numFmtId="2" fontId="0" fillId="0" borderId="0" xfId="0" applyNumberFormat="1"/>
    <xf numFmtId="2" fontId="0" fillId="9" borderId="0" xfId="0" applyNumberFormat="1" applyFill="1"/>
    <xf numFmtId="1" fontId="2" fillId="8" borderId="0" xfId="0" applyNumberFormat="1" applyFont="1" applyFill="1" applyAlignment="1">
      <alignment horizontal="right"/>
    </xf>
    <xf numFmtId="164" fontId="11" fillId="10" borderId="0" xfId="1" applyNumberFormat="1" applyFont="1" applyFill="1"/>
    <xf numFmtId="1" fontId="2" fillId="8" borderId="0" xfId="0" applyNumberFormat="1" applyFont="1" applyFill="1" applyAlignment="1">
      <alignment horizontal="left"/>
    </xf>
    <xf numFmtId="164" fontId="11" fillId="10" borderId="3" xfId="1" applyNumberFormat="1" applyFont="1" applyFill="1" applyBorder="1"/>
    <xf numFmtId="164" fontId="11" fillId="0" borderId="4" xfId="1" applyNumberFormat="1" applyFont="1" applyBorder="1"/>
    <xf numFmtId="164" fontId="11" fillId="10" borderId="4" xfId="1" applyNumberFormat="1" applyFont="1" applyFill="1" applyBorder="1"/>
    <xf numFmtId="164" fontId="11" fillId="10" borderId="2" xfId="1" applyNumberFormat="1" applyFont="1" applyFill="1" applyBorder="1"/>
    <xf numFmtId="169" fontId="0" fillId="0" borderId="0" xfId="0" applyNumberFormat="1"/>
    <xf numFmtId="0" fontId="15" fillId="11" borderId="0" xfId="0" applyFont="1" applyFill="1" applyAlignment="1">
      <alignment horizontal="left" wrapText="1"/>
    </xf>
    <xf numFmtId="17" fontId="15" fillId="11" borderId="0" xfId="0" applyNumberFormat="1" applyFont="1" applyFill="1" applyAlignment="1">
      <alignment horizontal="left" wrapText="1"/>
    </xf>
    <xf numFmtId="10" fontId="0" fillId="0" borderId="0" xfId="2" applyNumberFormat="1" applyFont="1" applyBorder="1"/>
    <xf numFmtId="10" fontId="0" fillId="0" borderId="0" xfId="2" applyNumberFormat="1" applyFont="1" applyFill="1" applyBorder="1"/>
    <xf numFmtId="10" fontId="0" fillId="10" borderId="0" xfId="2" applyNumberFormat="1" applyFont="1" applyFill="1"/>
    <xf numFmtId="10" fontId="0" fillId="10" borderId="0" xfId="0" applyNumberFormat="1" applyFill="1"/>
    <xf numFmtId="164" fontId="0" fillId="10" borderId="0" xfId="1" applyNumberFormat="1" applyFont="1" applyFill="1"/>
    <xf numFmtId="0" fontId="0" fillId="10" borderId="0" xfId="0" applyFill="1"/>
    <xf numFmtId="1" fontId="2" fillId="8" borderId="0" xfId="0" applyNumberFormat="1" applyFont="1" applyFill="1"/>
    <xf numFmtId="0" fontId="0" fillId="8" borderId="0" xfId="0" applyFill="1"/>
    <xf numFmtId="0" fontId="18" fillId="0" borderId="0" xfId="0" applyFont="1" applyAlignment="1">
      <alignment vertical="center"/>
    </xf>
    <xf numFmtId="14" fontId="19" fillId="12" borderId="5" xfId="0" applyNumberFormat="1" applyFont="1" applyFill="1" applyBorder="1" applyAlignment="1">
      <alignment horizontal="center" vertical="center"/>
    </xf>
    <xf numFmtId="0" fontId="19" fillId="12" borderId="5" xfId="0" applyFont="1" applyFill="1" applyBorder="1" applyAlignment="1">
      <alignment horizontal="center" vertical="center"/>
    </xf>
    <xf numFmtId="3" fontId="19" fillId="12" borderId="5" xfId="0" applyNumberFormat="1" applyFont="1" applyFill="1" applyBorder="1" applyAlignment="1">
      <alignment horizontal="center" vertical="center"/>
    </xf>
    <xf numFmtId="4" fontId="19" fillId="12" borderId="0" xfId="0" applyNumberFormat="1" applyFont="1" applyFill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3" fontId="19" fillId="0" borderId="5" xfId="0" applyNumberFormat="1" applyFont="1" applyBorder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10" fontId="0" fillId="0" borderId="0" xfId="2" applyNumberFormat="1" applyFont="1" applyFill="1"/>
    <xf numFmtId="14" fontId="19" fillId="13" borderId="5" xfId="0" applyNumberFormat="1" applyFont="1" applyFill="1" applyBorder="1" applyAlignment="1">
      <alignment horizontal="center" vertical="center"/>
    </xf>
    <xf numFmtId="0" fontId="19" fillId="13" borderId="5" xfId="0" applyFont="1" applyFill="1" applyBorder="1" applyAlignment="1">
      <alignment horizontal="center" vertical="center"/>
    </xf>
    <xf numFmtId="3" fontId="19" fillId="13" borderId="5" xfId="0" applyNumberFormat="1" applyFont="1" applyFill="1" applyBorder="1" applyAlignment="1">
      <alignment horizontal="center" vertical="center"/>
    </xf>
    <xf numFmtId="4" fontId="19" fillId="13" borderId="0" xfId="0" applyNumberFormat="1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1" fillId="0" borderId="0" xfId="0" applyFont="1"/>
    <xf numFmtId="170" fontId="18" fillId="0" borderId="0" xfId="0" applyNumberFormat="1" applyFont="1" applyAlignment="1">
      <alignment vertical="center"/>
    </xf>
    <xf numFmtId="0" fontId="22" fillId="8" borderId="0" xfId="0" applyFont="1" applyFill="1" applyAlignment="1">
      <alignment vertical="center"/>
    </xf>
    <xf numFmtId="0" fontId="22" fillId="8" borderId="0" xfId="0" applyFont="1" applyFill="1" applyAlignment="1">
      <alignment horizontal="right"/>
    </xf>
    <xf numFmtId="0" fontId="17" fillId="14" borderId="0" xfId="0" applyFont="1" applyFill="1" applyAlignment="1">
      <alignment vertical="center"/>
    </xf>
    <xf numFmtId="0" fontId="18" fillId="14" borderId="0" xfId="0" applyFont="1" applyFill="1" applyAlignment="1">
      <alignment vertical="center"/>
    </xf>
    <xf numFmtId="0" fontId="0" fillId="14" borderId="0" xfId="0" applyFill="1"/>
    <xf numFmtId="0" fontId="4" fillId="9" borderId="0" xfId="0" applyFont="1" applyFill="1"/>
    <xf numFmtId="0" fontId="24" fillId="0" borderId="7" xfId="0" applyFont="1" applyBorder="1"/>
    <xf numFmtId="0" fontId="25" fillId="0" borderId="9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15" borderId="14" xfId="0" applyFont="1" applyFill="1" applyBorder="1"/>
    <xf numFmtId="3" fontId="25" fillId="15" borderId="15" xfId="0" applyNumberFormat="1" applyFont="1" applyFill="1" applyBorder="1"/>
    <xf numFmtId="0" fontId="24" fillId="0" borderId="14" xfId="0" applyFont="1" applyBorder="1"/>
    <xf numFmtId="3" fontId="24" fillId="0" borderId="15" xfId="0" applyNumberFormat="1" applyFont="1" applyBorder="1"/>
    <xf numFmtId="0" fontId="25" fillId="0" borderId="14" xfId="0" applyFont="1" applyBorder="1"/>
    <xf numFmtId="3" fontId="25" fillId="0" borderId="15" xfId="0" applyNumberFormat="1" applyFont="1" applyBorder="1"/>
    <xf numFmtId="0" fontId="24" fillId="0" borderId="14" xfId="0" applyFont="1" applyBorder="1" applyAlignment="1">
      <alignment horizontal="left" indent="2"/>
    </xf>
    <xf numFmtId="164" fontId="25" fillId="0" borderId="15" xfId="1" applyNumberFormat="1" applyFont="1" applyBorder="1"/>
    <xf numFmtId="0" fontId="25" fillId="15" borderId="16" xfId="0" applyFont="1" applyFill="1" applyBorder="1"/>
    <xf numFmtId="3" fontId="25" fillId="15" borderId="17" xfId="0" applyNumberFormat="1" applyFont="1" applyFill="1" applyBorder="1"/>
    <xf numFmtId="0" fontId="24" fillId="0" borderId="18" xfId="0" applyFont="1" applyBorder="1"/>
    <xf numFmtId="0" fontId="29" fillId="0" borderId="21" xfId="0" applyFont="1" applyBorder="1"/>
    <xf numFmtId="0" fontId="24" fillId="0" borderId="21" xfId="0" applyFont="1" applyBorder="1" applyAlignment="1">
      <alignment horizontal="left" indent="2"/>
    </xf>
    <xf numFmtId="0" fontId="28" fillId="0" borderId="21" xfId="0" applyFont="1" applyBorder="1" applyAlignment="1">
      <alignment horizontal="left" indent="1"/>
    </xf>
    <xf numFmtId="164" fontId="24" fillId="0" borderId="22" xfId="3" applyNumberFormat="1" applyFont="1" applyBorder="1"/>
    <xf numFmtId="0" fontId="32" fillId="0" borderId="21" xfId="0" applyFont="1" applyBorder="1" applyAlignment="1">
      <alignment horizontal="left" indent="5"/>
    </xf>
    <xf numFmtId="0" fontId="24" fillId="0" borderId="21" xfId="0" applyFont="1" applyBorder="1" applyAlignment="1">
      <alignment horizontal="left" indent="1"/>
    </xf>
    <xf numFmtId="0" fontId="32" fillId="0" borderId="21" xfId="0" applyFont="1" applyBorder="1" applyAlignment="1">
      <alignment horizontal="left" indent="3"/>
    </xf>
    <xf numFmtId="0" fontId="29" fillId="0" borderId="23" xfId="0" applyFont="1" applyBorder="1"/>
    <xf numFmtId="0" fontId="29" fillId="0" borderId="25" xfId="0" applyFont="1" applyBorder="1"/>
    <xf numFmtId="164" fontId="29" fillId="0" borderId="26" xfId="3" applyNumberFormat="1" applyFont="1" applyBorder="1"/>
    <xf numFmtId="0" fontId="32" fillId="0" borderId="21" xfId="0" applyFont="1" applyBorder="1" applyAlignment="1">
      <alignment horizontal="left" indent="7"/>
    </xf>
    <xf numFmtId="0" fontId="29" fillId="15" borderId="19" xfId="0" applyFont="1" applyFill="1" applyBorder="1"/>
    <xf numFmtId="164" fontId="28" fillId="15" borderId="20" xfId="3" applyNumberFormat="1" applyFont="1" applyFill="1" applyBorder="1"/>
    <xf numFmtId="164" fontId="29" fillId="0" borderId="22" xfId="3" applyNumberFormat="1" applyFont="1" applyFill="1" applyBorder="1"/>
    <xf numFmtId="164" fontId="29" fillId="0" borderId="22" xfId="3" applyNumberFormat="1" applyFont="1" applyBorder="1"/>
    <xf numFmtId="164" fontId="32" fillId="0" borderId="22" xfId="3" applyNumberFormat="1" applyFont="1" applyBorder="1"/>
    <xf numFmtId="164" fontId="29" fillId="0" borderId="24" xfId="3" applyNumberFormat="1" applyFont="1" applyBorder="1"/>
    <xf numFmtId="0" fontId="25" fillId="0" borderId="12" xfId="0" applyFont="1" applyBorder="1" applyAlignment="1">
      <alignment horizontal="center"/>
    </xf>
    <xf numFmtId="0" fontId="24" fillId="0" borderId="4" xfId="0" applyFont="1" applyBorder="1"/>
    <xf numFmtId="0" fontId="24" fillId="0" borderId="27" xfId="0" applyFont="1" applyBorder="1"/>
    <xf numFmtId="0" fontId="0" fillId="0" borderId="0" xfId="0" applyAlignment="1">
      <alignment horizontal="center"/>
    </xf>
    <xf numFmtId="0" fontId="23" fillId="0" borderId="28" xfId="0" applyFont="1" applyBorder="1" applyAlignment="1">
      <alignment horizontal="left"/>
    </xf>
    <xf numFmtId="0" fontId="23" fillId="0" borderId="6" xfId="0" applyFont="1" applyBorder="1" applyAlignment="1">
      <alignment horizontal="left"/>
    </xf>
    <xf numFmtId="0" fontId="31" fillId="0" borderId="18" xfId="0" applyFont="1" applyBorder="1" applyAlignment="1">
      <alignment horizontal="center"/>
    </xf>
    <xf numFmtId="3" fontId="29" fillId="0" borderId="22" xfId="0" applyNumberFormat="1" applyFont="1" applyBorder="1"/>
    <xf numFmtId="0" fontId="29" fillId="0" borderId="20" xfId="0" applyFont="1" applyBorder="1" applyAlignment="1">
      <alignment horizontal="center"/>
    </xf>
    <xf numFmtId="0" fontId="28" fillId="0" borderId="21" xfId="0" applyFont="1" applyBorder="1" applyAlignment="1">
      <alignment horizontal="left" indent="2"/>
    </xf>
    <xf numFmtId="3" fontId="28" fillId="0" borderId="22" xfId="0" applyNumberFormat="1" applyFont="1" applyBorder="1"/>
    <xf numFmtId="0" fontId="33" fillId="0" borderId="21" xfId="0" applyFont="1" applyBorder="1" applyAlignment="1">
      <alignment horizontal="left" indent="4"/>
    </xf>
    <xf numFmtId="3" fontId="33" fillId="0" borderId="22" xfId="0" applyNumberFormat="1" applyFont="1" applyBorder="1"/>
    <xf numFmtId="3" fontId="29" fillId="0" borderId="24" xfId="0" applyNumberFormat="1" applyFont="1" applyBorder="1"/>
    <xf numFmtId="3" fontId="29" fillId="0" borderId="26" xfId="0" applyNumberFormat="1" applyFont="1" applyBorder="1"/>
    <xf numFmtId="0" fontId="29" fillId="15" borderId="19" xfId="0" applyFont="1" applyFill="1" applyBorder="1" applyAlignment="1">
      <alignment horizontal="left" vertical="center"/>
    </xf>
    <xf numFmtId="3" fontId="29" fillId="15" borderId="20" xfId="0" applyNumberFormat="1" applyFont="1" applyFill="1" applyBorder="1"/>
    <xf numFmtId="0" fontId="28" fillId="15" borderId="21" xfId="0" applyFont="1" applyFill="1" applyBorder="1" applyAlignment="1">
      <alignment horizontal="left" indent="2"/>
    </xf>
    <xf numFmtId="3" fontId="28" fillId="15" borderId="22" xfId="0" applyNumberFormat="1" applyFont="1" applyFill="1" applyBorder="1"/>
    <xf numFmtId="2" fontId="18" fillId="0" borderId="0" xfId="0" applyNumberFormat="1" applyFont="1" applyAlignment="1">
      <alignment vertical="center"/>
    </xf>
    <xf numFmtId="10" fontId="18" fillId="0" borderId="0" xfId="2" applyNumberFormat="1" applyFont="1" applyAlignment="1">
      <alignment vertical="center"/>
    </xf>
    <xf numFmtId="0" fontId="0" fillId="0" borderId="4" xfId="0" applyBorder="1"/>
    <xf numFmtId="164" fontId="0" fillId="0" borderId="4" xfId="1" applyNumberFormat="1" applyFont="1" applyBorder="1"/>
    <xf numFmtId="10" fontId="0" fillId="0" borderId="4" xfId="0" applyNumberFormat="1" applyBorder="1"/>
    <xf numFmtId="0" fontId="18" fillId="0" borderId="3" xfId="0" applyFont="1" applyBorder="1" applyAlignment="1">
      <alignment vertical="center"/>
    </xf>
    <xf numFmtId="10" fontId="18" fillId="0" borderId="3" xfId="2" applyNumberFormat="1" applyFont="1" applyBorder="1" applyAlignment="1">
      <alignment vertical="center"/>
    </xf>
    <xf numFmtId="164" fontId="0" fillId="16" borderId="0" xfId="0" applyNumberFormat="1" applyFill="1"/>
    <xf numFmtId="43" fontId="0" fillId="16" borderId="0" xfId="0" applyNumberFormat="1" applyFill="1"/>
    <xf numFmtId="10" fontId="0" fillId="16" borderId="0" xfId="0" applyNumberFormat="1" applyFill="1"/>
    <xf numFmtId="43" fontId="8" fillId="0" borderId="0" xfId="0" applyNumberFormat="1" applyFont="1"/>
    <xf numFmtId="0" fontId="25" fillId="0" borderId="9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9" fillId="0" borderId="8" xfId="0" applyFont="1" applyBorder="1" applyAlignment="1">
      <alignment horizontal="left" vertical="center"/>
    </xf>
    <xf numFmtId="0" fontId="29" fillId="0" borderId="29" xfId="0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/>
    </xf>
    <xf numFmtId="0" fontId="25" fillId="0" borderId="29" xfId="0" applyFont="1" applyBorder="1" applyAlignment="1">
      <alignment horizontal="left" vertical="center"/>
    </xf>
    <xf numFmtId="164" fontId="9" fillId="17" borderId="0" xfId="1" applyNumberFormat="1" applyFont="1" applyFill="1"/>
    <xf numFmtId="164" fontId="3" fillId="18" borderId="0" xfId="1" applyNumberFormat="1" applyFont="1" applyFill="1"/>
    <xf numFmtId="164" fontId="9" fillId="17" borderId="1" xfId="1" applyNumberFormat="1" applyFont="1" applyFill="1" applyBorder="1"/>
    <xf numFmtId="164" fontId="9" fillId="18" borderId="1" xfId="1" applyNumberFormat="1" applyFont="1" applyFill="1" applyBorder="1"/>
    <xf numFmtId="164" fontId="9" fillId="17" borderId="0" xfId="1" applyNumberFormat="1" applyFont="1" applyFill="1" applyBorder="1"/>
    <xf numFmtId="164" fontId="9" fillId="17" borderId="2" xfId="1" applyNumberFormat="1" applyFont="1" applyFill="1" applyBorder="1"/>
    <xf numFmtId="164" fontId="9" fillId="18" borderId="0" xfId="1" applyNumberFormat="1" applyFont="1" applyFill="1"/>
    <xf numFmtId="43" fontId="9" fillId="17" borderId="0" xfId="1" applyFont="1" applyFill="1"/>
    <xf numFmtId="43" fontId="9" fillId="19" borderId="0" xfId="1" applyFont="1" applyFill="1"/>
    <xf numFmtId="0" fontId="0" fillId="19" borderId="0" xfId="0" applyFill="1"/>
    <xf numFmtId="0" fontId="0" fillId="20" borderId="0" xfId="0" applyFill="1"/>
    <xf numFmtId="0" fontId="0" fillId="17" borderId="0" xfId="0" applyFill="1"/>
    <xf numFmtId="164" fontId="9" fillId="19" borderId="0" xfId="1" applyNumberFormat="1" applyFont="1" applyFill="1"/>
    <xf numFmtId="164" fontId="9" fillId="17" borderId="3" xfId="1" applyNumberFormat="1" applyFont="1" applyFill="1" applyBorder="1"/>
    <xf numFmtId="164" fontId="10" fillId="18" borderId="0" xfId="1" applyNumberFormat="1" applyFont="1" applyFill="1"/>
    <xf numFmtId="10" fontId="0" fillId="18" borderId="0" xfId="2" applyNumberFormat="1" applyFont="1" applyFill="1"/>
  </cellXfs>
  <cellStyles count="4">
    <cellStyle name="Comma" xfId="1" builtinId="3"/>
    <cellStyle name="Comma 2" xfId="3" xr:uid="{3C8A7BCA-8DA7-4DAA-B16A-B73FFCEAD3AC}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COMB.N</a:t>
            </a:r>
            <a:r>
              <a:rPr lang="en-US" sz="900" b="1" baseline="0"/>
              <a:t> - </a:t>
            </a:r>
            <a:r>
              <a:rPr lang="en-US" sz="900" b="1"/>
              <a:t>Historical PE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'COMB N'!$K$5:$K$1168</c:f>
              <c:numCache>
                <c:formatCode>m/d/yyyy</c:formatCode>
                <c:ptCount val="1164"/>
                <c:pt idx="0">
                  <c:v>45302</c:v>
                </c:pt>
                <c:pt idx="1">
                  <c:v>45301</c:v>
                </c:pt>
                <c:pt idx="2">
                  <c:v>45300</c:v>
                </c:pt>
                <c:pt idx="3">
                  <c:v>45299</c:v>
                </c:pt>
                <c:pt idx="4">
                  <c:v>45296</c:v>
                </c:pt>
                <c:pt idx="5">
                  <c:v>45295</c:v>
                </c:pt>
                <c:pt idx="6">
                  <c:v>45294</c:v>
                </c:pt>
                <c:pt idx="7">
                  <c:v>45293</c:v>
                </c:pt>
                <c:pt idx="8">
                  <c:v>45289</c:v>
                </c:pt>
                <c:pt idx="9">
                  <c:v>45288</c:v>
                </c:pt>
                <c:pt idx="10">
                  <c:v>45287</c:v>
                </c:pt>
                <c:pt idx="11">
                  <c:v>45282</c:v>
                </c:pt>
                <c:pt idx="12">
                  <c:v>45281</c:v>
                </c:pt>
                <c:pt idx="13">
                  <c:v>45280</c:v>
                </c:pt>
                <c:pt idx="14">
                  <c:v>45279</c:v>
                </c:pt>
                <c:pt idx="15">
                  <c:v>45278</c:v>
                </c:pt>
                <c:pt idx="16">
                  <c:v>45275</c:v>
                </c:pt>
                <c:pt idx="17">
                  <c:v>45274</c:v>
                </c:pt>
                <c:pt idx="18">
                  <c:v>45273</c:v>
                </c:pt>
                <c:pt idx="19">
                  <c:v>45272</c:v>
                </c:pt>
                <c:pt idx="20">
                  <c:v>45271</c:v>
                </c:pt>
                <c:pt idx="21">
                  <c:v>45268</c:v>
                </c:pt>
                <c:pt idx="22">
                  <c:v>45267</c:v>
                </c:pt>
                <c:pt idx="23">
                  <c:v>45266</c:v>
                </c:pt>
                <c:pt idx="24">
                  <c:v>45265</c:v>
                </c:pt>
                <c:pt idx="25">
                  <c:v>45264</c:v>
                </c:pt>
                <c:pt idx="26">
                  <c:v>45261</c:v>
                </c:pt>
                <c:pt idx="27">
                  <c:v>45260</c:v>
                </c:pt>
                <c:pt idx="28">
                  <c:v>45259</c:v>
                </c:pt>
                <c:pt idx="29">
                  <c:v>45258</c:v>
                </c:pt>
                <c:pt idx="30">
                  <c:v>45257</c:v>
                </c:pt>
                <c:pt idx="31">
                  <c:v>45254</c:v>
                </c:pt>
                <c:pt idx="32">
                  <c:v>45253</c:v>
                </c:pt>
                <c:pt idx="33">
                  <c:v>45252</c:v>
                </c:pt>
                <c:pt idx="34">
                  <c:v>45251</c:v>
                </c:pt>
                <c:pt idx="35">
                  <c:v>45250</c:v>
                </c:pt>
                <c:pt idx="36">
                  <c:v>45247</c:v>
                </c:pt>
                <c:pt idx="37">
                  <c:v>45246</c:v>
                </c:pt>
                <c:pt idx="38">
                  <c:v>45245</c:v>
                </c:pt>
                <c:pt idx="39">
                  <c:v>45244</c:v>
                </c:pt>
                <c:pt idx="40">
                  <c:v>45243</c:v>
                </c:pt>
                <c:pt idx="41">
                  <c:v>45240</c:v>
                </c:pt>
                <c:pt idx="42">
                  <c:v>45239</c:v>
                </c:pt>
                <c:pt idx="43">
                  <c:v>45238</c:v>
                </c:pt>
                <c:pt idx="44">
                  <c:v>45237</c:v>
                </c:pt>
                <c:pt idx="45">
                  <c:v>45236</c:v>
                </c:pt>
                <c:pt idx="46">
                  <c:v>45233</c:v>
                </c:pt>
                <c:pt idx="47">
                  <c:v>45232</c:v>
                </c:pt>
                <c:pt idx="48">
                  <c:v>45231</c:v>
                </c:pt>
                <c:pt idx="49">
                  <c:v>45230</c:v>
                </c:pt>
                <c:pt idx="50">
                  <c:v>45229</c:v>
                </c:pt>
                <c:pt idx="51">
                  <c:v>45226</c:v>
                </c:pt>
                <c:pt idx="52">
                  <c:v>45225</c:v>
                </c:pt>
                <c:pt idx="53">
                  <c:v>45224</c:v>
                </c:pt>
                <c:pt idx="54">
                  <c:v>45223</c:v>
                </c:pt>
                <c:pt idx="55">
                  <c:v>45222</c:v>
                </c:pt>
                <c:pt idx="56">
                  <c:v>45219</c:v>
                </c:pt>
                <c:pt idx="57">
                  <c:v>45218</c:v>
                </c:pt>
                <c:pt idx="58">
                  <c:v>45217</c:v>
                </c:pt>
                <c:pt idx="59">
                  <c:v>45216</c:v>
                </c:pt>
                <c:pt idx="60">
                  <c:v>45215</c:v>
                </c:pt>
                <c:pt idx="61">
                  <c:v>45212</c:v>
                </c:pt>
                <c:pt idx="62">
                  <c:v>45211</c:v>
                </c:pt>
                <c:pt idx="63">
                  <c:v>45210</c:v>
                </c:pt>
                <c:pt idx="64">
                  <c:v>45209</c:v>
                </c:pt>
                <c:pt idx="65">
                  <c:v>45208</c:v>
                </c:pt>
                <c:pt idx="66">
                  <c:v>45205</c:v>
                </c:pt>
                <c:pt idx="67">
                  <c:v>45204</c:v>
                </c:pt>
                <c:pt idx="68">
                  <c:v>45203</c:v>
                </c:pt>
                <c:pt idx="69">
                  <c:v>45202</c:v>
                </c:pt>
                <c:pt idx="70">
                  <c:v>45201</c:v>
                </c:pt>
                <c:pt idx="71">
                  <c:v>45196</c:v>
                </c:pt>
                <c:pt idx="72">
                  <c:v>45195</c:v>
                </c:pt>
                <c:pt idx="73">
                  <c:v>45194</c:v>
                </c:pt>
                <c:pt idx="74">
                  <c:v>45191</c:v>
                </c:pt>
                <c:pt idx="75">
                  <c:v>45190</c:v>
                </c:pt>
                <c:pt idx="76">
                  <c:v>45189</c:v>
                </c:pt>
                <c:pt idx="77">
                  <c:v>45188</c:v>
                </c:pt>
                <c:pt idx="78">
                  <c:v>45187</c:v>
                </c:pt>
                <c:pt idx="79">
                  <c:v>45184</c:v>
                </c:pt>
                <c:pt idx="80">
                  <c:v>45183</c:v>
                </c:pt>
                <c:pt idx="81">
                  <c:v>45182</c:v>
                </c:pt>
                <c:pt idx="82">
                  <c:v>45181</c:v>
                </c:pt>
                <c:pt idx="83">
                  <c:v>45180</c:v>
                </c:pt>
                <c:pt idx="84">
                  <c:v>45177</c:v>
                </c:pt>
                <c:pt idx="85">
                  <c:v>45176</c:v>
                </c:pt>
                <c:pt idx="86">
                  <c:v>45175</c:v>
                </c:pt>
                <c:pt idx="87">
                  <c:v>45174</c:v>
                </c:pt>
                <c:pt idx="88">
                  <c:v>45173</c:v>
                </c:pt>
                <c:pt idx="89">
                  <c:v>45170</c:v>
                </c:pt>
                <c:pt idx="90">
                  <c:v>45169</c:v>
                </c:pt>
                <c:pt idx="91">
                  <c:v>45167</c:v>
                </c:pt>
                <c:pt idx="92">
                  <c:v>45166</c:v>
                </c:pt>
                <c:pt idx="93">
                  <c:v>45163</c:v>
                </c:pt>
                <c:pt idx="94">
                  <c:v>45162</c:v>
                </c:pt>
                <c:pt idx="95">
                  <c:v>45161</c:v>
                </c:pt>
                <c:pt idx="96">
                  <c:v>45160</c:v>
                </c:pt>
                <c:pt idx="97">
                  <c:v>45159</c:v>
                </c:pt>
                <c:pt idx="98">
                  <c:v>45156</c:v>
                </c:pt>
                <c:pt idx="99">
                  <c:v>45155</c:v>
                </c:pt>
                <c:pt idx="100">
                  <c:v>45154</c:v>
                </c:pt>
                <c:pt idx="101">
                  <c:v>45153</c:v>
                </c:pt>
                <c:pt idx="102">
                  <c:v>45152</c:v>
                </c:pt>
                <c:pt idx="103">
                  <c:v>45149</c:v>
                </c:pt>
                <c:pt idx="104">
                  <c:v>45148</c:v>
                </c:pt>
                <c:pt idx="105">
                  <c:v>45147</c:v>
                </c:pt>
                <c:pt idx="106">
                  <c:v>45146</c:v>
                </c:pt>
                <c:pt idx="107">
                  <c:v>45145</c:v>
                </c:pt>
                <c:pt idx="108">
                  <c:v>45142</c:v>
                </c:pt>
                <c:pt idx="109">
                  <c:v>45141</c:v>
                </c:pt>
                <c:pt idx="110">
                  <c:v>45140</c:v>
                </c:pt>
                <c:pt idx="111">
                  <c:v>45138</c:v>
                </c:pt>
                <c:pt idx="112">
                  <c:v>45135</c:v>
                </c:pt>
                <c:pt idx="113">
                  <c:v>45134</c:v>
                </c:pt>
                <c:pt idx="114">
                  <c:v>45133</c:v>
                </c:pt>
                <c:pt idx="115">
                  <c:v>45132</c:v>
                </c:pt>
                <c:pt idx="116">
                  <c:v>45131</c:v>
                </c:pt>
                <c:pt idx="117">
                  <c:v>45128</c:v>
                </c:pt>
                <c:pt idx="118">
                  <c:v>45127</c:v>
                </c:pt>
                <c:pt idx="119">
                  <c:v>45126</c:v>
                </c:pt>
                <c:pt idx="120">
                  <c:v>45125</c:v>
                </c:pt>
                <c:pt idx="121">
                  <c:v>45124</c:v>
                </c:pt>
                <c:pt idx="122">
                  <c:v>45121</c:v>
                </c:pt>
                <c:pt idx="123">
                  <c:v>45120</c:v>
                </c:pt>
                <c:pt idx="124">
                  <c:v>45119</c:v>
                </c:pt>
                <c:pt idx="125">
                  <c:v>45118</c:v>
                </c:pt>
                <c:pt idx="126">
                  <c:v>45117</c:v>
                </c:pt>
                <c:pt idx="127">
                  <c:v>45114</c:v>
                </c:pt>
                <c:pt idx="128">
                  <c:v>45113</c:v>
                </c:pt>
                <c:pt idx="129">
                  <c:v>45112</c:v>
                </c:pt>
                <c:pt idx="130">
                  <c:v>45111</c:v>
                </c:pt>
                <c:pt idx="131">
                  <c:v>45105</c:v>
                </c:pt>
                <c:pt idx="132">
                  <c:v>45104</c:v>
                </c:pt>
                <c:pt idx="133">
                  <c:v>45103</c:v>
                </c:pt>
                <c:pt idx="134">
                  <c:v>45100</c:v>
                </c:pt>
                <c:pt idx="135">
                  <c:v>45099</c:v>
                </c:pt>
                <c:pt idx="136">
                  <c:v>45098</c:v>
                </c:pt>
                <c:pt idx="137">
                  <c:v>45097</c:v>
                </c:pt>
                <c:pt idx="138">
                  <c:v>45096</c:v>
                </c:pt>
                <c:pt idx="139">
                  <c:v>45093</c:v>
                </c:pt>
                <c:pt idx="140">
                  <c:v>45092</c:v>
                </c:pt>
                <c:pt idx="141">
                  <c:v>45091</c:v>
                </c:pt>
                <c:pt idx="142">
                  <c:v>45090</c:v>
                </c:pt>
                <c:pt idx="143">
                  <c:v>45089</c:v>
                </c:pt>
                <c:pt idx="144">
                  <c:v>45086</c:v>
                </c:pt>
                <c:pt idx="145">
                  <c:v>45085</c:v>
                </c:pt>
                <c:pt idx="146">
                  <c:v>45084</c:v>
                </c:pt>
                <c:pt idx="147">
                  <c:v>45083</c:v>
                </c:pt>
                <c:pt idx="148">
                  <c:v>45082</c:v>
                </c:pt>
                <c:pt idx="149">
                  <c:v>45079</c:v>
                </c:pt>
                <c:pt idx="150">
                  <c:v>45078</c:v>
                </c:pt>
                <c:pt idx="151">
                  <c:v>45077</c:v>
                </c:pt>
                <c:pt idx="152">
                  <c:v>45076</c:v>
                </c:pt>
                <c:pt idx="153">
                  <c:v>45075</c:v>
                </c:pt>
                <c:pt idx="154">
                  <c:v>45072</c:v>
                </c:pt>
                <c:pt idx="155">
                  <c:v>45071</c:v>
                </c:pt>
                <c:pt idx="156">
                  <c:v>45070</c:v>
                </c:pt>
                <c:pt idx="157">
                  <c:v>45069</c:v>
                </c:pt>
                <c:pt idx="158">
                  <c:v>45068</c:v>
                </c:pt>
                <c:pt idx="159">
                  <c:v>45065</c:v>
                </c:pt>
                <c:pt idx="160">
                  <c:v>45064</c:v>
                </c:pt>
                <c:pt idx="161">
                  <c:v>45063</c:v>
                </c:pt>
                <c:pt idx="162">
                  <c:v>45062</c:v>
                </c:pt>
                <c:pt idx="163">
                  <c:v>45061</c:v>
                </c:pt>
                <c:pt idx="164">
                  <c:v>45058</c:v>
                </c:pt>
                <c:pt idx="165">
                  <c:v>45057</c:v>
                </c:pt>
                <c:pt idx="166">
                  <c:v>45056</c:v>
                </c:pt>
                <c:pt idx="167">
                  <c:v>45055</c:v>
                </c:pt>
                <c:pt idx="168">
                  <c:v>45054</c:v>
                </c:pt>
                <c:pt idx="169">
                  <c:v>45050</c:v>
                </c:pt>
                <c:pt idx="170">
                  <c:v>45049</c:v>
                </c:pt>
                <c:pt idx="171">
                  <c:v>45048</c:v>
                </c:pt>
                <c:pt idx="172">
                  <c:v>45044</c:v>
                </c:pt>
                <c:pt idx="173">
                  <c:v>45043</c:v>
                </c:pt>
                <c:pt idx="174">
                  <c:v>45042</c:v>
                </c:pt>
                <c:pt idx="175">
                  <c:v>45041</c:v>
                </c:pt>
                <c:pt idx="176">
                  <c:v>45040</c:v>
                </c:pt>
                <c:pt idx="177">
                  <c:v>45037</c:v>
                </c:pt>
                <c:pt idx="178">
                  <c:v>45036</c:v>
                </c:pt>
                <c:pt idx="179">
                  <c:v>45035</c:v>
                </c:pt>
                <c:pt idx="180">
                  <c:v>45034</c:v>
                </c:pt>
                <c:pt idx="181">
                  <c:v>45033</c:v>
                </c:pt>
                <c:pt idx="182">
                  <c:v>45028</c:v>
                </c:pt>
                <c:pt idx="183">
                  <c:v>45027</c:v>
                </c:pt>
                <c:pt idx="184">
                  <c:v>45026</c:v>
                </c:pt>
                <c:pt idx="185">
                  <c:v>45022</c:v>
                </c:pt>
                <c:pt idx="186">
                  <c:v>45020</c:v>
                </c:pt>
                <c:pt idx="187">
                  <c:v>45019</c:v>
                </c:pt>
                <c:pt idx="188">
                  <c:v>45016</c:v>
                </c:pt>
                <c:pt idx="189">
                  <c:v>45015</c:v>
                </c:pt>
                <c:pt idx="190">
                  <c:v>45014</c:v>
                </c:pt>
                <c:pt idx="191">
                  <c:v>45013</c:v>
                </c:pt>
                <c:pt idx="192">
                  <c:v>45012</c:v>
                </c:pt>
                <c:pt idx="193">
                  <c:v>45009</c:v>
                </c:pt>
                <c:pt idx="194">
                  <c:v>45008</c:v>
                </c:pt>
                <c:pt idx="195">
                  <c:v>45007</c:v>
                </c:pt>
                <c:pt idx="196">
                  <c:v>45006</c:v>
                </c:pt>
                <c:pt idx="197">
                  <c:v>45005</c:v>
                </c:pt>
                <c:pt idx="198">
                  <c:v>45002</c:v>
                </c:pt>
                <c:pt idx="199">
                  <c:v>45001</c:v>
                </c:pt>
                <c:pt idx="200">
                  <c:v>45000</c:v>
                </c:pt>
                <c:pt idx="201">
                  <c:v>44999</c:v>
                </c:pt>
                <c:pt idx="202">
                  <c:v>44998</c:v>
                </c:pt>
                <c:pt idx="203">
                  <c:v>44995</c:v>
                </c:pt>
                <c:pt idx="204">
                  <c:v>44994</c:v>
                </c:pt>
                <c:pt idx="205">
                  <c:v>44993</c:v>
                </c:pt>
                <c:pt idx="206">
                  <c:v>44992</c:v>
                </c:pt>
                <c:pt idx="207">
                  <c:v>44988</c:v>
                </c:pt>
                <c:pt idx="208">
                  <c:v>44987</c:v>
                </c:pt>
                <c:pt idx="209">
                  <c:v>44986</c:v>
                </c:pt>
                <c:pt idx="210">
                  <c:v>44985</c:v>
                </c:pt>
                <c:pt idx="211">
                  <c:v>44984</c:v>
                </c:pt>
                <c:pt idx="212">
                  <c:v>44981</c:v>
                </c:pt>
                <c:pt idx="213">
                  <c:v>44980</c:v>
                </c:pt>
                <c:pt idx="214">
                  <c:v>44979</c:v>
                </c:pt>
                <c:pt idx="215">
                  <c:v>44978</c:v>
                </c:pt>
                <c:pt idx="216">
                  <c:v>44977</c:v>
                </c:pt>
                <c:pt idx="217">
                  <c:v>44974</c:v>
                </c:pt>
                <c:pt idx="218">
                  <c:v>44973</c:v>
                </c:pt>
                <c:pt idx="219">
                  <c:v>44972</c:v>
                </c:pt>
                <c:pt idx="220">
                  <c:v>44971</c:v>
                </c:pt>
                <c:pt idx="221">
                  <c:v>44970</c:v>
                </c:pt>
                <c:pt idx="222">
                  <c:v>44967</c:v>
                </c:pt>
                <c:pt idx="223">
                  <c:v>44966</c:v>
                </c:pt>
                <c:pt idx="224">
                  <c:v>44965</c:v>
                </c:pt>
                <c:pt idx="225">
                  <c:v>44964</c:v>
                </c:pt>
                <c:pt idx="226">
                  <c:v>44963</c:v>
                </c:pt>
                <c:pt idx="227">
                  <c:v>44960</c:v>
                </c:pt>
                <c:pt idx="228">
                  <c:v>44959</c:v>
                </c:pt>
                <c:pt idx="229">
                  <c:v>44958</c:v>
                </c:pt>
                <c:pt idx="230">
                  <c:v>44957</c:v>
                </c:pt>
                <c:pt idx="231">
                  <c:v>44956</c:v>
                </c:pt>
                <c:pt idx="232">
                  <c:v>44953</c:v>
                </c:pt>
                <c:pt idx="233">
                  <c:v>44952</c:v>
                </c:pt>
                <c:pt idx="234">
                  <c:v>44951</c:v>
                </c:pt>
                <c:pt idx="235">
                  <c:v>44950</c:v>
                </c:pt>
                <c:pt idx="236">
                  <c:v>44949</c:v>
                </c:pt>
                <c:pt idx="237">
                  <c:v>44946</c:v>
                </c:pt>
                <c:pt idx="238">
                  <c:v>44945</c:v>
                </c:pt>
                <c:pt idx="239">
                  <c:v>44944</c:v>
                </c:pt>
                <c:pt idx="240">
                  <c:v>44943</c:v>
                </c:pt>
                <c:pt idx="241">
                  <c:v>44939</c:v>
                </c:pt>
                <c:pt idx="242">
                  <c:v>44938</c:v>
                </c:pt>
                <c:pt idx="243">
                  <c:v>44937</c:v>
                </c:pt>
                <c:pt idx="244">
                  <c:v>44936</c:v>
                </c:pt>
                <c:pt idx="245">
                  <c:v>44935</c:v>
                </c:pt>
                <c:pt idx="246">
                  <c:v>44931</c:v>
                </c:pt>
                <c:pt idx="247">
                  <c:v>44930</c:v>
                </c:pt>
                <c:pt idx="248">
                  <c:v>44929</c:v>
                </c:pt>
                <c:pt idx="249">
                  <c:v>44928</c:v>
                </c:pt>
                <c:pt idx="250">
                  <c:v>44925</c:v>
                </c:pt>
                <c:pt idx="251">
                  <c:v>44924</c:v>
                </c:pt>
                <c:pt idx="252">
                  <c:v>44923</c:v>
                </c:pt>
                <c:pt idx="253">
                  <c:v>44922</c:v>
                </c:pt>
                <c:pt idx="254">
                  <c:v>44918</c:v>
                </c:pt>
                <c:pt idx="255">
                  <c:v>44917</c:v>
                </c:pt>
                <c:pt idx="256">
                  <c:v>44916</c:v>
                </c:pt>
                <c:pt idx="257">
                  <c:v>44915</c:v>
                </c:pt>
                <c:pt idx="258">
                  <c:v>44914</c:v>
                </c:pt>
                <c:pt idx="259">
                  <c:v>44911</c:v>
                </c:pt>
                <c:pt idx="260">
                  <c:v>44910</c:v>
                </c:pt>
                <c:pt idx="261">
                  <c:v>44909</c:v>
                </c:pt>
                <c:pt idx="262">
                  <c:v>44908</c:v>
                </c:pt>
                <c:pt idx="263">
                  <c:v>44907</c:v>
                </c:pt>
                <c:pt idx="264">
                  <c:v>44904</c:v>
                </c:pt>
                <c:pt idx="265">
                  <c:v>44903</c:v>
                </c:pt>
                <c:pt idx="266">
                  <c:v>44901</c:v>
                </c:pt>
                <c:pt idx="267">
                  <c:v>44900</c:v>
                </c:pt>
                <c:pt idx="268">
                  <c:v>44897</c:v>
                </c:pt>
                <c:pt idx="269">
                  <c:v>44896</c:v>
                </c:pt>
                <c:pt idx="270">
                  <c:v>44895</c:v>
                </c:pt>
                <c:pt idx="271">
                  <c:v>44894</c:v>
                </c:pt>
                <c:pt idx="272">
                  <c:v>44893</c:v>
                </c:pt>
                <c:pt idx="273">
                  <c:v>44890</c:v>
                </c:pt>
                <c:pt idx="274">
                  <c:v>44889</c:v>
                </c:pt>
                <c:pt idx="275">
                  <c:v>44888</c:v>
                </c:pt>
                <c:pt idx="276">
                  <c:v>44887</c:v>
                </c:pt>
                <c:pt idx="277">
                  <c:v>44886</c:v>
                </c:pt>
                <c:pt idx="278">
                  <c:v>44883</c:v>
                </c:pt>
                <c:pt idx="279">
                  <c:v>44882</c:v>
                </c:pt>
                <c:pt idx="280">
                  <c:v>44881</c:v>
                </c:pt>
                <c:pt idx="281">
                  <c:v>44880</c:v>
                </c:pt>
                <c:pt idx="282">
                  <c:v>44879</c:v>
                </c:pt>
                <c:pt idx="283">
                  <c:v>44876</c:v>
                </c:pt>
                <c:pt idx="284">
                  <c:v>44875</c:v>
                </c:pt>
                <c:pt idx="285">
                  <c:v>44874</c:v>
                </c:pt>
                <c:pt idx="286">
                  <c:v>44873</c:v>
                </c:pt>
                <c:pt idx="287">
                  <c:v>44869</c:v>
                </c:pt>
                <c:pt idx="288">
                  <c:v>44868</c:v>
                </c:pt>
                <c:pt idx="289">
                  <c:v>44867</c:v>
                </c:pt>
                <c:pt idx="290">
                  <c:v>44866</c:v>
                </c:pt>
                <c:pt idx="291">
                  <c:v>44865</c:v>
                </c:pt>
                <c:pt idx="292">
                  <c:v>44862</c:v>
                </c:pt>
                <c:pt idx="293">
                  <c:v>44861</c:v>
                </c:pt>
                <c:pt idx="294">
                  <c:v>44860</c:v>
                </c:pt>
                <c:pt idx="295">
                  <c:v>44859</c:v>
                </c:pt>
                <c:pt idx="296">
                  <c:v>44855</c:v>
                </c:pt>
                <c:pt idx="297">
                  <c:v>44854</c:v>
                </c:pt>
                <c:pt idx="298">
                  <c:v>44853</c:v>
                </c:pt>
                <c:pt idx="299">
                  <c:v>44852</c:v>
                </c:pt>
                <c:pt idx="300">
                  <c:v>44851</c:v>
                </c:pt>
                <c:pt idx="301">
                  <c:v>44848</c:v>
                </c:pt>
                <c:pt idx="302">
                  <c:v>44847</c:v>
                </c:pt>
                <c:pt idx="303">
                  <c:v>44846</c:v>
                </c:pt>
                <c:pt idx="304">
                  <c:v>44845</c:v>
                </c:pt>
                <c:pt idx="305">
                  <c:v>44841</c:v>
                </c:pt>
                <c:pt idx="306">
                  <c:v>44840</c:v>
                </c:pt>
                <c:pt idx="307">
                  <c:v>44839</c:v>
                </c:pt>
                <c:pt idx="308">
                  <c:v>44838</c:v>
                </c:pt>
                <c:pt idx="309">
                  <c:v>44837</c:v>
                </c:pt>
                <c:pt idx="310">
                  <c:v>44834</c:v>
                </c:pt>
                <c:pt idx="311">
                  <c:v>44833</c:v>
                </c:pt>
                <c:pt idx="312">
                  <c:v>44832</c:v>
                </c:pt>
                <c:pt idx="313">
                  <c:v>44831</c:v>
                </c:pt>
                <c:pt idx="314">
                  <c:v>44830</c:v>
                </c:pt>
                <c:pt idx="315">
                  <c:v>44827</c:v>
                </c:pt>
                <c:pt idx="316">
                  <c:v>44826</c:v>
                </c:pt>
                <c:pt idx="317">
                  <c:v>44825</c:v>
                </c:pt>
                <c:pt idx="318">
                  <c:v>44824</c:v>
                </c:pt>
                <c:pt idx="319">
                  <c:v>44823</c:v>
                </c:pt>
                <c:pt idx="320">
                  <c:v>44820</c:v>
                </c:pt>
                <c:pt idx="321">
                  <c:v>44819</c:v>
                </c:pt>
                <c:pt idx="322">
                  <c:v>44818</c:v>
                </c:pt>
                <c:pt idx="323">
                  <c:v>44817</c:v>
                </c:pt>
                <c:pt idx="324">
                  <c:v>44816</c:v>
                </c:pt>
                <c:pt idx="325">
                  <c:v>44813</c:v>
                </c:pt>
                <c:pt idx="326">
                  <c:v>44812</c:v>
                </c:pt>
                <c:pt idx="327">
                  <c:v>44811</c:v>
                </c:pt>
                <c:pt idx="328">
                  <c:v>44810</c:v>
                </c:pt>
                <c:pt idx="329">
                  <c:v>44809</c:v>
                </c:pt>
                <c:pt idx="330">
                  <c:v>44806</c:v>
                </c:pt>
                <c:pt idx="331">
                  <c:v>44805</c:v>
                </c:pt>
                <c:pt idx="332">
                  <c:v>44804</c:v>
                </c:pt>
                <c:pt idx="333">
                  <c:v>44803</c:v>
                </c:pt>
                <c:pt idx="334">
                  <c:v>44802</c:v>
                </c:pt>
                <c:pt idx="335">
                  <c:v>44799</c:v>
                </c:pt>
                <c:pt idx="336">
                  <c:v>44798</c:v>
                </c:pt>
                <c:pt idx="337">
                  <c:v>44797</c:v>
                </c:pt>
                <c:pt idx="338">
                  <c:v>44796</c:v>
                </c:pt>
                <c:pt idx="339">
                  <c:v>44795</c:v>
                </c:pt>
                <c:pt idx="340">
                  <c:v>44792</c:v>
                </c:pt>
                <c:pt idx="341">
                  <c:v>44791</c:v>
                </c:pt>
                <c:pt idx="342">
                  <c:v>44790</c:v>
                </c:pt>
                <c:pt idx="343">
                  <c:v>44789</c:v>
                </c:pt>
                <c:pt idx="344">
                  <c:v>44788</c:v>
                </c:pt>
                <c:pt idx="345">
                  <c:v>44785</c:v>
                </c:pt>
                <c:pt idx="346">
                  <c:v>44783</c:v>
                </c:pt>
                <c:pt idx="347">
                  <c:v>44782</c:v>
                </c:pt>
                <c:pt idx="348">
                  <c:v>44781</c:v>
                </c:pt>
                <c:pt idx="349">
                  <c:v>44778</c:v>
                </c:pt>
                <c:pt idx="350">
                  <c:v>44777</c:v>
                </c:pt>
                <c:pt idx="351">
                  <c:v>44776</c:v>
                </c:pt>
                <c:pt idx="352">
                  <c:v>44775</c:v>
                </c:pt>
                <c:pt idx="353">
                  <c:v>44774</c:v>
                </c:pt>
                <c:pt idx="354">
                  <c:v>44771</c:v>
                </c:pt>
                <c:pt idx="355">
                  <c:v>44770</c:v>
                </c:pt>
                <c:pt idx="356">
                  <c:v>44769</c:v>
                </c:pt>
                <c:pt idx="357">
                  <c:v>44768</c:v>
                </c:pt>
                <c:pt idx="358">
                  <c:v>44767</c:v>
                </c:pt>
                <c:pt idx="359">
                  <c:v>44764</c:v>
                </c:pt>
                <c:pt idx="360">
                  <c:v>44763</c:v>
                </c:pt>
                <c:pt idx="361">
                  <c:v>44762</c:v>
                </c:pt>
                <c:pt idx="362">
                  <c:v>44761</c:v>
                </c:pt>
                <c:pt idx="363">
                  <c:v>44760</c:v>
                </c:pt>
                <c:pt idx="364">
                  <c:v>44757</c:v>
                </c:pt>
                <c:pt idx="365">
                  <c:v>44756</c:v>
                </c:pt>
                <c:pt idx="366">
                  <c:v>44754</c:v>
                </c:pt>
                <c:pt idx="367">
                  <c:v>44753</c:v>
                </c:pt>
                <c:pt idx="368">
                  <c:v>44750</c:v>
                </c:pt>
                <c:pt idx="369">
                  <c:v>44749</c:v>
                </c:pt>
                <c:pt idx="370">
                  <c:v>44748</c:v>
                </c:pt>
                <c:pt idx="371">
                  <c:v>44747</c:v>
                </c:pt>
                <c:pt idx="372">
                  <c:v>44746</c:v>
                </c:pt>
                <c:pt idx="373">
                  <c:v>44743</c:v>
                </c:pt>
                <c:pt idx="374">
                  <c:v>44742</c:v>
                </c:pt>
                <c:pt idx="375">
                  <c:v>44741</c:v>
                </c:pt>
                <c:pt idx="376">
                  <c:v>44740</c:v>
                </c:pt>
                <c:pt idx="377">
                  <c:v>44739</c:v>
                </c:pt>
                <c:pt idx="378">
                  <c:v>44736</c:v>
                </c:pt>
                <c:pt idx="379">
                  <c:v>44735</c:v>
                </c:pt>
                <c:pt idx="380">
                  <c:v>44734</c:v>
                </c:pt>
                <c:pt idx="381">
                  <c:v>44733</c:v>
                </c:pt>
                <c:pt idx="382">
                  <c:v>44732</c:v>
                </c:pt>
                <c:pt idx="383">
                  <c:v>44729</c:v>
                </c:pt>
                <c:pt idx="384">
                  <c:v>44728</c:v>
                </c:pt>
                <c:pt idx="385">
                  <c:v>44727</c:v>
                </c:pt>
                <c:pt idx="386">
                  <c:v>44725</c:v>
                </c:pt>
                <c:pt idx="387">
                  <c:v>44722</c:v>
                </c:pt>
                <c:pt idx="388">
                  <c:v>44721</c:v>
                </c:pt>
                <c:pt idx="389">
                  <c:v>44720</c:v>
                </c:pt>
                <c:pt idx="390">
                  <c:v>44719</c:v>
                </c:pt>
                <c:pt idx="391">
                  <c:v>44718</c:v>
                </c:pt>
                <c:pt idx="392">
                  <c:v>44715</c:v>
                </c:pt>
                <c:pt idx="393">
                  <c:v>44714</c:v>
                </c:pt>
                <c:pt idx="394">
                  <c:v>44713</c:v>
                </c:pt>
                <c:pt idx="395">
                  <c:v>44712</c:v>
                </c:pt>
                <c:pt idx="396">
                  <c:v>44711</c:v>
                </c:pt>
                <c:pt idx="397">
                  <c:v>44708</c:v>
                </c:pt>
                <c:pt idx="398">
                  <c:v>44707</c:v>
                </c:pt>
                <c:pt idx="399">
                  <c:v>44706</c:v>
                </c:pt>
                <c:pt idx="400">
                  <c:v>44705</c:v>
                </c:pt>
                <c:pt idx="401">
                  <c:v>44704</c:v>
                </c:pt>
                <c:pt idx="402">
                  <c:v>44701</c:v>
                </c:pt>
                <c:pt idx="403">
                  <c:v>44700</c:v>
                </c:pt>
                <c:pt idx="404">
                  <c:v>44699</c:v>
                </c:pt>
                <c:pt idx="405">
                  <c:v>44698</c:v>
                </c:pt>
                <c:pt idx="406">
                  <c:v>44694</c:v>
                </c:pt>
                <c:pt idx="407">
                  <c:v>44693</c:v>
                </c:pt>
                <c:pt idx="408">
                  <c:v>44690</c:v>
                </c:pt>
                <c:pt idx="409">
                  <c:v>44687</c:v>
                </c:pt>
                <c:pt idx="410">
                  <c:v>44686</c:v>
                </c:pt>
                <c:pt idx="411">
                  <c:v>44685</c:v>
                </c:pt>
                <c:pt idx="412">
                  <c:v>44680</c:v>
                </c:pt>
                <c:pt idx="413">
                  <c:v>44679</c:v>
                </c:pt>
                <c:pt idx="414">
                  <c:v>44678</c:v>
                </c:pt>
                <c:pt idx="415">
                  <c:v>44677</c:v>
                </c:pt>
                <c:pt idx="416">
                  <c:v>44676</c:v>
                </c:pt>
                <c:pt idx="417">
                  <c:v>44659</c:v>
                </c:pt>
                <c:pt idx="418">
                  <c:v>44658</c:v>
                </c:pt>
                <c:pt idx="419">
                  <c:v>44657</c:v>
                </c:pt>
                <c:pt idx="420">
                  <c:v>44656</c:v>
                </c:pt>
                <c:pt idx="421">
                  <c:v>44655</c:v>
                </c:pt>
                <c:pt idx="422">
                  <c:v>44652</c:v>
                </c:pt>
                <c:pt idx="423">
                  <c:v>44651</c:v>
                </c:pt>
                <c:pt idx="424">
                  <c:v>44650</c:v>
                </c:pt>
                <c:pt idx="425">
                  <c:v>44649</c:v>
                </c:pt>
                <c:pt idx="426">
                  <c:v>44648</c:v>
                </c:pt>
                <c:pt idx="427">
                  <c:v>44645</c:v>
                </c:pt>
                <c:pt idx="428">
                  <c:v>44644</c:v>
                </c:pt>
                <c:pt idx="429">
                  <c:v>44643</c:v>
                </c:pt>
                <c:pt idx="430">
                  <c:v>44642</c:v>
                </c:pt>
                <c:pt idx="431">
                  <c:v>44641</c:v>
                </c:pt>
                <c:pt idx="432">
                  <c:v>44638</c:v>
                </c:pt>
                <c:pt idx="433">
                  <c:v>44636</c:v>
                </c:pt>
                <c:pt idx="434">
                  <c:v>44635</c:v>
                </c:pt>
                <c:pt idx="435">
                  <c:v>44634</c:v>
                </c:pt>
                <c:pt idx="436">
                  <c:v>44631</c:v>
                </c:pt>
                <c:pt idx="437">
                  <c:v>44630</c:v>
                </c:pt>
                <c:pt idx="438">
                  <c:v>44629</c:v>
                </c:pt>
                <c:pt idx="439">
                  <c:v>44628</c:v>
                </c:pt>
                <c:pt idx="440">
                  <c:v>44627</c:v>
                </c:pt>
                <c:pt idx="441">
                  <c:v>44624</c:v>
                </c:pt>
                <c:pt idx="442">
                  <c:v>44623</c:v>
                </c:pt>
                <c:pt idx="443">
                  <c:v>44622</c:v>
                </c:pt>
                <c:pt idx="444">
                  <c:v>44620</c:v>
                </c:pt>
                <c:pt idx="445">
                  <c:v>44617</c:v>
                </c:pt>
                <c:pt idx="446">
                  <c:v>44616</c:v>
                </c:pt>
                <c:pt idx="447">
                  <c:v>44615</c:v>
                </c:pt>
                <c:pt idx="448">
                  <c:v>44614</c:v>
                </c:pt>
                <c:pt idx="449">
                  <c:v>44613</c:v>
                </c:pt>
                <c:pt idx="450">
                  <c:v>44610</c:v>
                </c:pt>
                <c:pt idx="451">
                  <c:v>44609</c:v>
                </c:pt>
                <c:pt idx="452">
                  <c:v>44607</c:v>
                </c:pt>
                <c:pt idx="453">
                  <c:v>44606</c:v>
                </c:pt>
                <c:pt idx="454">
                  <c:v>44603</c:v>
                </c:pt>
                <c:pt idx="455">
                  <c:v>44602</c:v>
                </c:pt>
                <c:pt idx="456">
                  <c:v>44601</c:v>
                </c:pt>
                <c:pt idx="457">
                  <c:v>44600</c:v>
                </c:pt>
                <c:pt idx="458">
                  <c:v>44599</c:v>
                </c:pt>
                <c:pt idx="459">
                  <c:v>44595</c:v>
                </c:pt>
                <c:pt idx="460">
                  <c:v>44594</c:v>
                </c:pt>
                <c:pt idx="461">
                  <c:v>44593</c:v>
                </c:pt>
                <c:pt idx="462">
                  <c:v>44592</c:v>
                </c:pt>
                <c:pt idx="463">
                  <c:v>44589</c:v>
                </c:pt>
                <c:pt idx="464">
                  <c:v>44588</c:v>
                </c:pt>
                <c:pt idx="465">
                  <c:v>44587</c:v>
                </c:pt>
                <c:pt idx="466">
                  <c:v>44586</c:v>
                </c:pt>
                <c:pt idx="467">
                  <c:v>44585</c:v>
                </c:pt>
                <c:pt idx="468">
                  <c:v>44582</c:v>
                </c:pt>
                <c:pt idx="469">
                  <c:v>44581</c:v>
                </c:pt>
                <c:pt idx="470">
                  <c:v>44580</c:v>
                </c:pt>
                <c:pt idx="471">
                  <c:v>44579</c:v>
                </c:pt>
                <c:pt idx="472">
                  <c:v>44574</c:v>
                </c:pt>
                <c:pt idx="473">
                  <c:v>44573</c:v>
                </c:pt>
                <c:pt idx="474">
                  <c:v>44572</c:v>
                </c:pt>
                <c:pt idx="475">
                  <c:v>44571</c:v>
                </c:pt>
                <c:pt idx="476">
                  <c:v>44568</c:v>
                </c:pt>
                <c:pt idx="477">
                  <c:v>44567</c:v>
                </c:pt>
                <c:pt idx="478">
                  <c:v>44566</c:v>
                </c:pt>
                <c:pt idx="479">
                  <c:v>44565</c:v>
                </c:pt>
                <c:pt idx="480">
                  <c:v>44564</c:v>
                </c:pt>
                <c:pt idx="481">
                  <c:v>44561</c:v>
                </c:pt>
                <c:pt idx="482">
                  <c:v>44560</c:v>
                </c:pt>
                <c:pt idx="483">
                  <c:v>44559</c:v>
                </c:pt>
                <c:pt idx="484">
                  <c:v>44558</c:v>
                </c:pt>
                <c:pt idx="485">
                  <c:v>44557</c:v>
                </c:pt>
                <c:pt idx="486">
                  <c:v>44554</c:v>
                </c:pt>
                <c:pt idx="487">
                  <c:v>44553</c:v>
                </c:pt>
                <c:pt idx="488">
                  <c:v>44552</c:v>
                </c:pt>
                <c:pt idx="489">
                  <c:v>44551</c:v>
                </c:pt>
                <c:pt idx="490">
                  <c:v>44550</c:v>
                </c:pt>
                <c:pt idx="491">
                  <c:v>44547</c:v>
                </c:pt>
                <c:pt idx="492">
                  <c:v>44546</c:v>
                </c:pt>
                <c:pt idx="493">
                  <c:v>44545</c:v>
                </c:pt>
                <c:pt idx="494">
                  <c:v>44544</c:v>
                </c:pt>
                <c:pt idx="495">
                  <c:v>44543</c:v>
                </c:pt>
                <c:pt idx="496">
                  <c:v>44540</c:v>
                </c:pt>
                <c:pt idx="497">
                  <c:v>44539</c:v>
                </c:pt>
                <c:pt idx="498">
                  <c:v>44538</c:v>
                </c:pt>
                <c:pt idx="499">
                  <c:v>44537</c:v>
                </c:pt>
                <c:pt idx="500">
                  <c:v>44536</c:v>
                </c:pt>
                <c:pt idx="501">
                  <c:v>44533</c:v>
                </c:pt>
                <c:pt idx="502">
                  <c:v>44532</c:v>
                </c:pt>
                <c:pt idx="503">
                  <c:v>44531</c:v>
                </c:pt>
                <c:pt idx="504">
                  <c:v>44530</c:v>
                </c:pt>
                <c:pt idx="505">
                  <c:v>44529</c:v>
                </c:pt>
                <c:pt idx="506">
                  <c:v>44526</c:v>
                </c:pt>
                <c:pt idx="507">
                  <c:v>44525</c:v>
                </c:pt>
                <c:pt idx="508">
                  <c:v>44524</c:v>
                </c:pt>
                <c:pt idx="509">
                  <c:v>44523</c:v>
                </c:pt>
                <c:pt idx="510">
                  <c:v>44522</c:v>
                </c:pt>
                <c:pt idx="511">
                  <c:v>44519</c:v>
                </c:pt>
                <c:pt idx="512">
                  <c:v>44517</c:v>
                </c:pt>
                <c:pt idx="513">
                  <c:v>44516</c:v>
                </c:pt>
                <c:pt idx="514">
                  <c:v>44515</c:v>
                </c:pt>
                <c:pt idx="515">
                  <c:v>44512</c:v>
                </c:pt>
                <c:pt idx="516">
                  <c:v>44511</c:v>
                </c:pt>
                <c:pt idx="517">
                  <c:v>44510</c:v>
                </c:pt>
                <c:pt idx="518">
                  <c:v>44509</c:v>
                </c:pt>
                <c:pt idx="519">
                  <c:v>44508</c:v>
                </c:pt>
                <c:pt idx="520">
                  <c:v>44505</c:v>
                </c:pt>
                <c:pt idx="521">
                  <c:v>44503</c:v>
                </c:pt>
                <c:pt idx="522">
                  <c:v>44502</c:v>
                </c:pt>
                <c:pt idx="523">
                  <c:v>44501</c:v>
                </c:pt>
                <c:pt idx="524">
                  <c:v>44498</c:v>
                </c:pt>
                <c:pt idx="525">
                  <c:v>44497</c:v>
                </c:pt>
                <c:pt idx="526">
                  <c:v>44496</c:v>
                </c:pt>
                <c:pt idx="527">
                  <c:v>44495</c:v>
                </c:pt>
                <c:pt idx="528">
                  <c:v>44494</c:v>
                </c:pt>
                <c:pt idx="529">
                  <c:v>44491</c:v>
                </c:pt>
                <c:pt idx="530">
                  <c:v>44490</c:v>
                </c:pt>
                <c:pt idx="531">
                  <c:v>44487</c:v>
                </c:pt>
                <c:pt idx="532">
                  <c:v>44484</c:v>
                </c:pt>
                <c:pt idx="533">
                  <c:v>44483</c:v>
                </c:pt>
                <c:pt idx="534">
                  <c:v>44482</c:v>
                </c:pt>
                <c:pt idx="535">
                  <c:v>44481</c:v>
                </c:pt>
                <c:pt idx="536">
                  <c:v>44480</c:v>
                </c:pt>
                <c:pt idx="537">
                  <c:v>44477</c:v>
                </c:pt>
                <c:pt idx="538">
                  <c:v>44476</c:v>
                </c:pt>
                <c:pt idx="539">
                  <c:v>44475</c:v>
                </c:pt>
                <c:pt idx="540">
                  <c:v>44474</c:v>
                </c:pt>
                <c:pt idx="541">
                  <c:v>44473</c:v>
                </c:pt>
                <c:pt idx="542">
                  <c:v>44470</c:v>
                </c:pt>
                <c:pt idx="543">
                  <c:v>44469</c:v>
                </c:pt>
                <c:pt idx="544">
                  <c:v>44468</c:v>
                </c:pt>
                <c:pt idx="545">
                  <c:v>44467</c:v>
                </c:pt>
                <c:pt idx="546">
                  <c:v>44466</c:v>
                </c:pt>
                <c:pt idx="547">
                  <c:v>44463</c:v>
                </c:pt>
                <c:pt idx="548">
                  <c:v>44462</c:v>
                </c:pt>
                <c:pt idx="549">
                  <c:v>44461</c:v>
                </c:pt>
                <c:pt idx="550">
                  <c:v>44460</c:v>
                </c:pt>
                <c:pt idx="551">
                  <c:v>44456</c:v>
                </c:pt>
                <c:pt idx="552">
                  <c:v>44455</c:v>
                </c:pt>
                <c:pt idx="553">
                  <c:v>44454</c:v>
                </c:pt>
                <c:pt idx="554">
                  <c:v>44453</c:v>
                </c:pt>
                <c:pt idx="555">
                  <c:v>44452</c:v>
                </c:pt>
                <c:pt idx="556">
                  <c:v>44449</c:v>
                </c:pt>
                <c:pt idx="557">
                  <c:v>44448</c:v>
                </c:pt>
                <c:pt idx="558">
                  <c:v>44447</c:v>
                </c:pt>
                <c:pt idx="559">
                  <c:v>44446</c:v>
                </c:pt>
                <c:pt idx="560">
                  <c:v>44445</c:v>
                </c:pt>
                <c:pt idx="561">
                  <c:v>44442</c:v>
                </c:pt>
                <c:pt idx="562">
                  <c:v>44441</c:v>
                </c:pt>
                <c:pt idx="563">
                  <c:v>44440</c:v>
                </c:pt>
                <c:pt idx="564">
                  <c:v>44439</c:v>
                </c:pt>
                <c:pt idx="565">
                  <c:v>44438</c:v>
                </c:pt>
                <c:pt idx="566">
                  <c:v>44435</c:v>
                </c:pt>
                <c:pt idx="567">
                  <c:v>44434</c:v>
                </c:pt>
                <c:pt idx="568">
                  <c:v>44433</c:v>
                </c:pt>
                <c:pt idx="569">
                  <c:v>44432</c:v>
                </c:pt>
                <c:pt idx="570">
                  <c:v>44431</c:v>
                </c:pt>
                <c:pt idx="571">
                  <c:v>44428</c:v>
                </c:pt>
                <c:pt idx="572">
                  <c:v>44427</c:v>
                </c:pt>
                <c:pt idx="573">
                  <c:v>44426</c:v>
                </c:pt>
                <c:pt idx="574">
                  <c:v>44425</c:v>
                </c:pt>
                <c:pt idx="575">
                  <c:v>44424</c:v>
                </c:pt>
                <c:pt idx="576">
                  <c:v>44421</c:v>
                </c:pt>
                <c:pt idx="577">
                  <c:v>44420</c:v>
                </c:pt>
                <c:pt idx="578">
                  <c:v>44419</c:v>
                </c:pt>
                <c:pt idx="579">
                  <c:v>44418</c:v>
                </c:pt>
                <c:pt idx="580">
                  <c:v>44417</c:v>
                </c:pt>
                <c:pt idx="581">
                  <c:v>44414</c:v>
                </c:pt>
                <c:pt idx="582">
                  <c:v>44413</c:v>
                </c:pt>
                <c:pt idx="583">
                  <c:v>44412</c:v>
                </c:pt>
                <c:pt idx="584">
                  <c:v>44411</c:v>
                </c:pt>
                <c:pt idx="585">
                  <c:v>44410</c:v>
                </c:pt>
                <c:pt idx="586">
                  <c:v>44407</c:v>
                </c:pt>
                <c:pt idx="587">
                  <c:v>44406</c:v>
                </c:pt>
                <c:pt idx="588">
                  <c:v>44405</c:v>
                </c:pt>
                <c:pt idx="589">
                  <c:v>44404</c:v>
                </c:pt>
                <c:pt idx="590">
                  <c:v>44403</c:v>
                </c:pt>
                <c:pt idx="591">
                  <c:v>44399</c:v>
                </c:pt>
                <c:pt idx="592">
                  <c:v>44397</c:v>
                </c:pt>
                <c:pt idx="593">
                  <c:v>44396</c:v>
                </c:pt>
                <c:pt idx="594">
                  <c:v>44393</c:v>
                </c:pt>
                <c:pt idx="595">
                  <c:v>44392</c:v>
                </c:pt>
                <c:pt idx="596">
                  <c:v>44391</c:v>
                </c:pt>
                <c:pt idx="597">
                  <c:v>44390</c:v>
                </c:pt>
                <c:pt idx="598">
                  <c:v>44389</c:v>
                </c:pt>
                <c:pt idx="599">
                  <c:v>44386</c:v>
                </c:pt>
                <c:pt idx="600">
                  <c:v>44385</c:v>
                </c:pt>
                <c:pt idx="601">
                  <c:v>44384</c:v>
                </c:pt>
                <c:pt idx="602">
                  <c:v>44383</c:v>
                </c:pt>
                <c:pt idx="603">
                  <c:v>44382</c:v>
                </c:pt>
                <c:pt idx="604">
                  <c:v>44379</c:v>
                </c:pt>
                <c:pt idx="605">
                  <c:v>44378</c:v>
                </c:pt>
                <c:pt idx="606">
                  <c:v>44377</c:v>
                </c:pt>
                <c:pt idx="607">
                  <c:v>44376</c:v>
                </c:pt>
                <c:pt idx="608">
                  <c:v>44375</c:v>
                </c:pt>
                <c:pt idx="609">
                  <c:v>44372</c:v>
                </c:pt>
                <c:pt idx="610">
                  <c:v>44370</c:v>
                </c:pt>
                <c:pt idx="611">
                  <c:v>44369</c:v>
                </c:pt>
                <c:pt idx="612">
                  <c:v>44368</c:v>
                </c:pt>
                <c:pt idx="613">
                  <c:v>44365</c:v>
                </c:pt>
                <c:pt idx="614">
                  <c:v>44364</c:v>
                </c:pt>
                <c:pt idx="615">
                  <c:v>44363</c:v>
                </c:pt>
                <c:pt idx="616">
                  <c:v>44362</c:v>
                </c:pt>
                <c:pt idx="617">
                  <c:v>44361</c:v>
                </c:pt>
                <c:pt idx="618">
                  <c:v>44358</c:v>
                </c:pt>
                <c:pt idx="619">
                  <c:v>44357</c:v>
                </c:pt>
                <c:pt idx="620">
                  <c:v>44356</c:v>
                </c:pt>
                <c:pt idx="621">
                  <c:v>44355</c:v>
                </c:pt>
                <c:pt idx="622">
                  <c:v>44354</c:v>
                </c:pt>
                <c:pt idx="623">
                  <c:v>44351</c:v>
                </c:pt>
                <c:pt idx="624">
                  <c:v>44350</c:v>
                </c:pt>
                <c:pt idx="625">
                  <c:v>44349</c:v>
                </c:pt>
                <c:pt idx="626">
                  <c:v>44348</c:v>
                </c:pt>
                <c:pt idx="627">
                  <c:v>44347</c:v>
                </c:pt>
                <c:pt idx="628">
                  <c:v>44344</c:v>
                </c:pt>
                <c:pt idx="629">
                  <c:v>44341</c:v>
                </c:pt>
                <c:pt idx="630">
                  <c:v>44340</c:v>
                </c:pt>
                <c:pt idx="631">
                  <c:v>44337</c:v>
                </c:pt>
                <c:pt idx="632">
                  <c:v>44336</c:v>
                </c:pt>
                <c:pt idx="633">
                  <c:v>44335</c:v>
                </c:pt>
                <c:pt idx="634">
                  <c:v>44334</c:v>
                </c:pt>
                <c:pt idx="635">
                  <c:v>44333</c:v>
                </c:pt>
                <c:pt idx="636">
                  <c:v>44329</c:v>
                </c:pt>
                <c:pt idx="637">
                  <c:v>44328</c:v>
                </c:pt>
                <c:pt idx="638">
                  <c:v>44327</c:v>
                </c:pt>
                <c:pt idx="639">
                  <c:v>44326</c:v>
                </c:pt>
                <c:pt idx="640">
                  <c:v>44323</c:v>
                </c:pt>
                <c:pt idx="641">
                  <c:v>44322</c:v>
                </c:pt>
                <c:pt idx="642">
                  <c:v>44321</c:v>
                </c:pt>
                <c:pt idx="643">
                  <c:v>44320</c:v>
                </c:pt>
                <c:pt idx="644">
                  <c:v>44319</c:v>
                </c:pt>
                <c:pt idx="645">
                  <c:v>44316</c:v>
                </c:pt>
                <c:pt idx="646">
                  <c:v>44315</c:v>
                </c:pt>
                <c:pt idx="647">
                  <c:v>44314</c:v>
                </c:pt>
                <c:pt idx="648">
                  <c:v>44313</c:v>
                </c:pt>
                <c:pt idx="649">
                  <c:v>44309</c:v>
                </c:pt>
                <c:pt idx="650">
                  <c:v>44308</c:v>
                </c:pt>
                <c:pt idx="651">
                  <c:v>44307</c:v>
                </c:pt>
                <c:pt idx="652">
                  <c:v>44306</c:v>
                </c:pt>
                <c:pt idx="653">
                  <c:v>44305</c:v>
                </c:pt>
                <c:pt idx="654">
                  <c:v>44302</c:v>
                </c:pt>
                <c:pt idx="655">
                  <c:v>44301</c:v>
                </c:pt>
                <c:pt idx="656">
                  <c:v>44298</c:v>
                </c:pt>
                <c:pt idx="657">
                  <c:v>44295</c:v>
                </c:pt>
                <c:pt idx="658">
                  <c:v>44294</c:v>
                </c:pt>
                <c:pt idx="659">
                  <c:v>44293</c:v>
                </c:pt>
                <c:pt idx="660">
                  <c:v>44292</c:v>
                </c:pt>
                <c:pt idx="661">
                  <c:v>44291</c:v>
                </c:pt>
                <c:pt idx="662">
                  <c:v>44287</c:v>
                </c:pt>
                <c:pt idx="663">
                  <c:v>44286</c:v>
                </c:pt>
                <c:pt idx="664">
                  <c:v>44285</c:v>
                </c:pt>
                <c:pt idx="665">
                  <c:v>44284</c:v>
                </c:pt>
                <c:pt idx="666">
                  <c:v>44281</c:v>
                </c:pt>
                <c:pt idx="667">
                  <c:v>44280</c:v>
                </c:pt>
                <c:pt idx="668">
                  <c:v>44279</c:v>
                </c:pt>
                <c:pt idx="669">
                  <c:v>44278</c:v>
                </c:pt>
                <c:pt idx="670">
                  <c:v>44277</c:v>
                </c:pt>
                <c:pt idx="671">
                  <c:v>44274</c:v>
                </c:pt>
                <c:pt idx="672">
                  <c:v>44273</c:v>
                </c:pt>
                <c:pt idx="673">
                  <c:v>44272</c:v>
                </c:pt>
                <c:pt idx="674">
                  <c:v>44271</c:v>
                </c:pt>
                <c:pt idx="675">
                  <c:v>44270</c:v>
                </c:pt>
                <c:pt idx="676">
                  <c:v>44267</c:v>
                </c:pt>
                <c:pt idx="677">
                  <c:v>44265</c:v>
                </c:pt>
                <c:pt idx="678">
                  <c:v>44264</c:v>
                </c:pt>
                <c:pt idx="679">
                  <c:v>44263</c:v>
                </c:pt>
                <c:pt idx="680">
                  <c:v>44260</c:v>
                </c:pt>
                <c:pt idx="681">
                  <c:v>44259</c:v>
                </c:pt>
                <c:pt idx="682">
                  <c:v>44258</c:v>
                </c:pt>
                <c:pt idx="683">
                  <c:v>44257</c:v>
                </c:pt>
                <c:pt idx="684">
                  <c:v>44256</c:v>
                </c:pt>
                <c:pt idx="685">
                  <c:v>44252</c:v>
                </c:pt>
                <c:pt idx="686">
                  <c:v>44251</c:v>
                </c:pt>
                <c:pt idx="687">
                  <c:v>44250</c:v>
                </c:pt>
                <c:pt idx="688">
                  <c:v>44249</c:v>
                </c:pt>
                <c:pt idx="689">
                  <c:v>44246</c:v>
                </c:pt>
                <c:pt idx="690">
                  <c:v>44245</c:v>
                </c:pt>
                <c:pt idx="691">
                  <c:v>44244</c:v>
                </c:pt>
                <c:pt idx="692">
                  <c:v>44243</c:v>
                </c:pt>
                <c:pt idx="693">
                  <c:v>44242</c:v>
                </c:pt>
                <c:pt idx="694">
                  <c:v>44239</c:v>
                </c:pt>
                <c:pt idx="695">
                  <c:v>44238</c:v>
                </c:pt>
                <c:pt idx="696">
                  <c:v>44237</c:v>
                </c:pt>
                <c:pt idx="697">
                  <c:v>44236</c:v>
                </c:pt>
                <c:pt idx="698">
                  <c:v>44235</c:v>
                </c:pt>
                <c:pt idx="699">
                  <c:v>44232</c:v>
                </c:pt>
                <c:pt idx="700">
                  <c:v>44230</c:v>
                </c:pt>
                <c:pt idx="701">
                  <c:v>44229</c:v>
                </c:pt>
                <c:pt idx="702">
                  <c:v>44228</c:v>
                </c:pt>
                <c:pt idx="703">
                  <c:v>44225</c:v>
                </c:pt>
                <c:pt idx="704">
                  <c:v>44223</c:v>
                </c:pt>
                <c:pt idx="705">
                  <c:v>44222</c:v>
                </c:pt>
                <c:pt idx="706">
                  <c:v>44221</c:v>
                </c:pt>
                <c:pt idx="707">
                  <c:v>44218</c:v>
                </c:pt>
                <c:pt idx="708">
                  <c:v>44217</c:v>
                </c:pt>
                <c:pt idx="709">
                  <c:v>44216</c:v>
                </c:pt>
                <c:pt idx="710">
                  <c:v>44215</c:v>
                </c:pt>
                <c:pt idx="711">
                  <c:v>44214</c:v>
                </c:pt>
                <c:pt idx="712">
                  <c:v>44211</c:v>
                </c:pt>
                <c:pt idx="713">
                  <c:v>44209</c:v>
                </c:pt>
                <c:pt idx="714">
                  <c:v>44208</c:v>
                </c:pt>
                <c:pt idx="715">
                  <c:v>44207</c:v>
                </c:pt>
                <c:pt idx="716">
                  <c:v>44204</c:v>
                </c:pt>
                <c:pt idx="717">
                  <c:v>44203</c:v>
                </c:pt>
                <c:pt idx="718">
                  <c:v>44202</c:v>
                </c:pt>
                <c:pt idx="719">
                  <c:v>44201</c:v>
                </c:pt>
                <c:pt idx="720">
                  <c:v>44200</c:v>
                </c:pt>
                <c:pt idx="721">
                  <c:v>44196</c:v>
                </c:pt>
                <c:pt idx="722">
                  <c:v>44195</c:v>
                </c:pt>
                <c:pt idx="723">
                  <c:v>44193</c:v>
                </c:pt>
                <c:pt idx="724">
                  <c:v>44189</c:v>
                </c:pt>
                <c:pt idx="725">
                  <c:v>44188</c:v>
                </c:pt>
                <c:pt idx="726">
                  <c:v>44187</c:v>
                </c:pt>
                <c:pt idx="727">
                  <c:v>44186</c:v>
                </c:pt>
                <c:pt idx="728">
                  <c:v>44183</c:v>
                </c:pt>
                <c:pt idx="729">
                  <c:v>44182</c:v>
                </c:pt>
                <c:pt idx="730">
                  <c:v>44181</c:v>
                </c:pt>
                <c:pt idx="731">
                  <c:v>44180</c:v>
                </c:pt>
                <c:pt idx="732">
                  <c:v>44179</c:v>
                </c:pt>
                <c:pt idx="733">
                  <c:v>44176</c:v>
                </c:pt>
                <c:pt idx="734">
                  <c:v>44175</c:v>
                </c:pt>
                <c:pt idx="735">
                  <c:v>44174</c:v>
                </c:pt>
                <c:pt idx="736">
                  <c:v>44173</c:v>
                </c:pt>
                <c:pt idx="737">
                  <c:v>44172</c:v>
                </c:pt>
                <c:pt idx="738">
                  <c:v>44169</c:v>
                </c:pt>
                <c:pt idx="739">
                  <c:v>44168</c:v>
                </c:pt>
                <c:pt idx="740">
                  <c:v>44167</c:v>
                </c:pt>
                <c:pt idx="741">
                  <c:v>44166</c:v>
                </c:pt>
                <c:pt idx="742">
                  <c:v>44165</c:v>
                </c:pt>
                <c:pt idx="743">
                  <c:v>44162</c:v>
                </c:pt>
                <c:pt idx="744">
                  <c:v>44161</c:v>
                </c:pt>
                <c:pt idx="745">
                  <c:v>44160</c:v>
                </c:pt>
                <c:pt idx="746">
                  <c:v>44159</c:v>
                </c:pt>
                <c:pt idx="747">
                  <c:v>44158</c:v>
                </c:pt>
                <c:pt idx="748">
                  <c:v>44155</c:v>
                </c:pt>
                <c:pt idx="749">
                  <c:v>44154</c:v>
                </c:pt>
                <c:pt idx="750">
                  <c:v>44153</c:v>
                </c:pt>
                <c:pt idx="751">
                  <c:v>44152</c:v>
                </c:pt>
                <c:pt idx="752">
                  <c:v>44151</c:v>
                </c:pt>
                <c:pt idx="753">
                  <c:v>44148</c:v>
                </c:pt>
                <c:pt idx="754">
                  <c:v>44147</c:v>
                </c:pt>
                <c:pt idx="755">
                  <c:v>44146</c:v>
                </c:pt>
                <c:pt idx="756">
                  <c:v>44145</c:v>
                </c:pt>
                <c:pt idx="757">
                  <c:v>44144</c:v>
                </c:pt>
                <c:pt idx="758">
                  <c:v>44141</c:v>
                </c:pt>
                <c:pt idx="759">
                  <c:v>44140</c:v>
                </c:pt>
                <c:pt idx="760">
                  <c:v>44139</c:v>
                </c:pt>
                <c:pt idx="761">
                  <c:v>44138</c:v>
                </c:pt>
                <c:pt idx="762">
                  <c:v>44137</c:v>
                </c:pt>
                <c:pt idx="763">
                  <c:v>44133</c:v>
                </c:pt>
                <c:pt idx="764">
                  <c:v>44132</c:v>
                </c:pt>
                <c:pt idx="765">
                  <c:v>44131</c:v>
                </c:pt>
                <c:pt idx="766">
                  <c:v>44130</c:v>
                </c:pt>
                <c:pt idx="767">
                  <c:v>44127</c:v>
                </c:pt>
                <c:pt idx="768">
                  <c:v>44126</c:v>
                </c:pt>
                <c:pt idx="769">
                  <c:v>44125</c:v>
                </c:pt>
                <c:pt idx="770">
                  <c:v>44124</c:v>
                </c:pt>
                <c:pt idx="771">
                  <c:v>44123</c:v>
                </c:pt>
                <c:pt idx="772">
                  <c:v>44120</c:v>
                </c:pt>
                <c:pt idx="773">
                  <c:v>44119</c:v>
                </c:pt>
                <c:pt idx="774">
                  <c:v>44118</c:v>
                </c:pt>
                <c:pt idx="775">
                  <c:v>44117</c:v>
                </c:pt>
                <c:pt idx="776">
                  <c:v>44116</c:v>
                </c:pt>
                <c:pt idx="777">
                  <c:v>44113</c:v>
                </c:pt>
                <c:pt idx="778">
                  <c:v>44112</c:v>
                </c:pt>
                <c:pt idx="779">
                  <c:v>44111</c:v>
                </c:pt>
                <c:pt idx="780">
                  <c:v>44110</c:v>
                </c:pt>
                <c:pt idx="781">
                  <c:v>44109</c:v>
                </c:pt>
                <c:pt idx="782">
                  <c:v>44106</c:v>
                </c:pt>
                <c:pt idx="783">
                  <c:v>44104</c:v>
                </c:pt>
                <c:pt idx="784">
                  <c:v>44103</c:v>
                </c:pt>
                <c:pt idx="785">
                  <c:v>44102</c:v>
                </c:pt>
                <c:pt idx="786">
                  <c:v>44099</c:v>
                </c:pt>
                <c:pt idx="787">
                  <c:v>44098</c:v>
                </c:pt>
                <c:pt idx="788">
                  <c:v>44097</c:v>
                </c:pt>
                <c:pt idx="789">
                  <c:v>44096</c:v>
                </c:pt>
                <c:pt idx="790">
                  <c:v>44095</c:v>
                </c:pt>
                <c:pt idx="791">
                  <c:v>44092</c:v>
                </c:pt>
                <c:pt idx="792">
                  <c:v>44091</c:v>
                </c:pt>
                <c:pt idx="793">
                  <c:v>44090</c:v>
                </c:pt>
                <c:pt idx="794">
                  <c:v>44089</c:v>
                </c:pt>
                <c:pt idx="795">
                  <c:v>44088</c:v>
                </c:pt>
                <c:pt idx="796">
                  <c:v>44085</c:v>
                </c:pt>
                <c:pt idx="797">
                  <c:v>44084</c:v>
                </c:pt>
                <c:pt idx="798">
                  <c:v>44083</c:v>
                </c:pt>
                <c:pt idx="799">
                  <c:v>44082</c:v>
                </c:pt>
                <c:pt idx="800">
                  <c:v>44081</c:v>
                </c:pt>
                <c:pt idx="801">
                  <c:v>44078</c:v>
                </c:pt>
                <c:pt idx="802">
                  <c:v>44077</c:v>
                </c:pt>
                <c:pt idx="803">
                  <c:v>44076</c:v>
                </c:pt>
                <c:pt idx="804">
                  <c:v>44074</c:v>
                </c:pt>
                <c:pt idx="805">
                  <c:v>44071</c:v>
                </c:pt>
                <c:pt idx="806">
                  <c:v>44070</c:v>
                </c:pt>
                <c:pt idx="807">
                  <c:v>44069</c:v>
                </c:pt>
                <c:pt idx="808">
                  <c:v>44068</c:v>
                </c:pt>
                <c:pt idx="809">
                  <c:v>44067</c:v>
                </c:pt>
                <c:pt idx="810">
                  <c:v>44064</c:v>
                </c:pt>
                <c:pt idx="811">
                  <c:v>44063</c:v>
                </c:pt>
                <c:pt idx="812">
                  <c:v>44062</c:v>
                </c:pt>
                <c:pt idx="813">
                  <c:v>44061</c:v>
                </c:pt>
                <c:pt idx="814">
                  <c:v>44060</c:v>
                </c:pt>
                <c:pt idx="815">
                  <c:v>44057</c:v>
                </c:pt>
                <c:pt idx="816">
                  <c:v>44056</c:v>
                </c:pt>
                <c:pt idx="817">
                  <c:v>44055</c:v>
                </c:pt>
                <c:pt idx="818">
                  <c:v>44054</c:v>
                </c:pt>
                <c:pt idx="819">
                  <c:v>44053</c:v>
                </c:pt>
                <c:pt idx="820">
                  <c:v>44050</c:v>
                </c:pt>
                <c:pt idx="821">
                  <c:v>44049</c:v>
                </c:pt>
                <c:pt idx="822">
                  <c:v>44048</c:v>
                </c:pt>
                <c:pt idx="823">
                  <c:v>44047</c:v>
                </c:pt>
                <c:pt idx="824">
                  <c:v>44043</c:v>
                </c:pt>
                <c:pt idx="825">
                  <c:v>44042</c:v>
                </c:pt>
                <c:pt idx="826">
                  <c:v>44041</c:v>
                </c:pt>
                <c:pt idx="827">
                  <c:v>44040</c:v>
                </c:pt>
                <c:pt idx="828">
                  <c:v>44039</c:v>
                </c:pt>
                <c:pt idx="829">
                  <c:v>44036</c:v>
                </c:pt>
                <c:pt idx="830">
                  <c:v>44035</c:v>
                </c:pt>
                <c:pt idx="831">
                  <c:v>44034</c:v>
                </c:pt>
                <c:pt idx="832">
                  <c:v>44033</c:v>
                </c:pt>
                <c:pt idx="833">
                  <c:v>44032</c:v>
                </c:pt>
                <c:pt idx="834">
                  <c:v>44029</c:v>
                </c:pt>
                <c:pt idx="835">
                  <c:v>44028</c:v>
                </c:pt>
                <c:pt idx="836">
                  <c:v>44027</c:v>
                </c:pt>
                <c:pt idx="837">
                  <c:v>44026</c:v>
                </c:pt>
                <c:pt idx="838">
                  <c:v>44025</c:v>
                </c:pt>
                <c:pt idx="839">
                  <c:v>44022</c:v>
                </c:pt>
                <c:pt idx="840">
                  <c:v>44021</c:v>
                </c:pt>
                <c:pt idx="841">
                  <c:v>44020</c:v>
                </c:pt>
                <c:pt idx="842">
                  <c:v>44019</c:v>
                </c:pt>
                <c:pt idx="843">
                  <c:v>44018</c:v>
                </c:pt>
                <c:pt idx="844">
                  <c:v>44015</c:v>
                </c:pt>
                <c:pt idx="845">
                  <c:v>44014</c:v>
                </c:pt>
                <c:pt idx="846">
                  <c:v>44013</c:v>
                </c:pt>
                <c:pt idx="847">
                  <c:v>44012</c:v>
                </c:pt>
                <c:pt idx="848">
                  <c:v>44011</c:v>
                </c:pt>
                <c:pt idx="849">
                  <c:v>44008</c:v>
                </c:pt>
                <c:pt idx="850">
                  <c:v>44007</c:v>
                </c:pt>
                <c:pt idx="851">
                  <c:v>44006</c:v>
                </c:pt>
                <c:pt idx="852">
                  <c:v>44005</c:v>
                </c:pt>
                <c:pt idx="853">
                  <c:v>44004</c:v>
                </c:pt>
                <c:pt idx="854">
                  <c:v>44001</c:v>
                </c:pt>
                <c:pt idx="855">
                  <c:v>44000</c:v>
                </c:pt>
                <c:pt idx="856">
                  <c:v>43999</c:v>
                </c:pt>
                <c:pt idx="857">
                  <c:v>43998</c:v>
                </c:pt>
                <c:pt idx="858">
                  <c:v>43997</c:v>
                </c:pt>
                <c:pt idx="859">
                  <c:v>43994</c:v>
                </c:pt>
                <c:pt idx="860">
                  <c:v>43993</c:v>
                </c:pt>
                <c:pt idx="861">
                  <c:v>43992</c:v>
                </c:pt>
                <c:pt idx="862">
                  <c:v>43991</c:v>
                </c:pt>
                <c:pt idx="863">
                  <c:v>43990</c:v>
                </c:pt>
                <c:pt idx="864">
                  <c:v>43986</c:v>
                </c:pt>
                <c:pt idx="865">
                  <c:v>43985</c:v>
                </c:pt>
                <c:pt idx="866">
                  <c:v>43984</c:v>
                </c:pt>
                <c:pt idx="867">
                  <c:v>43983</c:v>
                </c:pt>
                <c:pt idx="868">
                  <c:v>43980</c:v>
                </c:pt>
                <c:pt idx="869">
                  <c:v>43979</c:v>
                </c:pt>
                <c:pt idx="870">
                  <c:v>43978</c:v>
                </c:pt>
                <c:pt idx="871">
                  <c:v>43977</c:v>
                </c:pt>
                <c:pt idx="872">
                  <c:v>43973</c:v>
                </c:pt>
                <c:pt idx="873">
                  <c:v>43972</c:v>
                </c:pt>
                <c:pt idx="874">
                  <c:v>43971</c:v>
                </c:pt>
                <c:pt idx="875">
                  <c:v>43970</c:v>
                </c:pt>
                <c:pt idx="876">
                  <c:v>43969</c:v>
                </c:pt>
                <c:pt idx="877">
                  <c:v>43966</c:v>
                </c:pt>
                <c:pt idx="878">
                  <c:v>43965</c:v>
                </c:pt>
                <c:pt idx="879">
                  <c:v>43964</c:v>
                </c:pt>
                <c:pt idx="880">
                  <c:v>43963</c:v>
                </c:pt>
                <c:pt idx="881">
                  <c:v>43962</c:v>
                </c:pt>
                <c:pt idx="882">
                  <c:v>43910</c:v>
                </c:pt>
                <c:pt idx="883">
                  <c:v>43903</c:v>
                </c:pt>
                <c:pt idx="884">
                  <c:v>43902</c:v>
                </c:pt>
                <c:pt idx="885">
                  <c:v>43901</c:v>
                </c:pt>
                <c:pt idx="886">
                  <c:v>43900</c:v>
                </c:pt>
                <c:pt idx="887">
                  <c:v>43896</c:v>
                </c:pt>
                <c:pt idx="888">
                  <c:v>43895</c:v>
                </c:pt>
                <c:pt idx="889">
                  <c:v>43894</c:v>
                </c:pt>
                <c:pt idx="890">
                  <c:v>43893</c:v>
                </c:pt>
                <c:pt idx="891">
                  <c:v>43892</c:v>
                </c:pt>
                <c:pt idx="892">
                  <c:v>43889</c:v>
                </c:pt>
                <c:pt idx="893">
                  <c:v>43888</c:v>
                </c:pt>
                <c:pt idx="894">
                  <c:v>43887</c:v>
                </c:pt>
                <c:pt idx="895">
                  <c:v>43886</c:v>
                </c:pt>
                <c:pt idx="896">
                  <c:v>43885</c:v>
                </c:pt>
                <c:pt idx="897">
                  <c:v>43881</c:v>
                </c:pt>
                <c:pt idx="898">
                  <c:v>43880</c:v>
                </c:pt>
                <c:pt idx="899">
                  <c:v>43879</c:v>
                </c:pt>
                <c:pt idx="900">
                  <c:v>43878</c:v>
                </c:pt>
                <c:pt idx="901">
                  <c:v>43875</c:v>
                </c:pt>
                <c:pt idx="902">
                  <c:v>43874</c:v>
                </c:pt>
                <c:pt idx="903">
                  <c:v>43873</c:v>
                </c:pt>
                <c:pt idx="904">
                  <c:v>43872</c:v>
                </c:pt>
                <c:pt idx="905">
                  <c:v>43871</c:v>
                </c:pt>
                <c:pt idx="906">
                  <c:v>43868</c:v>
                </c:pt>
                <c:pt idx="907">
                  <c:v>43867</c:v>
                </c:pt>
                <c:pt idx="908">
                  <c:v>43866</c:v>
                </c:pt>
                <c:pt idx="909">
                  <c:v>43864</c:v>
                </c:pt>
                <c:pt idx="910">
                  <c:v>43861</c:v>
                </c:pt>
                <c:pt idx="911">
                  <c:v>43860</c:v>
                </c:pt>
                <c:pt idx="912">
                  <c:v>43859</c:v>
                </c:pt>
                <c:pt idx="913">
                  <c:v>43858</c:v>
                </c:pt>
                <c:pt idx="914">
                  <c:v>43857</c:v>
                </c:pt>
                <c:pt idx="915">
                  <c:v>43854</c:v>
                </c:pt>
                <c:pt idx="916">
                  <c:v>43853</c:v>
                </c:pt>
                <c:pt idx="917">
                  <c:v>43852</c:v>
                </c:pt>
                <c:pt idx="918">
                  <c:v>43851</c:v>
                </c:pt>
                <c:pt idx="919">
                  <c:v>43850</c:v>
                </c:pt>
                <c:pt idx="920">
                  <c:v>43847</c:v>
                </c:pt>
                <c:pt idx="921">
                  <c:v>43846</c:v>
                </c:pt>
                <c:pt idx="922">
                  <c:v>43844</c:v>
                </c:pt>
                <c:pt idx="923">
                  <c:v>43843</c:v>
                </c:pt>
                <c:pt idx="924">
                  <c:v>43839</c:v>
                </c:pt>
                <c:pt idx="925">
                  <c:v>43838</c:v>
                </c:pt>
                <c:pt idx="926">
                  <c:v>43837</c:v>
                </c:pt>
                <c:pt idx="927">
                  <c:v>43836</c:v>
                </c:pt>
                <c:pt idx="928">
                  <c:v>43833</c:v>
                </c:pt>
                <c:pt idx="929">
                  <c:v>43832</c:v>
                </c:pt>
                <c:pt idx="930">
                  <c:v>43830</c:v>
                </c:pt>
                <c:pt idx="931">
                  <c:v>43829</c:v>
                </c:pt>
                <c:pt idx="932">
                  <c:v>43826</c:v>
                </c:pt>
                <c:pt idx="933">
                  <c:v>43825</c:v>
                </c:pt>
                <c:pt idx="934">
                  <c:v>43823</c:v>
                </c:pt>
                <c:pt idx="935">
                  <c:v>43822</c:v>
                </c:pt>
                <c:pt idx="936">
                  <c:v>43819</c:v>
                </c:pt>
                <c:pt idx="937">
                  <c:v>43818</c:v>
                </c:pt>
                <c:pt idx="938">
                  <c:v>43817</c:v>
                </c:pt>
                <c:pt idx="939">
                  <c:v>43816</c:v>
                </c:pt>
                <c:pt idx="940">
                  <c:v>43815</c:v>
                </c:pt>
                <c:pt idx="941">
                  <c:v>43812</c:v>
                </c:pt>
                <c:pt idx="942">
                  <c:v>43811</c:v>
                </c:pt>
                <c:pt idx="943">
                  <c:v>43809</c:v>
                </c:pt>
                <c:pt idx="944">
                  <c:v>43808</c:v>
                </c:pt>
                <c:pt idx="945">
                  <c:v>43805</c:v>
                </c:pt>
                <c:pt idx="946">
                  <c:v>43804</c:v>
                </c:pt>
                <c:pt idx="947">
                  <c:v>43803</c:v>
                </c:pt>
                <c:pt idx="948">
                  <c:v>43802</c:v>
                </c:pt>
                <c:pt idx="949">
                  <c:v>43801</c:v>
                </c:pt>
                <c:pt idx="950">
                  <c:v>43798</c:v>
                </c:pt>
                <c:pt idx="951">
                  <c:v>43797</c:v>
                </c:pt>
                <c:pt idx="952">
                  <c:v>43796</c:v>
                </c:pt>
                <c:pt idx="953">
                  <c:v>43795</c:v>
                </c:pt>
                <c:pt idx="954">
                  <c:v>43794</c:v>
                </c:pt>
                <c:pt idx="955">
                  <c:v>43791</c:v>
                </c:pt>
                <c:pt idx="956">
                  <c:v>43790</c:v>
                </c:pt>
                <c:pt idx="957">
                  <c:v>43789</c:v>
                </c:pt>
                <c:pt idx="958">
                  <c:v>43788</c:v>
                </c:pt>
                <c:pt idx="959">
                  <c:v>43787</c:v>
                </c:pt>
                <c:pt idx="960">
                  <c:v>43784</c:v>
                </c:pt>
                <c:pt idx="961">
                  <c:v>43783</c:v>
                </c:pt>
                <c:pt idx="962">
                  <c:v>43782</c:v>
                </c:pt>
                <c:pt idx="963">
                  <c:v>43777</c:v>
                </c:pt>
                <c:pt idx="964">
                  <c:v>43776</c:v>
                </c:pt>
                <c:pt idx="965">
                  <c:v>43775</c:v>
                </c:pt>
                <c:pt idx="966">
                  <c:v>43774</c:v>
                </c:pt>
                <c:pt idx="967">
                  <c:v>43773</c:v>
                </c:pt>
                <c:pt idx="968">
                  <c:v>43770</c:v>
                </c:pt>
                <c:pt idx="969">
                  <c:v>43769</c:v>
                </c:pt>
                <c:pt idx="970">
                  <c:v>43768</c:v>
                </c:pt>
                <c:pt idx="971">
                  <c:v>43767</c:v>
                </c:pt>
                <c:pt idx="972">
                  <c:v>43766</c:v>
                </c:pt>
                <c:pt idx="973">
                  <c:v>43763</c:v>
                </c:pt>
                <c:pt idx="974">
                  <c:v>43762</c:v>
                </c:pt>
                <c:pt idx="975">
                  <c:v>43761</c:v>
                </c:pt>
                <c:pt idx="976">
                  <c:v>43760</c:v>
                </c:pt>
                <c:pt idx="977">
                  <c:v>43759</c:v>
                </c:pt>
                <c:pt idx="978">
                  <c:v>43756</c:v>
                </c:pt>
                <c:pt idx="979">
                  <c:v>43755</c:v>
                </c:pt>
                <c:pt idx="980">
                  <c:v>43754</c:v>
                </c:pt>
                <c:pt idx="981">
                  <c:v>43753</c:v>
                </c:pt>
                <c:pt idx="982">
                  <c:v>43752</c:v>
                </c:pt>
                <c:pt idx="983">
                  <c:v>43749</c:v>
                </c:pt>
                <c:pt idx="984">
                  <c:v>43748</c:v>
                </c:pt>
                <c:pt idx="985">
                  <c:v>43747</c:v>
                </c:pt>
                <c:pt idx="986">
                  <c:v>43746</c:v>
                </c:pt>
                <c:pt idx="987">
                  <c:v>43745</c:v>
                </c:pt>
                <c:pt idx="988">
                  <c:v>43742</c:v>
                </c:pt>
                <c:pt idx="989">
                  <c:v>43741</c:v>
                </c:pt>
                <c:pt idx="990">
                  <c:v>43740</c:v>
                </c:pt>
                <c:pt idx="991">
                  <c:v>43739</c:v>
                </c:pt>
                <c:pt idx="992">
                  <c:v>43738</c:v>
                </c:pt>
                <c:pt idx="993">
                  <c:v>43735</c:v>
                </c:pt>
                <c:pt idx="994">
                  <c:v>43734</c:v>
                </c:pt>
                <c:pt idx="995">
                  <c:v>43733</c:v>
                </c:pt>
                <c:pt idx="996">
                  <c:v>43732</c:v>
                </c:pt>
                <c:pt idx="997">
                  <c:v>43731</c:v>
                </c:pt>
                <c:pt idx="998">
                  <c:v>43728</c:v>
                </c:pt>
                <c:pt idx="999">
                  <c:v>43727</c:v>
                </c:pt>
                <c:pt idx="1000">
                  <c:v>43726</c:v>
                </c:pt>
                <c:pt idx="1001">
                  <c:v>43725</c:v>
                </c:pt>
                <c:pt idx="1002">
                  <c:v>43724</c:v>
                </c:pt>
                <c:pt idx="1003">
                  <c:v>43720</c:v>
                </c:pt>
                <c:pt idx="1004">
                  <c:v>43719</c:v>
                </c:pt>
                <c:pt idx="1005">
                  <c:v>43718</c:v>
                </c:pt>
                <c:pt idx="1006">
                  <c:v>43717</c:v>
                </c:pt>
                <c:pt idx="1007">
                  <c:v>43714</c:v>
                </c:pt>
                <c:pt idx="1008">
                  <c:v>43713</c:v>
                </c:pt>
                <c:pt idx="1009">
                  <c:v>43712</c:v>
                </c:pt>
                <c:pt idx="1010">
                  <c:v>43711</c:v>
                </c:pt>
                <c:pt idx="1011">
                  <c:v>43710</c:v>
                </c:pt>
                <c:pt idx="1012">
                  <c:v>43707</c:v>
                </c:pt>
                <c:pt idx="1013">
                  <c:v>43706</c:v>
                </c:pt>
                <c:pt idx="1014">
                  <c:v>43705</c:v>
                </c:pt>
                <c:pt idx="1015">
                  <c:v>43704</c:v>
                </c:pt>
                <c:pt idx="1016">
                  <c:v>43703</c:v>
                </c:pt>
                <c:pt idx="1017">
                  <c:v>43700</c:v>
                </c:pt>
                <c:pt idx="1018">
                  <c:v>43699</c:v>
                </c:pt>
                <c:pt idx="1019">
                  <c:v>43698</c:v>
                </c:pt>
                <c:pt idx="1020">
                  <c:v>43697</c:v>
                </c:pt>
                <c:pt idx="1021">
                  <c:v>43696</c:v>
                </c:pt>
                <c:pt idx="1022">
                  <c:v>43693</c:v>
                </c:pt>
                <c:pt idx="1023">
                  <c:v>43692</c:v>
                </c:pt>
                <c:pt idx="1024">
                  <c:v>43690</c:v>
                </c:pt>
                <c:pt idx="1025">
                  <c:v>43686</c:v>
                </c:pt>
                <c:pt idx="1026">
                  <c:v>43685</c:v>
                </c:pt>
                <c:pt idx="1027">
                  <c:v>43684</c:v>
                </c:pt>
                <c:pt idx="1028">
                  <c:v>43683</c:v>
                </c:pt>
                <c:pt idx="1029">
                  <c:v>43682</c:v>
                </c:pt>
                <c:pt idx="1030">
                  <c:v>43679</c:v>
                </c:pt>
                <c:pt idx="1031">
                  <c:v>43678</c:v>
                </c:pt>
                <c:pt idx="1032">
                  <c:v>43677</c:v>
                </c:pt>
                <c:pt idx="1033">
                  <c:v>43676</c:v>
                </c:pt>
                <c:pt idx="1034">
                  <c:v>43675</c:v>
                </c:pt>
                <c:pt idx="1035">
                  <c:v>43672</c:v>
                </c:pt>
                <c:pt idx="1036">
                  <c:v>43671</c:v>
                </c:pt>
                <c:pt idx="1037">
                  <c:v>43670</c:v>
                </c:pt>
                <c:pt idx="1038">
                  <c:v>43669</c:v>
                </c:pt>
                <c:pt idx="1039">
                  <c:v>43668</c:v>
                </c:pt>
                <c:pt idx="1040">
                  <c:v>43665</c:v>
                </c:pt>
                <c:pt idx="1041">
                  <c:v>43664</c:v>
                </c:pt>
                <c:pt idx="1042">
                  <c:v>43663</c:v>
                </c:pt>
                <c:pt idx="1043">
                  <c:v>43661</c:v>
                </c:pt>
                <c:pt idx="1044">
                  <c:v>43658</c:v>
                </c:pt>
                <c:pt idx="1045">
                  <c:v>43657</c:v>
                </c:pt>
                <c:pt idx="1046">
                  <c:v>43656</c:v>
                </c:pt>
                <c:pt idx="1047">
                  <c:v>43655</c:v>
                </c:pt>
                <c:pt idx="1048">
                  <c:v>43654</c:v>
                </c:pt>
                <c:pt idx="1049">
                  <c:v>43651</c:v>
                </c:pt>
                <c:pt idx="1050">
                  <c:v>43650</c:v>
                </c:pt>
                <c:pt idx="1051">
                  <c:v>43649</c:v>
                </c:pt>
                <c:pt idx="1052">
                  <c:v>43648</c:v>
                </c:pt>
                <c:pt idx="1053">
                  <c:v>43647</c:v>
                </c:pt>
                <c:pt idx="1054">
                  <c:v>43644</c:v>
                </c:pt>
                <c:pt idx="1055">
                  <c:v>43643</c:v>
                </c:pt>
                <c:pt idx="1056">
                  <c:v>43642</c:v>
                </c:pt>
                <c:pt idx="1057">
                  <c:v>43641</c:v>
                </c:pt>
                <c:pt idx="1058">
                  <c:v>43640</c:v>
                </c:pt>
                <c:pt idx="1059">
                  <c:v>43637</c:v>
                </c:pt>
                <c:pt idx="1060">
                  <c:v>43636</c:v>
                </c:pt>
                <c:pt idx="1061">
                  <c:v>43635</c:v>
                </c:pt>
                <c:pt idx="1062">
                  <c:v>43634</c:v>
                </c:pt>
                <c:pt idx="1063">
                  <c:v>43633</c:v>
                </c:pt>
                <c:pt idx="1064">
                  <c:v>43630</c:v>
                </c:pt>
                <c:pt idx="1065">
                  <c:v>43629</c:v>
                </c:pt>
                <c:pt idx="1066">
                  <c:v>43628</c:v>
                </c:pt>
                <c:pt idx="1067">
                  <c:v>43627</c:v>
                </c:pt>
                <c:pt idx="1068">
                  <c:v>43626</c:v>
                </c:pt>
                <c:pt idx="1069">
                  <c:v>43623</c:v>
                </c:pt>
                <c:pt idx="1070">
                  <c:v>43622</c:v>
                </c:pt>
                <c:pt idx="1071">
                  <c:v>43620</c:v>
                </c:pt>
                <c:pt idx="1072">
                  <c:v>43619</c:v>
                </c:pt>
                <c:pt idx="1073">
                  <c:v>43616</c:v>
                </c:pt>
                <c:pt idx="1074">
                  <c:v>43615</c:v>
                </c:pt>
                <c:pt idx="1075">
                  <c:v>43614</c:v>
                </c:pt>
                <c:pt idx="1076">
                  <c:v>43613</c:v>
                </c:pt>
                <c:pt idx="1077">
                  <c:v>43612</c:v>
                </c:pt>
                <c:pt idx="1078">
                  <c:v>43609</c:v>
                </c:pt>
                <c:pt idx="1079">
                  <c:v>43608</c:v>
                </c:pt>
                <c:pt idx="1080">
                  <c:v>43607</c:v>
                </c:pt>
                <c:pt idx="1081">
                  <c:v>43606</c:v>
                </c:pt>
                <c:pt idx="1082">
                  <c:v>43602</c:v>
                </c:pt>
                <c:pt idx="1083">
                  <c:v>43601</c:v>
                </c:pt>
                <c:pt idx="1084">
                  <c:v>43600</c:v>
                </c:pt>
                <c:pt idx="1085">
                  <c:v>43599</c:v>
                </c:pt>
                <c:pt idx="1086">
                  <c:v>43598</c:v>
                </c:pt>
                <c:pt idx="1087">
                  <c:v>43595</c:v>
                </c:pt>
                <c:pt idx="1088">
                  <c:v>43594</c:v>
                </c:pt>
                <c:pt idx="1089">
                  <c:v>43593</c:v>
                </c:pt>
                <c:pt idx="1090">
                  <c:v>43592</c:v>
                </c:pt>
                <c:pt idx="1091">
                  <c:v>43591</c:v>
                </c:pt>
                <c:pt idx="1092">
                  <c:v>43588</c:v>
                </c:pt>
                <c:pt idx="1093">
                  <c:v>43587</c:v>
                </c:pt>
                <c:pt idx="1094">
                  <c:v>43585</c:v>
                </c:pt>
                <c:pt idx="1095">
                  <c:v>43584</c:v>
                </c:pt>
                <c:pt idx="1096">
                  <c:v>43581</c:v>
                </c:pt>
                <c:pt idx="1097">
                  <c:v>43580</c:v>
                </c:pt>
                <c:pt idx="1098">
                  <c:v>43579</c:v>
                </c:pt>
                <c:pt idx="1099">
                  <c:v>43578</c:v>
                </c:pt>
                <c:pt idx="1100">
                  <c:v>43573</c:v>
                </c:pt>
                <c:pt idx="1101">
                  <c:v>43572</c:v>
                </c:pt>
                <c:pt idx="1102">
                  <c:v>43571</c:v>
                </c:pt>
                <c:pt idx="1103">
                  <c:v>43567</c:v>
                </c:pt>
                <c:pt idx="1104">
                  <c:v>43566</c:v>
                </c:pt>
                <c:pt idx="1105">
                  <c:v>43565</c:v>
                </c:pt>
                <c:pt idx="1106">
                  <c:v>43564</c:v>
                </c:pt>
                <c:pt idx="1107">
                  <c:v>43563</c:v>
                </c:pt>
                <c:pt idx="1108">
                  <c:v>43560</c:v>
                </c:pt>
                <c:pt idx="1109">
                  <c:v>43559</c:v>
                </c:pt>
                <c:pt idx="1110">
                  <c:v>43558</c:v>
                </c:pt>
                <c:pt idx="1111">
                  <c:v>43557</c:v>
                </c:pt>
                <c:pt idx="1112">
                  <c:v>43556</c:v>
                </c:pt>
                <c:pt idx="1113">
                  <c:v>43553</c:v>
                </c:pt>
                <c:pt idx="1114">
                  <c:v>43552</c:v>
                </c:pt>
                <c:pt idx="1115">
                  <c:v>43551</c:v>
                </c:pt>
                <c:pt idx="1116">
                  <c:v>43550</c:v>
                </c:pt>
                <c:pt idx="1117">
                  <c:v>43549</c:v>
                </c:pt>
                <c:pt idx="1118">
                  <c:v>43546</c:v>
                </c:pt>
                <c:pt idx="1119">
                  <c:v>43545</c:v>
                </c:pt>
                <c:pt idx="1120">
                  <c:v>43543</c:v>
                </c:pt>
                <c:pt idx="1121">
                  <c:v>43542</c:v>
                </c:pt>
                <c:pt idx="1122">
                  <c:v>43539</c:v>
                </c:pt>
                <c:pt idx="1123">
                  <c:v>43538</c:v>
                </c:pt>
                <c:pt idx="1124">
                  <c:v>43537</c:v>
                </c:pt>
                <c:pt idx="1125">
                  <c:v>43536</c:v>
                </c:pt>
                <c:pt idx="1126">
                  <c:v>43535</c:v>
                </c:pt>
                <c:pt idx="1127">
                  <c:v>43532</c:v>
                </c:pt>
                <c:pt idx="1128">
                  <c:v>43531</c:v>
                </c:pt>
                <c:pt idx="1129">
                  <c:v>43530</c:v>
                </c:pt>
                <c:pt idx="1130">
                  <c:v>43529</c:v>
                </c:pt>
                <c:pt idx="1131">
                  <c:v>43525</c:v>
                </c:pt>
                <c:pt idx="1132">
                  <c:v>43524</c:v>
                </c:pt>
                <c:pt idx="1133">
                  <c:v>43523</c:v>
                </c:pt>
                <c:pt idx="1134">
                  <c:v>43522</c:v>
                </c:pt>
                <c:pt idx="1135">
                  <c:v>43521</c:v>
                </c:pt>
                <c:pt idx="1136">
                  <c:v>43518</c:v>
                </c:pt>
                <c:pt idx="1137">
                  <c:v>43517</c:v>
                </c:pt>
                <c:pt idx="1138">
                  <c:v>43516</c:v>
                </c:pt>
                <c:pt idx="1139">
                  <c:v>43514</c:v>
                </c:pt>
                <c:pt idx="1140">
                  <c:v>43511</c:v>
                </c:pt>
                <c:pt idx="1141">
                  <c:v>43510</c:v>
                </c:pt>
                <c:pt idx="1142">
                  <c:v>43509</c:v>
                </c:pt>
                <c:pt idx="1143">
                  <c:v>43508</c:v>
                </c:pt>
                <c:pt idx="1144">
                  <c:v>43507</c:v>
                </c:pt>
                <c:pt idx="1145">
                  <c:v>43504</c:v>
                </c:pt>
                <c:pt idx="1146">
                  <c:v>43503</c:v>
                </c:pt>
                <c:pt idx="1147">
                  <c:v>43502</c:v>
                </c:pt>
                <c:pt idx="1148">
                  <c:v>43501</c:v>
                </c:pt>
                <c:pt idx="1149">
                  <c:v>43497</c:v>
                </c:pt>
                <c:pt idx="1150">
                  <c:v>43496</c:v>
                </c:pt>
                <c:pt idx="1151">
                  <c:v>43495</c:v>
                </c:pt>
                <c:pt idx="1152">
                  <c:v>43494</c:v>
                </c:pt>
                <c:pt idx="1153">
                  <c:v>43493</c:v>
                </c:pt>
                <c:pt idx="1154">
                  <c:v>43490</c:v>
                </c:pt>
                <c:pt idx="1155">
                  <c:v>43489</c:v>
                </c:pt>
                <c:pt idx="1156">
                  <c:v>43488</c:v>
                </c:pt>
                <c:pt idx="1157">
                  <c:v>43487</c:v>
                </c:pt>
                <c:pt idx="1158">
                  <c:v>43486</c:v>
                </c:pt>
                <c:pt idx="1159">
                  <c:v>43483</c:v>
                </c:pt>
                <c:pt idx="1160">
                  <c:v>43482</c:v>
                </c:pt>
                <c:pt idx="1161">
                  <c:v>43481</c:v>
                </c:pt>
                <c:pt idx="1162">
                  <c:v>43479</c:v>
                </c:pt>
                <c:pt idx="1163">
                  <c:v>43476</c:v>
                </c:pt>
              </c:numCache>
            </c:numRef>
          </c:cat>
          <c:val>
            <c:numRef>
              <c:f>'COMB N'!$L$5:$L$1168</c:f>
              <c:numCache>
                <c:formatCode>General</c:formatCode>
                <c:ptCount val="1164"/>
                <c:pt idx="0">
                  <c:v>5.1871999999999998</c:v>
                </c:pt>
                <c:pt idx="1">
                  <c:v>5.2718999999999996</c:v>
                </c:pt>
                <c:pt idx="2">
                  <c:v>5.3284000000000002</c:v>
                </c:pt>
                <c:pt idx="3">
                  <c:v>5.3680000000000003</c:v>
                </c:pt>
                <c:pt idx="4">
                  <c:v>5.3792999999999997</c:v>
                </c:pt>
                <c:pt idx="5">
                  <c:v>5.3963000000000001</c:v>
                </c:pt>
                <c:pt idx="6">
                  <c:v>5.4188999999999998</c:v>
                </c:pt>
                <c:pt idx="7">
                  <c:v>5.4753999999999996</c:v>
                </c:pt>
                <c:pt idx="8">
                  <c:v>5.3963000000000001</c:v>
                </c:pt>
                <c:pt idx="9">
                  <c:v>5.3284000000000002</c:v>
                </c:pt>
                <c:pt idx="10">
                  <c:v>5.2606000000000002</c:v>
                </c:pt>
                <c:pt idx="11">
                  <c:v>5.2492999999999999</c:v>
                </c:pt>
                <c:pt idx="12">
                  <c:v>5.2663000000000002</c:v>
                </c:pt>
                <c:pt idx="13">
                  <c:v>5.2945000000000002</c:v>
                </c:pt>
                <c:pt idx="14">
                  <c:v>5.3057999999999996</c:v>
                </c:pt>
                <c:pt idx="15">
                  <c:v>5.3057999999999996</c:v>
                </c:pt>
                <c:pt idx="16">
                  <c:v>5.3057999999999996</c:v>
                </c:pt>
                <c:pt idx="17">
                  <c:v>5.2888999999999999</c:v>
                </c:pt>
                <c:pt idx="18">
                  <c:v>5.3341000000000003</c:v>
                </c:pt>
                <c:pt idx="19">
                  <c:v>5.3680000000000003</c:v>
                </c:pt>
                <c:pt idx="20">
                  <c:v>5.3228</c:v>
                </c:pt>
                <c:pt idx="21">
                  <c:v>5.3057999999999996</c:v>
                </c:pt>
                <c:pt idx="22">
                  <c:v>5.1871999999999998</c:v>
                </c:pt>
                <c:pt idx="23">
                  <c:v>5.0854999999999997</c:v>
                </c:pt>
                <c:pt idx="24">
                  <c:v>5.0685000000000002</c:v>
                </c:pt>
                <c:pt idx="25">
                  <c:v>5.1363000000000003</c:v>
                </c:pt>
                <c:pt idx="26">
                  <c:v>5.0797999999999996</c:v>
                </c:pt>
                <c:pt idx="27">
                  <c:v>4.9215999999999998</c:v>
                </c:pt>
                <c:pt idx="28">
                  <c:v>4.8425000000000002</c:v>
                </c:pt>
                <c:pt idx="29">
                  <c:v>4.8311999999999999</c:v>
                </c:pt>
                <c:pt idx="30">
                  <c:v>4.8198999999999996</c:v>
                </c:pt>
                <c:pt idx="31">
                  <c:v>4.7859999999999996</c:v>
                </c:pt>
                <c:pt idx="32">
                  <c:v>4.8029000000000002</c:v>
                </c:pt>
                <c:pt idx="33">
                  <c:v>4.7859999999999996</c:v>
                </c:pt>
                <c:pt idx="34">
                  <c:v>4.7464000000000004</c:v>
                </c:pt>
                <c:pt idx="35">
                  <c:v>4.6898999999999997</c:v>
                </c:pt>
                <c:pt idx="36">
                  <c:v>4.7747000000000002</c:v>
                </c:pt>
                <c:pt idx="37">
                  <c:v>4.7747000000000002</c:v>
                </c:pt>
                <c:pt idx="38">
                  <c:v>4.7972999999999999</c:v>
                </c:pt>
                <c:pt idx="39">
                  <c:v>4.8086000000000002</c:v>
                </c:pt>
                <c:pt idx="40">
                  <c:v>4.9160000000000004</c:v>
                </c:pt>
                <c:pt idx="41">
                  <c:v>4.8594999999999997</c:v>
                </c:pt>
                <c:pt idx="42">
                  <c:v>4.8876999999999997</c:v>
                </c:pt>
                <c:pt idx="43">
                  <c:v>4.9103000000000003</c:v>
                </c:pt>
                <c:pt idx="44">
                  <c:v>4.8029000000000002</c:v>
                </c:pt>
                <c:pt idx="45">
                  <c:v>4.7464000000000004</c:v>
                </c:pt>
                <c:pt idx="46">
                  <c:v>4.7859999999999996</c:v>
                </c:pt>
                <c:pt idx="47">
                  <c:v>4.7747000000000002</c:v>
                </c:pt>
                <c:pt idx="48">
                  <c:v>4.7351000000000001</c:v>
                </c:pt>
                <c:pt idx="49">
                  <c:v>4.6447000000000003</c:v>
                </c:pt>
                <c:pt idx="50">
                  <c:v>4.6843000000000004</c:v>
                </c:pt>
                <c:pt idx="51">
                  <c:v>4.6955999999999998</c:v>
                </c:pt>
                <c:pt idx="52">
                  <c:v>4.6447000000000003</c:v>
                </c:pt>
                <c:pt idx="53">
                  <c:v>4.6843000000000004</c:v>
                </c:pt>
                <c:pt idx="54">
                  <c:v>4.7972999999999999</c:v>
                </c:pt>
                <c:pt idx="55">
                  <c:v>4.9047000000000001</c:v>
                </c:pt>
                <c:pt idx="56">
                  <c:v>4.9047000000000001</c:v>
                </c:pt>
                <c:pt idx="57">
                  <c:v>4.6165000000000003</c:v>
                </c:pt>
                <c:pt idx="58">
                  <c:v>4.5487000000000002</c:v>
                </c:pt>
                <c:pt idx="59">
                  <c:v>4.5655999999999999</c:v>
                </c:pt>
                <c:pt idx="60">
                  <c:v>4.5430000000000001</c:v>
                </c:pt>
                <c:pt idx="61">
                  <c:v>4.7464000000000004</c:v>
                </c:pt>
                <c:pt idx="62">
                  <c:v>4.7633999999999999</c:v>
                </c:pt>
                <c:pt idx="63">
                  <c:v>4.7182000000000004</c:v>
                </c:pt>
                <c:pt idx="64">
                  <c:v>4.7747000000000002</c:v>
                </c:pt>
                <c:pt idx="65">
                  <c:v>4.7803000000000004</c:v>
                </c:pt>
                <c:pt idx="66">
                  <c:v>4.9047000000000001</c:v>
                </c:pt>
                <c:pt idx="67">
                  <c:v>4.9272999999999998</c:v>
                </c:pt>
                <c:pt idx="68">
                  <c:v>4.9329000000000001</c:v>
                </c:pt>
                <c:pt idx="69">
                  <c:v>4.9499000000000004</c:v>
                </c:pt>
                <c:pt idx="70">
                  <c:v>4.9725000000000001</c:v>
                </c:pt>
                <c:pt idx="71">
                  <c:v>5.0968</c:v>
                </c:pt>
                <c:pt idx="72">
                  <c:v>5.0073999999999996</c:v>
                </c:pt>
                <c:pt idx="73">
                  <c:v>5.0073999999999996</c:v>
                </c:pt>
                <c:pt idx="74">
                  <c:v>5.1040000000000001</c:v>
                </c:pt>
                <c:pt idx="75">
                  <c:v>5.0016999999999996</c:v>
                </c:pt>
                <c:pt idx="76">
                  <c:v>5.0585000000000004</c:v>
                </c:pt>
                <c:pt idx="77">
                  <c:v>4.9619</c:v>
                </c:pt>
                <c:pt idx="78">
                  <c:v>5.1154000000000002</c:v>
                </c:pt>
                <c:pt idx="79">
                  <c:v>5.1836000000000002</c:v>
                </c:pt>
                <c:pt idx="80">
                  <c:v>5.2290000000000001</c:v>
                </c:pt>
                <c:pt idx="81">
                  <c:v>5.2005999999999997</c:v>
                </c:pt>
                <c:pt idx="82">
                  <c:v>5.1380999999999997</c:v>
                </c:pt>
                <c:pt idx="83">
                  <c:v>5.1437999999999997</c:v>
                </c:pt>
                <c:pt idx="84">
                  <c:v>5.2744999999999997</c:v>
                </c:pt>
                <c:pt idx="85">
                  <c:v>5.2347000000000001</c:v>
                </c:pt>
                <c:pt idx="86">
                  <c:v>5.2404000000000002</c:v>
                </c:pt>
                <c:pt idx="87">
                  <c:v>5.3996000000000004</c:v>
                </c:pt>
                <c:pt idx="88">
                  <c:v>5.3029000000000002</c:v>
                </c:pt>
                <c:pt idx="89">
                  <c:v>5.0244</c:v>
                </c:pt>
                <c:pt idx="90">
                  <c:v>4.9221000000000004</c:v>
                </c:pt>
                <c:pt idx="91">
                  <c:v>4.9448999999999996</c:v>
                </c:pt>
                <c:pt idx="92">
                  <c:v>4.9448999999999996</c:v>
                </c:pt>
                <c:pt idx="93">
                  <c:v>4.9448999999999996</c:v>
                </c:pt>
                <c:pt idx="94">
                  <c:v>5.1266999999999996</c:v>
                </c:pt>
                <c:pt idx="95">
                  <c:v>5.2915999999999999</c:v>
                </c:pt>
                <c:pt idx="96">
                  <c:v>5.1154000000000002</c:v>
                </c:pt>
                <c:pt idx="97">
                  <c:v>5.2404000000000002</c:v>
                </c:pt>
                <c:pt idx="98">
                  <c:v>5.32</c:v>
                </c:pt>
                <c:pt idx="99">
                  <c:v>5.4507000000000003</c:v>
                </c:pt>
                <c:pt idx="100">
                  <c:v>5.4962</c:v>
                </c:pt>
                <c:pt idx="101">
                  <c:v>5.2858999999999998</c:v>
                </c:pt>
                <c:pt idx="102">
                  <c:v>5.5189000000000004</c:v>
                </c:pt>
                <c:pt idx="103">
                  <c:v>5.8543000000000003</c:v>
                </c:pt>
                <c:pt idx="104">
                  <c:v>5.9679000000000002</c:v>
                </c:pt>
                <c:pt idx="105">
                  <c:v>5.9111000000000002</c:v>
                </c:pt>
                <c:pt idx="106">
                  <c:v>5.9679000000000002</c:v>
                </c:pt>
                <c:pt idx="107">
                  <c:v>5.8826999999999998</c:v>
                </c:pt>
                <c:pt idx="108">
                  <c:v>5.7548000000000004</c:v>
                </c:pt>
                <c:pt idx="109">
                  <c:v>5.6837</c:v>
                </c:pt>
                <c:pt idx="110">
                  <c:v>5.4279999999999999</c:v>
                </c:pt>
                <c:pt idx="111">
                  <c:v>5.2801999999999998</c:v>
                </c:pt>
                <c:pt idx="112">
                  <c:v>5.2687999999999997</c:v>
                </c:pt>
                <c:pt idx="113">
                  <c:v>5.2630999999999997</c:v>
                </c:pt>
                <c:pt idx="114">
                  <c:v>5.0244</c:v>
                </c:pt>
                <c:pt idx="115">
                  <c:v>5.0472000000000001</c:v>
                </c:pt>
                <c:pt idx="116">
                  <c:v>5.1040000000000001</c:v>
                </c:pt>
                <c:pt idx="117">
                  <c:v>5.0130999999999997</c:v>
                </c:pt>
                <c:pt idx="118">
                  <c:v>5.0016999999999996</c:v>
                </c:pt>
                <c:pt idx="119">
                  <c:v>5.0641999999999996</c:v>
                </c:pt>
                <c:pt idx="120">
                  <c:v>4.9278000000000004</c:v>
                </c:pt>
                <c:pt idx="121">
                  <c:v>4.8028000000000004</c:v>
                </c:pt>
                <c:pt idx="122">
                  <c:v>4.5583999999999998</c:v>
                </c:pt>
                <c:pt idx="123">
                  <c:v>4.4504000000000001</c:v>
                </c:pt>
                <c:pt idx="124">
                  <c:v>4.5754000000000001</c:v>
                </c:pt>
                <c:pt idx="125">
                  <c:v>4.4333</c:v>
                </c:pt>
                <c:pt idx="126">
                  <c:v>4.4617000000000004</c:v>
                </c:pt>
                <c:pt idx="127">
                  <c:v>4.5072000000000001</c:v>
                </c:pt>
                <c:pt idx="128">
                  <c:v>4.5243000000000002</c:v>
                </c:pt>
                <c:pt idx="129">
                  <c:v>4.6208999999999998</c:v>
                </c:pt>
                <c:pt idx="130">
                  <c:v>4.5982000000000003</c:v>
                </c:pt>
                <c:pt idx="131">
                  <c:v>3.8706</c:v>
                </c:pt>
                <c:pt idx="132">
                  <c:v>5.3531000000000004</c:v>
                </c:pt>
                <c:pt idx="133">
                  <c:v>5.4005999999999998</c:v>
                </c:pt>
                <c:pt idx="134">
                  <c:v>5.2266000000000004</c:v>
                </c:pt>
                <c:pt idx="135">
                  <c:v>5.2266000000000004</c:v>
                </c:pt>
                <c:pt idx="136">
                  <c:v>5.2344999999999997</c:v>
                </c:pt>
                <c:pt idx="137">
                  <c:v>5.0605000000000002</c:v>
                </c:pt>
                <c:pt idx="138">
                  <c:v>5.1395999999999997</c:v>
                </c:pt>
                <c:pt idx="139">
                  <c:v>5.2187000000000001</c:v>
                </c:pt>
                <c:pt idx="140">
                  <c:v>5.2423999999999999</c:v>
                </c:pt>
                <c:pt idx="141">
                  <c:v>5.1395999999999997</c:v>
                </c:pt>
                <c:pt idx="142">
                  <c:v>4.8311999999999999</c:v>
                </c:pt>
                <c:pt idx="143">
                  <c:v>4.8865999999999996</c:v>
                </c:pt>
                <c:pt idx="144">
                  <c:v>4.7443</c:v>
                </c:pt>
                <c:pt idx="145">
                  <c:v>4.6573000000000002</c:v>
                </c:pt>
                <c:pt idx="146">
                  <c:v>4.5308000000000002</c:v>
                </c:pt>
                <c:pt idx="147">
                  <c:v>4.5861000000000001</c:v>
                </c:pt>
                <c:pt idx="148">
                  <c:v>4.5940000000000003</c:v>
                </c:pt>
                <c:pt idx="149">
                  <c:v>4.5940000000000003</c:v>
                </c:pt>
                <c:pt idx="150">
                  <c:v>4.5781999999999998</c:v>
                </c:pt>
                <c:pt idx="151">
                  <c:v>4.4832999999999998</c:v>
                </c:pt>
                <c:pt idx="152">
                  <c:v>4.4991000000000003</c:v>
                </c:pt>
                <c:pt idx="153">
                  <c:v>4.5071000000000003</c:v>
                </c:pt>
                <c:pt idx="154">
                  <c:v>4.6573000000000002</c:v>
                </c:pt>
                <c:pt idx="155">
                  <c:v>4.6018999999999997</c:v>
                </c:pt>
                <c:pt idx="156">
                  <c:v>4.6257000000000001</c:v>
                </c:pt>
                <c:pt idx="157">
                  <c:v>4.4991000000000003</c:v>
                </c:pt>
                <c:pt idx="158">
                  <c:v>4.3489000000000004</c:v>
                </c:pt>
                <c:pt idx="159">
                  <c:v>4.4596</c:v>
                </c:pt>
                <c:pt idx="160">
                  <c:v>4.5781999999999998</c:v>
                </c:pt>
                <c:pt idx="161">
                  <c:v>4.5861000000000001</c:v>
                </c:pt>
                <c:pt idx="162">
                  <c:v>4.5861000000000001</c:v>
                </c:pt>
                <c:pt idx="163">
                  <c:v>4.6018999999999997</c:v>
                </c:pt>
                <c:pt idx="164">
                  <c:v>4.681</c:v>
                </c:pt>
                <c:pt idx="165">
                  <c:v>4.7601000000000004</c:v>
                </c:pt>
                <c:pt idx="166">
                  <c:v>4.5071000000000003</c:v>
                </c:pt>
                <c:pt idx="167">
                  <c:v>4.5228999999999999</c:v>
                </c:pt>
                <c:pt idx="168">
                  <c:v>4.4596</c:v>
                </c:pt>
                <c:pt idx="169">
                  <c:v>4.3014999999999999</c:v>
                </c:pt>
                <c:pt idx="170">
                  <c:v>4.1908000000000003</c:v>
                </c:pt>
                <c:pt idx="171">
                  <c:v>4.2857000000000003</c:v>
                </c:pt>
                <c:pt idx="172">
                  <c:v>4.4832999999999998</c:v>
                </c:pt>
                <c:pt idx="173">
                  <c:v>4.5149999999999997</c:v>
                </c:pt>
                <c:pt idx="174">
                  <c:v>4.5861000000000001</c:v>
                </c:pt>
                <c:pt idx="175">
                  <c:v>4.5781999999999998</c:v>
                </c:pt>
                <c:pt idx="176">
                  <c:v>4.5940000000000003</c:v>
                </c:pt>
                <c:pt idx="177">
                  <c:v>4.7363999999999997</c:v>
                </c:pt>
                <c:pt idx="178">
                  <c:v>4.7522000000000002</c:v>
                </c:pt>
                <c:pt idx="179">
                  <c:v>4.7679999999999998</c:v>
                </c:pt>
                <c:pt idx="180">
                  <c:v>4.7522000000000002</c:v>
                </c:pt>
                <c:pt idx="181">
                  <c:v>4.9814999999999996</c:v>
                </c:pt>
                <c:pt idx="182">
                  <c:v>4.9814999999999996</c:v>
                </c:pt>
                <c:pt idx="183">
                  <c:v>4.9814999999999996</c:v>
                </c:pt>
                <c:pt idx="184">
                  <c:v>4.9419000000000004</c:v>
                </c:pt>
                <c:pt idx="185">
                  <c:v>4.9103000000000003</c:v>
                </c:pt>
                <c:pt idx="186">
                  <c:v>4.9024000000000001</c:v>
                </c:pt>
                <c:pt idx="187">
                  <c:v>4.8311999999999999</c:v>
                </c:pt>
                <c:pt idx="188">
                  <c:v>5.0289000000000001</c:v>
                </c:pt>
                <c:pt idx="189">
                  <c:v>3.3462000000000001</c:v>
                </c:pt>
                <c:pt idx="190">
                  <c:v>3.4024000000000001</c:v>
                </c:pt>
                <c:pt idx="191">
                  <c:v>3.3462000000000001</c:v>
                </c:pt>
                <c:pt idx="192">
                  <c:v>3.3563999999999998</c:v>
                </c:pt>
                <c:pt idx="193">
                  <c:v>3.3717999999999999</c:v>
                </c:pt>
                <c:pt idx="194">
                  <c:v>3.3207</c:v>
                </c:pt>
                <c:pt idx="195">
                  <c:v>3.4432999999999998</c:v>
                </c:pt>
                <c:pt idx="196">
                  <c:v>3.5045999999999999</c:v>
                </c:pt>
                <c:pt idx="197">
                  <c:v>3.5249999999999999</c:v>
                </c:pt>
                <c:pt idx="198">
                  <c:v>3.5659000000000001</c:v>
                </c:pt>
                <c:pt idx="199">
                  <c:v>3.4535</c:v>
                </c:pt>
                <c:pt idx="200">
                  <c:v>3.4382000000000001</c:v>
                </c:pt>
                <c:pt idx="201">
                  <c:v>3.3973</c:v>
                </c:pt>
                <c:pt idx="202">
                  <c:v>3.4075000000000002</c:v>
                </c:pt>
                <c:pt idx="203">
                  <c:v>3.4228999999999998</c:v>
                </c:pt>
                <c:pt idx="204">
                  <c:v>3.5301</c:v>
                </c:pt>
                <c:pt idx="205">
                  <c:v>3.5811999999999999</c:v>
                </c:pt>
                <c:pt idx="206">
                  <c:v>3.5914000000000001</c:v>
                </c:pt>
                <c:pt idx="207">
                  <c:v>3.5249999999999999</c:v>
                </c:pt>
                <c:pt idx="208">
                  <c:v>3.4228999999999998</c:v>
                </c:pt>
                <c:pt idx="209">
                  <c:v>3.3207</c:v>
                </c:pt>
                <c:pt idx="210">
                  <c:v>3.3207</c:v>
                </c:pt>
                <c:pt idx="211">
                  <c:v>3.3207</c:v>
                </c:pt>
                <c:pt idx="212">
                  <c:v>3.3769</c:v>
                </c:pt>
                <c:pt idx="213">
                  <c:v>3.3207</c:v>
                </c:pt>
                <c:pt idx="214">
                  <c:v>3.3003</c:v>
                </c:pt>
                <c:pt idx="215">
                  <c:v>3.3003</c:v>
                </c:pt>
                <c:pt idx="216">
                  <c:v>3.3359999999999999</c:v>
                </c:pt>
                <c:pt idx="217">
                  <c:v>3.1930000000000001</c:v>
                </c:pt>
                <c:pt idx="218">
                  <c:v>3.0806</c:v>
                </c:pt>
                <c:pt idx="219">
                  <c:v>2.9885999999999999</c:v>
                </c:pt>
                <c:pt idx="220">
                  <c:v>2.9937</c:v>
                </c:pt>
                <c:pt idx="221">
                  <c:v>3.0703999999999998</c:v>
                </c:pt>
                <c:pt idx="222">
                  <c:v>3.1469999999999998</c:v>
                </c:pt>
                <c:pt idx="223">
                  <c:v>3.1419000000000001</c:v>
                </c:pt>
                <c:pt idx="224">
                  <c:v>3.1520999999999999</c:v>
                </c:pt>
                <c:pt idx="225">
                  <c:v>3.1469999999999998</c:v>
                </c:pt>
                <c:pt idx="226">
                  <c:v>3.1623000000000001</c:v>
                </c:pt>
                <c:pt idx="227">
                  <c:v>3.2951000000000001</c:v>
                </c:pt>
                <c:pt idx="228">
                  <c:v>3.0806</c:v>
                </c:pt>
                <c:pt idx="229">
                  <c:v>3.0192999999999999</c:v>
                </c:pt>
                <c:pt idx="230">
                  <c:v>2.8711000000000002</c:v>
                </c:pt>
                <c:pt idx="231">
                  <c:v>2.8557999999999999</c:v>
                </c:pt>
                <c:pt idx="232">
                  <c:v>2.8711000000000002</c:v>
                </c:pt>
                <c:pt idx="233">
                  <c:v>2.8557999999999999</c:v>
                </c:pt>
                <c:pt idx="234">
                  <c:v>2.8405</c:v>
                </c:pt>
                <c:pt idx="235">
                  <c:v>2.8609</c:v>
                </c:pt>
                <c:pt idx="236">
                  <c:v>2.9119999999999999</c:v>
                </c:pt>
                <c:pt idx="237">
                  <c:v>2.6821000000000002</c:v>
                </c:pt>
                <c:pt idx="238">
                  <c:v>2.5697000000000001</c:v>
                </c:pt>
                <c:pt idx="239">
                  <c:v>2.5748000000000002</c:v>
                </c:pt>
                <c:pt idx="240">
                  <c:v>2.5952000000000002</c:v>
                </c:pt>
                <c:pt idx="241">
                  <c:v>2.5646</c:v>
                </c:pt>
                <c:pt idx="242">
                  <c:v>2.6105999999999998</c:v>
                </c:pt>
                <c:pt idx="243">
                  <c:v>2.585</c:v>
                </c:pt>
                <c:pt idx="244">
                  <c:v>2.6055000000000001</c:v>
                </c:pt>
                <c:pt idx="245">
                  <c:v>2.6208</c:v>
                </c:pt>
                <c:pt idx="246">
                  <c:v>2.585</c:v>
                </c:pt>
                <c:pt idx="247">
                  <c:v>2.6360999999999999</c:v>
                </c:pt>
                <c:pt idx="248">
                  <c:v>2.6412</c:v>
                </c:pt>
                <c:pt idx="249">
                  <c:v>2.5594999999999999</c:v>
                </c:pt>
                <c:pt idx="250">
                  <c:v>2.5646</c:v>
                </c:pt>
                <c:pt idx="251">
                  <c:v>3.0051000000000001</c:v>
                </c:pt>
                <c:pt idx="252">
                  <c:v>2.9990999999999999</c:v>
                </c:pt>
                <c:pt idx="253">
                  <c:v>2.9931000000000001</c:v>
                </c:pt>
                <c:pt idx="254">
                  <c:v>3.0171000000000001</c:v>
                </c:pt>
                <c:pt idx="255">
                  <c:v>2.9990999999999999</c:v>
                </c:pt>
                <c:pt idx="256">
                  <c:v>2.9931000000000001</c:v>
                </c:pt>
                <c:pt idx="257">
                  <c:v>3.0110999999999999</c:v>
                </c:pt>
                <c:pt idx="258">
                  <c:v>3.0470000000000002</c:v>
                </c:pt>
                <c:pt idx="259">
                  <c:v>3.0829</c:v>
                </c:pt>
                <c:pt idx="260">
                  <c:v>3.0590000000000002</c:v>
                </c:pt>
                <c:pt idx="261">
                  <c:v>3.1307999999999998</c:v>
                </c:pt>
                <c:pt idx="262">
                  <c:v>3.1128999999999998</c:v>
                </c:pt>
                <c:pt idx="263">
                  <c:v>3.0409999999999999</c:v>
                </c:pt>
                <c:pt idx="264">
                  <c:v>3.0230999999999999</c:v>
                </c:pt>
                <c:pt idx="265">
                  <c:v>3.0649999999999999</c:v>
                </c:pt>
                <c:pt idx="266">
                  <c:v>3.0230999999999999</c:v>
                </c:pt>
                <c:pt idx="267">
                  <c:v>3.0171000000000001</c:v>
                </c:pt>
                <c:pt idx="268">
                  <c:v>3.0529999999999999</c:v>
                </c:pt>
                <c:pt idx="269">
                  <c:v>2.9990999999999999</c:v>
                </c:pt>
                <c:pt idx="270">
                  <c:v>3.077</c:v>
                </c:pt>
                <c:pt idx="271">
                  <c:v>2.9990999999999999</c:v>
                </c:pt>
                <c:pt idx="272">
                  <c:v>3.0110999999999999</c:v>
                </c:pt>
                <c:pt idx="273">
                  <c:v>3.0171000000000001</c:v>
                </c:pt>
                <c:pt idx="274">
                  <c:v>3.0051000000000001</c:v>
                </c:pt>
                <c:pt idx="275">
                  <c:v>3.0110999999999999</c:v>
                </c:pt>
                <c:pt idx="276">
                  <c:v>2.9931000000000001</c:v>
                </c:pt>
                <c:pt idx="277">
                  <c:v>2.9931000000000001</c:v>
                </c:pt>
                <c:pt idx="278">
                  <c:v>2.9931000000000001</c:v>
                </c:pt>
                <c:pt idx="279">
                  <c:v>3.0470000000000002</c:v>
                </c:pt>
                <c:pt idx="280">
                  <c:v>2.9931000000000001</c:v>
                </c:pt>
                <c:pt idx="281">
                  <c:v>3.0529999999999999</c:v>
                </c:pt>
                <c:pt idx="282">
                  <c:v>3.0470000000000002</c:v>
                </c:pt>
                <c:pt idx="283">
                  <c:v>3.0171000000000001</c:v>
                </c:pt>
                <c:pt idx="284">
                  <c:v>2.9931000000000001</c:v>
                </c:pt>
                <c:pt idx="285">
                  <c:v>2.9571999999999998</c:v>
                </c:pt>
                <c:pt idx="286">
                  <c:v>2.9333</c:v>
                </c:pt>
                <c:pt idx="287">
                  <c:v>2.9931000000000001</c:v>
                </c:pt>
                <c:pt idx="288">
                  <c:v>2.9931000000000001</c:v>
                </c:pt>
                <c:pt idx="289">
                  <c:v>2.9931000000000001</c:v>
                </c:pt>
                <c:pt idx="290">
                  <c:v>2.9931000000000001</c:v>
                </c:pt>
                <c:pt idx="291">
                  <c:v>3.0051000000000001</c:v>
                </c:pt>
                <c:pt idx="292">
                  <c:v>2.9990999999999999</c:v>
                </c:pt>
                <c:pt idx="293">
                  <c:v>2.9990999999999999</c:v>
                </c:pt>
                <c:pt idx="294">
                  <c:v>2.9872000000000001</c:v>
                </c:pt>
                <c:pt idx="295">
                  <c:v>2.9931000000000001</c:v>
                </c:pt>
                <c:pt idx="296">
                  <c:v>3.0051000000000001</c:v>
                </c:pt>
                <c:pt idx="297">
                  <c:v>2.9931000000000001</c:v>
                </c:pt>
                <c:pt idx="298">
                  <c:v>3.0110999999999999</c:v>
                </c:pt>
                <c:pt idx="299">
                  <c:v>2.9931000000000001</c:v>
                </c:pt>
                <c:pt idx="300">
                  <c:v>3.0409999999999999</c:v>
                </c:pt>
                <c:pt idx="301">
                  <c:v>3.0529999999999999</c:v>
                </c:pt>
                <c:pt idx="302">
                  <c:v>3.0529999999999999</c:v>
                </c:pt>
                <c:pt idx="303">
                  <c:v>3.0529999999999999</c:v>
                </c:pt>
                <c:pt idx="304">
                  <c:v>3.0590000000000002</c:v>
                </c:pt>
                <c:pt idx="305">
                  <c:v>3.0291000000000001</c:v>
                </c:pt>
                <c:pt idx="306">
                  <c:v>3.0529999999999999</c:v>
                </c:pt>
                <c:pt idx="307">
                  <c:v>3.1307999999999998</c:v>
                </c:pt>
                <c:pt idx="308">
                  <c:v>3.2086999999999999</c:v>
                </c:pt>
                <c:pt idx="309">
                  <c:v>3.2685</c:v>
                </c:pt>
                <c:pt idx="310">
                  <c:v>3.2925</c:v>
                </c:pt>
                <c:pt idx="311">
                  <c:v>3.2159</c:v>
                </c:pt>
                <c:pt idx="312">
                  <c:v>3.2159</c:v>
                </c:pt>
                <c:pt idx="313">
                  <c:v>3.1924999999999999</c:v>
                </c:pt>
                <c:pt idx="314">
                  <c:v>3.0522</c:v>
                </c:pt>
                <c:pt idx="315">
                  <c:v>3.1574</c:v>
                </c:pt>
                <c:pt idx="316">
                  <c:v>3.1808000000000001</c:v>
                </c:pt>
                <c:pt idx="317">
                  <c:v>3.1983000000000001</c:v>
                </c:pt>
                <c:pt idx="318">
                  <c:v>3.2216999999999998</c:v>
                </c:pt>
                <c:pt idx="319">
                  <c:v>3.2743000000000002</c:v>
                </c:pt>
                <c:pt idx="320">
                  <c:v>3.3504</c:v>
                </c:pt>
                <c:pt idx="321">
                  <c:v>3.4205000000000001</c:v>
                </c:pt>
                <c:pt idx="322">
                  <c:v>3.2743000000000002</c:v>
                </c:pt>
                <c:pt idx="323">
                  <c:v>3.1282000000000001</c:v>
                </c:pt>
                <c:pt idx="324">
                  <c:v>3.0697000000000001</c:v>
                </c:pt>
                <c:pt idx="325">
                  <c:v>3.0405000000000002</c:v>
                </c:pt>
                <c:pt idx="326">
                  <c:v>3.0522</c:v>
                </c:pt>
                <c:pt idx="327">
                  <c:v>3.0287999999999999</c:v>
                </c:pt>
                <c:pt idx="328">
                  <c:v>3.0287999999999999</c:v>
                </c:pt>
                <c:pt idx="329">
                  <c:v>3.1282000000000001</c:v>
                </c:pt>
                <c:pt idx="330">
                  <c:v>3.1223000000000001</c:v>
                </c:pt>
                <c:pt idx="331">
                  <c:v>3.1164999999999998</c:v>
                </c:pt>
                <c:pt idx="332">
                  <c:v>3.0346000000000002</c:v>
                </c:pt>
                <c:pt idx="333">
                  <c:v>3.0287999999999999</c:v>
                </c:pt>
                <c:pt idx="334">
                  <c:v>3.0405000000000002</c:v>
                </c:pt>
                <c:pt idx="335">
                  <c:v>3.0579999999999998</c:v>
                </c:pt>
                <c:pt idx="336">
                  <c:v>3.0346000000000002</c:v>
                </c:pt>
                <c:pt idx="337">
                  <c:v>3.0463</c:v>
                </c:pt>
                <c:pt idx="338">
                  <c:v>3.0697000000000001</c:v>
                </c:pt>
                <c:pt idx="339">
                  <c:v>3.0171000000000001</c:v>
                </c:pt>
                <c:pt idx="340">
                  <c:v>3.0171000000000001</c:v>
                </c:pt>
                <c:pt idx="341">
                  <c:v>2.9937</c:v>
                </c:pt>
                <c:pt idx="342">
                  <c:v>3.0697000000000001</c:v>
                </c:pt>
                <c:pt idx="343">
                  <c:v>3.1398999999999999</c:v>
                </c:pt>
                <c:pt idx="344">
                  <c:v>3.2627000000000002</c:v>
                </c:pt>
                <c:pt idx="345">
                  <c:v>3.2042000000000002</c:v>
                </c:pt>
                <c:pt idx="346">
                  <c:v>3.1924999999999999</c:v>
                </c:pt>
                <c:pt idx="347">
                  <c:v>3.1574</c:v>
                </c:pt>
                <c:pt idx="348">
                  <c:v>3.0989</c:v>
                </c:pt>
                <c:pt idx="349">
                  <c:v>3.0989</c:v>
                </c:pt>
                <c:pt idx="350">
                  <c:v>3.0697000000000001</c:v>
                </c:pt>
                <c:pt idx="351">
                  <c:v>3.0813999999999999</c:v>
                </c:pt>
                <c:pt idx="352">
                  <c:v>3.0697000000000001</c:v>
                </c:pt>
                <c:pt idx="353">
                  <c:v>3.0813999999999999</c:v>
                </c:pt>
                <c:pt idx="354">
                  <c:v>3.0813999999999999</c:v>
                </c:pt>
                <c:pt idx="355">
                  <c:v>3.0463</c:v>
                </c:pt>
                <c:pt idx="356">
                  <c:v>3.0405000000000002</c:v>
                </c:pt>
                <c:pt idx="357">
                  <c:v>3.0463</c:v>
                </c:pt>
                <c:pt idx="358">
                  <c:v>3.0989</c:v>
                </c:pt>
                <c:pt idx="359">
                  <c:v>3.1048</c:v>
                </c:pt>
                <c:pt idx="360">
                  <c:v>3.1574</c:v>
                </c:pt>
                <c:pt idx="361">
                  <c:v>3.1516000000000002</c:v>
                </c:pt>
                <c:pt idx="362">
                  <c:v>3.1105999999999998</c:v>
                </c:pt>
                <c:pt idx="363">
                  <c:v>3.0346000000000002</c:v>
                </c:pt>
                <c:pt idx="364">
                  <c:v>3.0405000000000002</c:v>
                </c:pt>
                <c:pt idx="365">
                  <c:v>3.0112000000000001</c:v>
                </c:pt>
                <c:pt idx="366">
                  <c:v>3.0171000000000001</c:v>
                </c:pt>
                <c:pt idx="367">
                  <c:v>3.0405000000000002</c:v>
                </c:pt>
                <c:pt idx="368">
                  <c:v>2.9352</c:v>
                </c:pt>
                <c:pt idx="369">
                  <c:v>2.9235000000000002</c:v>
                </c:pt>
                <c:pt idx="370">
                  <c:v>2.9235000000000002</c:v>
                </c:pt>
                <c:pt idx="371">
                  <c:v>2.9235000000000002</c:v>
                </c:pt>
                <c:pt idx="372">
                  <c:v>2.9352</c:v>
                </c:pt>
                <c:pt idx="373">
                  <c:v>2.9527999999999999</c:v>
                </c:pt>
                <c:pt idx="374">
                  <c:v>2.9586000000000001</c:v>
                </c:pt>
                <c:pt idx="375">
                  <c:v>2.1133000000000002</c:v>
                </c:pt>
                <c:pt idx="376">
                  <c:v>2.1091000000000002</c:v>
                </c:pt>
                <c:pt idx="377">
                  <c:v>2.1049000000000002</c:v>
                </c:pt>
                <c:pt idx="378">
                  <c:v>2.1175999999999999</c:v>
                </c:pt>
                <c:pt idx="379">
                  <c:v>2.1259999999999999</c:v>
                </c:pt>
                <c:pt idx="380">
                  <c:v>2.1427999999999998</c:v>
                </c:pt>
                <c:pt idx="381">
                  <c:v>2.1385999999999998</c:v>
                </c:pt>
                <c:pt idx="382">
                  <c:v>2.1175999999999999</c:v>
                </c:pt>
                <c:pt idx="383">
                  <c:v>2.1175999999999999</c:v>
                </c:pt>
                <c:pt idx="384">
                  <c:v>2.1385999999999998</c:v>
                </c:pt>
                <c:pt idx="385">
                  <c:v>2.1469999999999998</c:v>
                </c:pt>
                <c:pt idx="386">
                  <c:v>2.1680999999999999</c:v>
                </c:pt>
                <c:pt idx="387">
                  <c:v>2.1680999999999999</c:v>
                </c:pt>
                <c:pt idx="388">
                  <c:v>2.1932999999999998</c:v>
                </c:pt>
                <c:pt idx="389">
                  <c:v>2.1974999999999998</c:v>
                </c:pt>
                <c:pt idx="390">
                  <c:v>2.1890999999999998</c:v>
                </c:pt>
                <c:pt idx="391">
                  <c:v>2.2101999999999999</c:v>
                </c:pt>
                <c:pt idx="392">
                  <c:v>2.2185999999999999</c:v>
                </c:pt>
                <c:pt idx="393">
                  <c:v>2.2311999999999999</c:v>
                </c:pt>
                <c:pt idx="394">
                  <c:v>2.2395999999999998</c:v>
                </c:pt>
                <c:pt idx="395">
                  <c:v>2.2690999999999999</c:v>
                </c:pt>
                <c:pt idx="396">
                  <c:v>2.2101999999999999</c:v>
                </c:pt>
                <c:pt idx="397">
                  <c:v>2.2227999999999999</c:v>
                </c:pt>
                <c:pt idx="398">
                  <c:v>2.2311999999999999</c:v>
                </c:pt>
                <c:pt idx="399">
                  <c:v>2.2353999999999998</c:v>
                </c:pt>
                <c:pt idx="400">
                  <c:v>2.2439</c:v>
                </c:pt>
                <c:pt idx="401">
                  <c:v>2.2439</c:v>
                </c:pt>
                <c:pt idx="402">
                  <c:v>2.2523</c:v>
                </c:pt>
                <c:pt idx="403">
                  <c:v>2.2439</c:v>
                </c:pt>
                <c:pt idx="404">
                  <c:v>2.2944</c:v>
                </c:pt>
                <c:pt idx="405">
                  <c:v>2.3111999999999999</c:v>
                </c:pt>
                <c:pt idx="406">
                  <c:v>2.2732999999999999</c:v>
                </c:pt>
                <c:pt idx="407">
                  <c:v>2.1806999999999999</c:v>
                </c:pt>
                <c:pt idx="408">
                  <c:v>2.1049000000000002</c:v>
                </c:pt>
                <c:pt idx="409">
                  <c:v>2.1680999999999999</c:v>
                </c:pt>
                <c:pt idx="410">
                  <c:v>2.1848999999999998</c:v>
                </c:pt>
                <c:pt idx="411">
                  <c:v>2.1722999999999999</c:v>
                </c:pt>
                <c:pt idx="412">
                  <c:v>2.1680999999999999</c:v>
                </c:pt>
                <c:pt idx="413">
                  <c:v>2.1890999999999998</c:v>
                </c:pt>
                <c:pt idx="414">
                  <c:v>2.1217999999999999</c:v>
                </c:pt>
                <c:pt idx="415">
                  <c:v>2.1049000000000002</c:v>
                </c:pt>
                <c:pt idx="416">
                  <c:v>2.1427999999999998</c:v>
                </c:pt>
                <c:pt idx="417">
                  <c:v>2.4121999999999999</c:v>
                </c:pt>
                <c:pt idx="418">
                  <c:v>2.5175000000000001</c:v>
                </c:pt>
                <c:pt idx="419">
                  <c:v>2.5722</c:v>
                </c:pt>
                <c:pt idx="420">
                  <c:v>2.5680000000000001</c:v>
                </c:pt>
                <c:pt idx="421">
                  <c:v>2.5259</c:v>
                </c:pt>
                <c:pt idx="422">
                  <c:v>2.5007000000000001</c:v>
                </c:pt>
                <c:pt idx="423">
                  <c:v>2.6396000000000002</c:v>
                </c:pt>
                <c:pt idx="424">
                  <c:v>3.4738000000000002</c:v>
                </c:pt>
                <c:pt idx="425">
                  <c:v>3.5830000000000002</c:v>
                </c:pt>
                <c:pt idx="426">
                  <c:v>3.7170000000000001</c:v>
                </c:pt>
                <c:pt idx="427">
                  <c:v>3.7766000000000002</c:v>
                </c:pt>
                <c:pt idx="428">
                  <c:v>3.8212000000000002</c:v>
                </c:pt>
                <c:pt idx="429">
                  <c:v>3.8014000000000001</c:v>
                </c:pt>
                <c:pt idx="430">
                  <c:v>3.8212000000000002</c:v>
                </c:pt>
                <c:pt idx="431">
                  <c:v>3.8906999999999998</c:v>
                </c:pt>
                <c:pt idx="432">
                  <c:v>3.8311000000000002</c:v>
                </c:pt>
                <c:pt idx="433">
                  <c:v>3.9104999999999999</c:v>
                </c:pt>
                <c:pt idx="434">
                  <c:v>3.8609</c:v>
                </c:pt>
                <c:pt idx="435">
                  <c:v>3.8957000000000002</c:v>
                </c:pt>
                <c:pt idx="436">
                  <c:v>3.9205000000000001</c:v>
                </c:pt>
                <c:pt idx="437">
                  <c:v>3.9453</c:v>
                </c:pt>
                <c:pt idx="438">
                  <c:v>3.8460000000000001</c:v>
                </c:pt>
                <c:pt idx="439">
                  <c:v>3.9354</c:v>
                </c:pt>
                <c:pt idx="440">
                  <c:v>3.98</c:v>
                </c:pt>
                <c:pt idx="441">
                  <c:v>4.0346000000000002</c:v>
                </c:pt>
                <c:pt idx="442">
                  <c:v>4.0346000000000002</c:v>
                </c:pt>
                <c:pt idx="443">
                  <c:v>4.0346000000000002</c:v>
                </c:pt>
                <c:pt idx="444">
                  <c:v>4.0644</c:v>
                </c:pt>
                <c:pt idx="445">
                  <c:v>3.9750999999999999</c:v>
                </c:pt>
                <c:pt idx="446">
                  <c:v>3.9155000000000002</c:v>
                </c:pt>
                <c:pt idx="447">
                  <c:v>3.9701</c:v>
                </c:pt>
                <c:pt idx="448">
                  <c:v>4.0197000000000003</c:v>
                </c:pt>
                <c:pt idx="449">
                  <c:v>3.9750999999999999</c:v>
                </c:pt>
                <c:pt idx="450">
                  <c:v>4.0495000000000001</c:v>
                </c:pt>
                <c:pt idx="451">
                  <c:v>4.0743</c:v>
                </c:pt>
                <c:pt idx="452">
                  <c:v>3.9750999999999999</c:v>
                </c:pt>
                <c:pt idx="453">
                  <c:v>3.9205000000000001</c:v>
                </c:pt>
                <c:pt idx="454">
                  <c:v>3.9651000000000001</c:v>
                </c:pt>
                <c:pt idx="455">
                  <c:v>3.9651000000000001</c:v>
                </c:pt>
                <c:pt idx="456">
                  <c:v>3.9601999999999999</c:v>
                </c:pt>
                <c:pt idx="457">
                  <c:v>3.9948999999999999</c:v>
                </c:pt>
                <c:pt idx="458">
                  <c:v>3.9998999999999998</c:v>
                </c:pt>
                <c:pt idx="459">
                  <c:v>4.0693000000000001</c:v>
                </c:pt>
                <c:pt idx="460">
                  <c:v>4.0693000000000001</c:v>
                </c:pt>
                <c:pt idx="461">
                  <c:v>4.0792999999999999</c:v>
                </c:pt>
                <c:pt idx="462">
                  <c:v>4.0991</c:v>
                </c:pt>
                <c:pt idx="463">
                  <c:v>4.0495000000000001</c:v>
                </c:pt>
                <c:pt idx="464">
                  <c:v>4.0743</c:v>
                </c:pt>
                <c:pt idx="465">
                  <c:v>4.0743</c:v>
                </c:pt>
                <c:pt idx="466">
                  <c:v>4.109</c:v>
                </c:pt>
                <c:pt idx="467">
                  <c:v>4.1933999999999996</c:v>
                </c:pt>
                <c:pt idx="468">
                  <c:v>4.1437999999999997</c:v>
                </c:pt>
                <c:pt idx="469">
                  <c:v>4.1338999999999997</c:v>
                </c:pt>
                <c:pt idx="470">
                  <c:v>4.109</c:v>
                </c:pt>
                <c:pt idx="471">
                  <c:v>4.0644</c:v>
                </c:pt>
                <c:pt idx="472">
                  <c:v>4.0594000000000001</c:v>
                </c:pt>
                <c:pt idx="473">
                  <c:v>4.0197000000000003</c:v>
                </c:pt>
                <c:pt idx="474">
                  <c:v>4.0545</c:v>
                </c:pt>
                <c:pt idx="475">
                  <c:v>4.1139999999999999</c:v>
                </c:pt>
                <c:pt idx="476">
                  <c:v>3.9601999999999999</c:v>
                </c:pt>
                <c:pt idx="477">
                  <c:v>3.9552</c:v>
                </c:pt>
                <c:pt idx="478">
                  <c:v>3.9601999999999999</c:v>
                </c:pt>
                <c:pt idx="479">
                  <c:v>3.9601999999999999</c:v>
                </c:pt>
                <c:pt idx="480">
                  <c:v>3.98</c:v>
                </c:pt>
                <c:pt idx="481">
                  <c:v>3.9354</c:v>
                </c:pt>
                <c:pt idx="482">
                  <c:v>3.7869999999999999</c:v>
                </c:pt>
                <c:pt idx="483">
                  <c:v>3.7301000000000002</c:v>
                </c:pt>
                <c:pt idx="484">
                  <c:v>3.7252999999999998</c:v>
                </c:pt>
                <c:pt idx="485">
                  <c:v>3.6732</c:v>
                </c:pt>
                <c:pt idx="486">
                  <c:v>3.6779999999999999</c:v>
                </c:pt>
                <c:pt idx="487">
                  <c:v>3.6968999999999999</c:v>
                </c:pt>
                <c:pt idx="488">
                  <c:v>3.6589999999999998</c:v>
                </c:pt>
                <c:pt idx="489">
                  <c:v>3.6968999999999999</c:v>
                </c:pt>
                <c:pt idx="490">
                  <c:v>3.7252999999999998</c:v>
                </c:pt>
                <c:pt idx="491">
                  <c:v>3.7585000000000002</c:v>
                </c:pt>
                <c:pt idx="492">
                  <c:v>3.7726999999999999</c:v>
                </c:pt>
                <c:pt idx="493">
                  <c:v>3.7917000000000001</c:v>
                </c:pt>
                <c:pt idx="494">
                  <c:v>3.7726999999999999</c:v>
                </c:pt>
                <c:pt idx="495">
                  <c:v>3.7822</c:v>
                </c:pt>
                <c:pt idx="496">
                  <c:v>3.7917000000000001</c:v>
                </c:pt>
                <c:pt idx="497">
                  <c:v>3.7917000000000001</c:v>
                </c:pt>
                <c:pt idx="498">
                  <c:v>3.8012000000000001</c:v>
                </c:pt>
                <c:pt idx="499">
                  <c:v>3.8153999999999999</c:v>
                </c:pt>
                <c:pt idx="500">
                  <c:v>3.8485999999999998</c:v>
                </c:pt>
                <c:pt idx="501">
                  <c:v>3.7964000000000002</c:v>
                </c:pt>
                <c:pt idx="502">
                  <c:v>3.8249</c:v>
                </c:pt>
                <c:pt idx="503">
                  <c:v>3.8296000000000001</c:v>
                </c:pt>
                <c:pt idx="504">
                  <c:v>3.7964000000000002</c:v>
                </c:pt>
                <c:pt idx="505">
                  <c:v>3.8818000000000001</c:v>
                </c:pt>
                <c:pt idx="506">
                  <c:v>3.9148999999999998</c:v>
                </c:pt>
                <c:pt idx="507">
                  <c:v>3.9386000000000001</c:v>
                </c:pt>
                <c:pt idx="508">
                  <c:v>3.9765000000000001</c:v>
                </c:pt>
                <c:pt idx="509">
                  <c:v>3.9765000000000001</c:v>
                </c:pt>
                <c:pt idx="510">
                  <c:v>4.0049999999999999</c:v>
                </c:pt>
                <c:pt idx="511">
                  <c:v>4.0145</c:v>
                </c:pt>
                <c:pt idx="512">
                  <c:v>3.9813000000000001</c:v>
                </c:pt>
                <c:pt idx="513">
                  <c:v>3.9908000000000001</c:v>
                </c:pt>
                <c:pt idx="514">
                  <c:v>3.9813000000000001</c:v>
                </c:pt>
                <c:pt idx="515">
                  <c:v>4.0429000000000004</c:v>
                </c:pt>
                <c:pt idx="516">
                  <c:v>4.1093000000000002</c:v>
                </c:pt>
                <c:pt idx="517">
                  <c:v>4.1044999999999998</c:v>
                </c:pt>
                <c:pt idx="518">
                  <c:v>4.0998000000000001</c:v>
                </c:pt>
                <c:pt idx="519">
                  <c:v>4.1471999999999998</c:v>
                </c:pt>
                <c:pt idx="520">
                  <c:v>4.1661000000000001</c:v>
                </c:pt>
                <c:pt idx="521">
                  <c:v>4.2134999999999998</c:v>
                </c:pt>
                <c:pt idx="522">
                  <c:v>4.1898</c:v>
                </c:pt>
                <c:pt idx="523">
                  <c:v>4.1946000000000003</c:v>
                </c:pt>
                <c:pt idx="524">
                  <c:v>4.2134999999999998</c:v>
                </c:pt>
                <c:pt idx="525">
                  <c:v>4.1851000000000003</c:v>
                </c:pt>
                <c:pt idx="526">
                  <c:v>4.1519000000000004</c:v>
                </c:pt>
                <c:pt idx="527">
                  <c:v>4.1139999999999999</c:v>
                </c:pt>
                <c:pt idx="528">
                  <c:v>4.1614000000000004</c:v>
                </c:pt>
                <c:pt idx="529">
                  <c:v>4.1851000000000003</c:v>
                </c:pt>
                <c:pt idx="530">
                  <c:v>4.1708999999999996</c:v>
                </c:pt>
                <c:pt idx="531">
                  <c:v>4.1093000000000002</c:v>
                </c:pt>
                <c:pt idx="532">
                  <c:v>4.0761000000000003</c:v>
                </c:pt>
                <c:pt idx="533">
                  <c:v>4.0666000000000002</c:v>
                </c:pt>
                <c:pt idx="534">
                  <c:v>4.0618999999999996</c:v>
                </c:pt>
                <c:pt idx="535">
                  <c:v>4.1993</c:v>
                </c:pt>
                <c:pt idx="536">
                  <c:v>4.1234999999999999</c:v>
                </c:pt>
                <c:pt idx="537">
                  <c:v>4.2609000000000004</c:v>
                </c:pt>
                <c:pt idx="538">
                  <c:v>4.2846000000000002</c:v>
                </c:pt>
                <c:pt idx="539">
                  <c:v>4.2561999999999998</c:v>
                </c:pt>
                <c:pt idx="540">
                  <c:v>4.1234999999999999</c:v>
                </c:pt>
                <c:pt idx="541">
                  <c:v>4.0145</c:v>
                </c:pt>
                <c:pt idx="542">
                  <c:v>4.0286999999999997</c:v>
                </c:pt>
                <c:pt idx="543">
                  <c:v>4.0049999999999999</c:v>
                </c:pt>
                <c:pt idx="544">
                  <c:v>4.4081000000000001</c:v>
                </c:pt>
                <c:pt idx="545">
                  <c:v>4.3659999999999997</c:v>
                </c:pt>
                <c:pt idx="546">
                  <c:v>4.4134000000000002</c:v>
                </c:pt>
                <c:pt idx="547">
                  <c:v>4.4185999999999996</c:v>
                </c:pt>
                <c:pt idx="548">
                  <c:v>4.3818000000000001</c:v>
                </c:pt>
                <c:pt idx="549">
                  <c:v>4.3659999999999997</c:v>
                </c:pt>
                <c:pt idx="550">
                  <c:v>4.3765000000000001</c:v>
                </c:pt>
                <c:pt idx="551">
                  <c:v>4.3922999999999996</c:v>
                </c:pt>
                <c:pt idx="552">
                  <c:v>4.4185999999999996</c:v>
                </c:pt>
                <c:pt idx="553">
                  <c:v>4.4134000000000002</c:v>
                </c:pt>
                <c:pt idx="554">
                  <c:v>4.3659999999999997</c:v>
                </c:pt>
                <c:pt idx="555">
                  <c:v>4.3502000000000001</c:v>
                </c:pt>
                <c:pt idx="556">
                  <c:v>4.4448999999999996</c:v>
                </c:pt>
                <c:pt idx="557">
                  <c:v>4.4238999999999997</c:v>
                </c:pt>
                <c:pt idx="558">
                  <c:v>4.4397000000000002</c:v>
                </c:pt>
                <c:pt idx="559">
                  <c:v>4.4711999999999996</c:v>
                </c:pt>
                <c:pt idx="560">
                  <c:v>4.4764999999999997</c:v>
                </c:pt>
                <c:pt idx="561">
                  <c:v>4.5133000000000001</c:v>
                </c:pt>
                <c:pt idx="562">
                  <c:v>4.508</c:v>
                </c:pt>
                <c:pt idx="563">
                  <c:v>4.508</c:v>
                </c:pt>
                <c:pt idx="564">
                  <c:v>4.5763999999999996</c:v>
                </c:pt>
                <c:pt idx="565">
                  <c:v>4.4817</c:v>
                </c:pt>
                <c:pt idx="566">
                  <c:v>4.6026999999999996</c:v>
                </c:pt>
                <c:pt idx="567">
                  <c:v>4.6342999999999996</c:v>
                </c:pt>
                <c:pt idx="568">
                  <c:v>4.4923000000000002</c:v>
                </c:pt>
                <c:pt idx="569">
                  <c:v>4.4870000000000001</c:v>
                </c:pt>
                <c:pt idx="570">
                  <c:v>4.4660000000000002</c:v>
                </c:pt>
                <c:pt idx="571">
                  <c:v>4.4554</c:v>
                </c:pt>
                <c:pt idx="572">
                  <c:v>4.4817</c:v>
                </c:pt>
                <c:pt idx="573">
                  <c:v>4.4764999999999997</c:v>
                </c:pt>
                <c:pt idx="574">
                  <c:v>4.4554</c:v>
                </c:pt>
                <c:pt idx="575">
                  <c:v>4.3975999999999997</c:v>
                </c:pt>
                <c:pt idx="576">
                  <c:v>4.3975999999999997</c:v>
                </c:pt>
                <c:pt idx="577">
                  <c:v>4.3608000000000002</c:v>
                </c:pt>
                <c:pt idx="578">
                  <c:v>4.3871000000000002</c:v>
                </c:pt>
                <c:pt idx="579">
                  <c:v>4.3659999999999997</c:v>
                </c:pt>
                <c:pt idx="580">
                  <c:v>4.3659999999999997</c:v>
                </c:pt>
                <c:pt idx="581">
                  <c:v>4.4028</c:v>
                </c:pt>
                <c:pt idx="582">
                  <c:v>4.3975999999999997</c:v>
                </c:pt>
                <c:pt idx="583">
                  <c:v>4.4448999999999996</c:v>
                </c:pt>
                <c:pt idx="584">
                  <c:v>4.4448999999999996</c:v>
                </c:pt>
                <c:pt idx="585">
                  <c:v>4.4764999999999997</c:v>
                </c:pt>
                <c:pt idx="586">
                  <c:v>4.4870000000000001</c:v>
                </c:pt>
                <c:pt idx="587">
                  <c:v>4.4660000000000002</c:v>
                </c:pt>
                <c:pt idx="588">
                  <c:v>4.4397000000000002</c:v>
                </c:pt>
                <c:pt idx="589">
                  <c:v>4.4185999999999996</c:v>
                </c:pt>
                <c:pt idx="590">
                  <c:v>4.4134000000000002</c:v>
                </c:pt>
                <c:pt idx="591">
                  <c:v>4.4764999999999997</c:v>
                </c:pt>
                <c:pt idx="592">
                  <c:v>4.5659000000000001</c:v>
                </c:pt>
                <c:pt idx="593">
                  <c:v>4.6185</c:v>
                </c:pt>
                <c:pt idx="594">
                  <c:v>4.5922000000000001</c:v>
                </c:pt>
                <c:pt idx="595">
                  <c:v>4.5763999999999996</c:v>
                </c:pt>
                <c:pt idx="596">
                  <c:v>4.5816999999999997</c:v>
                </c:pt>
                <c:pt idx="597">
                  <c:v>4.5712000000000002</c:v>
                </c:pt>
                <c:pt idx="598">
                  <c:v>4.5922000000000001</c:v>
                </c:pt>
                <c:pt idx="599">
                  <c:v>4.5922000000000001</c:v>
                </c:pt>
                <c:pt idx="600">
                  <c:v>4.5553999999999997</c:v>
                </c:pt>
                <c:pt idx="601">
                  <c:v>4.5500999999999996</c:v>
                </c:pt>
                <c:pt idx="602">
                  <c:v>4.5449000000000002</c:v>
                </c:pt>
                <c:pt idx="603">
                  <c:v>4.5712000000000002</c:v>
                </c:pt>
                <c:pt idx="604">
                  <c:v>4.6238000000000001</c:v>
                </c:pt>
                <c:pt idx="605">
                  <c:v>4.6342999999999996</c:v>
                </c:pt>
                <c:pt idx="606">
                  <c:v>4.6289999999999996</c:v>
                </c:pt>
                <c:pt idx="607">
                  <c:v>5.0579999999999998</c:v>
                </c:pt>
                <c:pt idx="608">
                  <c:v>5.0749000000000004</c:v>
                </c:pt>
                <c:pt idx="609">
                  <c:v>5.0636999999999999</c:v>
                </c:pt>
                <c:pt idx="610">
                  <c:v>5.0636999999999999</c:v>
                </c:pt>
                <c:pt idx="611">
                  <c:v>4.9679000000000002</c:v>
                </c:pt>
                <c:pt idx="612">
                  <c:v>5.0468000000000002</c:v>
                </c:pt>
                <c:pt idx="613">
                  <c:v>5.0749000000000004</c:v>
                </c:pt>
                <c:pt idx="614">
                  <c:v>5.0693000000000001</c:v>
                </c:pt>
                <c:pt idx="615">
                  <c:v>5.0693000000000001</c:v>
                </c:pt>
                <c:pt idx="616">
                  <c:v>5.0693000000000001</c:v>
                </c:pt>
                <c:pt idx="617">
                  <c:v>5.1031000000000004</c:v>
                </c:pt>
                <c:pt idx="618">
                  <c:v>5.1538000000000004</c:v>
                </c:pt>
                <c:pt idx="619">
                  <c:v>5.1311999999999998</c:v>
                </c:pt>
                <c:pt idx="620">
                  <c:v>5.1086999999999998</c:v>
                </c:pt>
                <c:pt idx="621">
                  <c:v>5.0693000000000001</c:v>
                </c:pt>
                <c:pt idx="622">
                  <c:v>5.1538000000000004</c:v>
                </c:pt>
                <c:pt idx="623">
                  <c:v>5.165</c:v>
                </c:pt>
                <c:pt idx="624">
                  <c:v>5.0749000000000004</c:v>
                </c:pt>
                <c:pt idx="625">
                  <c:v>5.0016999999999996</c:v>
                </c:pt>
                <c:pt idx="626">
                  <c:v>5.0354999999999999</c:v>
                </c:pt>
                <c:pt idx="627">
                  <c:v>4.9002999999999997</c:v>
                </c:pt>
                <c:pt idx="628">
                  <c:v>4.8158000000000003</c:v>
                </c:pt>
                <c:pt idx="629">
                  <c:v>4.7651000000000003</c:v>
                </c:pt>
                <c:pt idx="630">
                  <c:v>4.6749999999999998</c:v>
                </c:pt>
                <c:pt idx="631">
                  <c:v>4.6749999999999998</c:v>
                </c:pt>
                <c:pt idx="632">
                  <c:v>4.6919000000000004</c:v>
                </c:pt>
                <c:pt idx="633">
                  <c:v>4.782</c:v>
                </c:pt>
                <c:pt idx="634">
                  <c:v>4.7538999999999998</c:v>
                </c:pt>
                <c:pt idx="635">
                  <c:v>4.7201000000000004</c:v>
                </c:pt>
                <c:pt idx="636">
                  <c:v>4.6131000000000002</c:v>
                </c:pt>
                <c:pt idx="637">
                  <c:v>4.5397999999999996</c:v>
                </c:pt>
                <c:pt idx="638">
                  <c:v>4.5397999999999996</c:v>
                </c:pt>
                <c:pt idx="639">
                  <c:v>4.5286</c:v>
                </c:pt>
                <c:pt idx="640">
                  <c:v>4.5117000000000003</c:v>
                </c:pt>
                <c:pt idx="641">
                  <c:v>4.4835000000000003</c:v>
                </c:pt>
                <c:pt idx="642">
                  <c:v>4.5060000000000002</c:v>
                </c:pt>
                <c:pt idx="643">
                  <c:v>4.4665999999999997</c:v>
                </c:pt>
                <c:pt idx="644">
                  <c:v>4.4779</c:v>
                </c:pt>
                <c:pt idx="645">
                  <c:v>4.5454999999999997</c:v>
                </c:pt>
                <c:pt idx="646">
                  <c:v>4.5060000000000002</c:v>
                </c:pt>
                <c:pt idx="647">
                  <c:v>4.5567000000000002</c:v>
                </c:pt>
                <c:pt idx="648">
                  <c:v>4.4665999999999997</c:v>
                </c:pt>
                <c:pt idx="649">
                  <c:v>4.63</c:v>
                </c:pt>
                <c:pt idx="650">
                  <c:v>4.7256999999999998</c:v>
                </c:pt>
                <c:pt idx="651">
                  <c:v>4.782</c:v>
                </c:pt>
                <c:pt idx="652">
                  <c:v>4.8045999999999998</c:v>
                </c:pt>
                <c:pt idx="653">
                  <c:v>4.8609</c:v>
                </c:pt>
                <c:pt idx="654">
                  <c:v>4.8890000000000002</c:v>
                </c:pt>
                <c:pt idx="655">
                  <c:v>4.9002999999999997</c:v>
                </c:pt>
                <c:pt idx="656">
                  <c:v>4.9002999999999997</c:v>
                </c:pt>
                <c:pt idx="657">
                  <c:v>4.8495999999999997</c:v>
                </c:pt>
                <c:pt idx="658">
                  <c:v>4.8270999999999997</c:v>
                </c:pt>
                <c:pt idx="659">
                  <c:v>4.8215000000000003</c:v>
                </c:pt>
                <c:pt idx="660">
                  <c:v>4.8270999999999997</c:v>
                </c:pt>
                <c:pt idx="661">
                  <c:v>4.7708000000000004</c:v>
                </c:pt>
                <c:pt idx="662">
                  <c:v>4.8215000000000003</c:v>
                </c:pt>
                <c:pt idx="663">
                  <c:v>4.8158000000000003</c:v>
                </c:pt>
                <c:pt idx="664">
                  <c:v>5.6528999999999998</c:v>
                </c:pt>
                <c:pt idx="665">
                  <c:v>5.6905000000000001</c:v>
                </c:pt>
                <c:pt idx="666">
                  <c:v>5.5526999999999997</c:v>
                </c:pt>
                <c:pt idx="667">
                  <c:v>5.5839999999999996</c:v>
                </c:pt>
                <c:pt idx="668">
                  <c:v>5.6153000000000004</c:v>
                </c:pt>
                <c:pt idx="669">
                  <c:v>5.4649000000000001</c:v>
                </c:pt>
                <c:pt idx="670">
                  <c:v>5.4147999999999996</c:v>
                </c:pt>
                <c:pt idx="671">
                  <c:v>5.4210000000000003</c:v>
                </c:pt>
                <c:pt idx="672">
                  <c:v>5.3772000000000002</c:v>
                </c:pt>
                <c:pt idx="673">
                  <c:v>5.3897000000000004</c:v>
                </c:pt>
                <c:pt idx="674">
                  <c:v>5.4649000000000001</c:v>
                </c:pt>
                <c:pt idx="675">
                  <c:v>5.4962</c:v>
                </c:pt>
                <c:pt idx="676">
                  <c:v>5.4461000000000004</c:v>
                </c:pt>
                <c:pt idx="677">
                  <c:v>5.3959999999999999</c:v>
                </c:pt>
                <c:pt idx="678">
                  <c:v>5.5213000000000001</c:v>
                </c:pt>
                <c:pt idx="679">
                  <c:v>5.4021999999999997</c:v>
                </c:pt>
                <c:pt idx="680">
                  <c:v>5.3208000000000002</c:v>
                </c:pt>
                <c:pt idx="681">
                  <c:v>5.2957000000000001</c:v>
                </c:pt>
                <c:pt idx="682">
                  <c:v>5.3772000000000002</c:v>
                </c:pt>
                <c:pt idx="683">
                  <c:v>5.4398</c:v>
                </c:pt>
                <c:pt idx="684">
                  <c:v>5.5338000000000003</c:v>
                </c:pt>
                <c:pt idx="685">
                  <c:v>5.5651999999999999</c:v>
                </c:pt>
                <c:pt idx="686">
                  <c:v>5.327</c:v>
                </c:pt>
                <c:pt idx="687">
                  <c:v>5.3897000000000004</c:v>
                </c:pt>
                <c:pt idx="688">
                  <c:v>5.5777000000000001</c:v>
                </c:pt>
                <c:pt idx="689">
                  <c:v>5.6403999999999996</c:v>
                </c:pt>
                <c:pt idx="690">
                  <c:v>5.5275999999999996</c:v>
                </c:pt>
                <c:pt idx="691">
                  <c:v>5.5275999999999996</c:v>
                </c:pt>
                <c:pt idx="692">
                  <c:v>5.4962</c:v>
                </c:pt>
                <c:pt idx="693">
                  <c:v>5.6592000000000002</c:v>
                </c:pt>
                <c:pt idx="694">
                  <c:v>5.5213000000000001</c:v>
                </c:pt>
                <c:pt idx="695">
                  <c:v>5.3772000000000002</c:v>
                </c:pt>
                <c:pt idx="696">
                  <c:v>5.4836999999999998</c:v>
                </c:pt>
                <c:pt idx="697">
                  <c:v>5.5025000000000004</c:v>
                </c:pt>
                <c:pt idx="698">
                  <c:v>5.6403999999999996</c:v>
                </c:pt>
                <c:pt idx="699">
                  <c:v>5.8095999999999997</c:v>
                </c:pt>
                <c:pt idx="700">
                  <c:v>5.8284000000000002</c:v>
                </c:pt>
                <c:pt idx="701">
                  <c:v>5.6341000000000001</c:v>
                </c:pt>
                <c:pt idx="702">
                  <c:v>6.0351999999999997</c:v>
                </c:pt>
                <c:pt idx="703">
                  <c:v>6.2483000000000004</c:v>
                </c:pt>
                <c:pt idx="704">
                  <c:v>6.2545999999999999</c:v>
                </c:pt>
                <c:pt idx="705">
                  <c:v>6.2984</c:v>
                </c:pt>
                <c:pt idx="706">
                  <c:v>6.3140999999999998</c:v>
                </c:pt>
                <c:pt idx="707">
                  <c:v>6.2169999999999996</c:v>
                </c:pt>
                <c:pt idx="708">
                  <c:v>5.8723000000000001</c:v>
                </c:pt>
                <c:pt idx="709">
                  <c:v>6.0602999999999998</c:v>
                </c:pt>
                <c:pt idx="710">
                  <c:v>6.0289999999999999</c:v>
                </c:pt>
                <c:pt idx="711">
                  <c:v>5.5589000000000004</c:v>
                </c:pt>
                <c:pt idx="712">
                  <c:v>5.2831999999999999</c:v>
                </c:pt>
                <c:pt idx="713">
                  <c:v>5.1390000000000002</c:v>
                </c:pt>
                <c:pt idx="714">
                  <c:v>5.1390000000000002</c:v>
                </c:pt>
                <c:pt idx="715">
                  <c:v>5.1577999999999999</c:v>
                </c:pt>
                <c:pt idx="716">
                  <c:v>5.1641000000000004</c:v>
                </c:pt>
                <c:pt idx="717">
                  <c:v>5.1829000000000001</c:v>
                </c:pt>
                <c:pt idx="718">
                  <c:v>5.2016999999999998</c:v>
                </c:pt>
                <c:pt idx="719">
                  <c:v>5.2141999999999999</c:v>
                </c:pt>
                <c:pt idx="720">
                  <c:v>5.2205000000000004</c:v>
                </c:pt>
                <c:pt idx="721">
                  <c:v>5.0701000000000001</c:v>
                </c:pt>
                <c:pt idx="722">
                  <c:v>5.0012999999999996</c:v>
                </c:pt>
                <c:pt idx="723">
                  <c:v>4.9763999999999999</c:v>
                </c:pt>
                <c:pt idx="724">
                  <c:v>4.9142999999999999</c:v>
                </c:pt>
                <c:pt idx="725">
                  <c:v>4.9081000000000001</c:v>
                </c:pt>
                <c:pt idx="726">
                  <c:v>4.9391999999999996</c:v>
                </c:pt>
                <c:pt idx="727">
                  <c:v>4.9329999999999998</c:v>
                </c:pt>
                <c:pt idx="728">
                  <c:v>4.9702000000000002</c:v>
                </c:pt>
                <c:pt idx="729">
                  <c:v>5.0012999999999996</c:v>
                </c:pt>
                <c:pt idx="730">
                  <c:v>5.0324</c:v>
                </c:pt>
                <c:pt idx="731">
                  <c:v>5.0324</c:v>
                </c:pt>
                <c:pt idx="732">
                  <c:v>5.1006999999999998</c:v>
                </c:pt>
                <c:pt idx="733">
                  <c:v>5.1566000000000001</c:v>
                </c:pt>
                <c:pt idx="734">
                  <c:v>5.1504000000000003</c:v>
                </c:pt>
                <c:pt idx="735">
                  <c:v>5.1689999999999996</c:v>
                </c:pt>
                <c:pt idx="736">
                  <c:v>5.2497999999999996</c:v>
                </c:pt>
                <c:pt idx="737">
                  <c:v>5.1814999999999998</c:v>
                </c:pt>
                <c:pt idx="738">
                  <c:v>5.0820999999999996</c:v>
                </c:pt>
                <c:pt idx="739">
                  <c:v>5.0075000000000003</c:v>
                </c:pt>
                <c:pt idx="740">
                  <c:v>5.0012999999999996</c:v>
                </c:pt>
                <c:pt idx="741">
                  <c:v>4.9889000000000001</c:v>
                </c:pt>
                <c:pt idx="742">
                  <c:v>4.8956999999999997</c:v>
                </c:pt>
                <c:pt idx="743">
                  <c:v>4.7527999999999997</c:v>
                </c:pt>
                <c:pt idx="744">
                  <c:v>4.7527999999999997</c:v>
                </c:pt>
                <c:pt idx="745">
                  <c:v>4.7404000000000002</c:v>
                </c:pt>
                <c:pt idx="746">
                  <c:v>4.7590000000000003</c:v>
                </c:pt>
                <c:pt idx="747">
                  <c:v>4.7527999999999997</c:v>
                </c:pt>
                <c:pt idx="748">
                  <c:v>4.7279</c:v>
                </c:pt>
                <c:pt idx="749">
                  <c:v>4.7217000000000002</c:v>
                </c:pt>
                <c:pt idx="750">
                  <c:v>4.7279</c:v>
                </c:pt>
                <c:pt idx="751">
                  <c:v>4.6906999999999996</c:v>
                </c:pt>
                <c:pt idx="752">
                  <c:v>4.7279</c:v>
                </c:pt>
                <c:pt idx="753">
                  <c:v>4.7838000000000003</c:v>
                </c:pt>
                <c:pt idx="754">
                  <c:v>4.7838000000000003</c:v>
                </c:pt>
                <c:pt idx="755">
                  <c:v>4.9081000000000001</c:v>
                </c:pt>
                <c:pt idx="756">
                  <c:v>4.8521999999999998</c:v>
                </c:pt>
                <c:pt idx="757">
                  <c:v>4.6657999999999999</c:v>
                </c:pt>
                <c:pt idx="758">
                  <c:v>4.6657999999999999</c:v>
                </c:pt>
                <c:pt idx="759">
                  <c:v>4.6284999999999998</c:v>
                </c:pt>
                <c:pt idx="760">
                  <c:v>4.6284999999999998</c:v>
                </c:pt>
                <c:pt idx="761">
                  <c:v>4.5663999999999998</c:v>
                </c:pt>
                <c:pt idx="762">
                  <c:v>4.5353000000000003</c:v>
                </c:pt>
                <c:pt idx="763">
                  <c:v>4.6161000000000003</c:v>
                </c:pt>
                <c:pt idx="764">
                  <c:v>4.5353000000000003</c:v>
                </c:pt>
                <c:pt idx="765">
                  <c:v>4.585</c:v>
                </c:pt>
                <c:pt idx="766">
                  <c:v>4.5913000000000004</c:v>
                </c:pt>
                <c:pt idx="767">
                  <c:v>4.6284999999999998</c:v>
                </c:pt>
                <c:pt idx="768">
                  <c:v>4.6284999999999998</c:v>
                </c:pt>
                <c:pt idx="769">
                  <c:v>4.585</c:v>
                </c:pt>
                <c:pt idx="770">
                  <c:v>4.7652000000000001</c:v>
                </c:pt>
                <c:pt idx="771">
                  <c:v>4.8087</c:v>
                </c:pt>
                <c:pt idx="772">
                  <c:v>4.8025000000000002</c:v>
                </c:pt>
                <c:pt idx="773">
                  <c:v>4.8148999999999997</c:v>
                </c:pt>
                <c:pt idx="774">
                  <c:v>4.8211000000000004</c:v>
                </c:pt>
                <c:pt idx="775">
                  <c:v>4.6284999999999998</c:v>
                </c:pt>
                <c:pt idx="776">
                  <c:v>4.6782000000000004</c:v>
                </c:pt>
                <c:pt idx="777">
                  <c:v>4.7838000000000003</c:v>
                </c:pt>
                <c:pt idx="778">
                  <c:v>4.7031000000000001</c:v>
                </c:pt>
                <c:pt idx="779">
                  <c:v>4.6223000000000001</c:v>
                </c:pt>
                <c:pt idx="780">
                  <c:v>4.6223000000000001</c:v>
                </c:pt>
                <c:pt idx="781">
                  <c:v>4.641</c:v>
                </c:pt>
                <c:pt idx="782">
                  <c:v>4.9204999999999997</c:v>
                </c:pt>
                <c:pt idx="783">
                  <c:v>4.9640000000000004</c:v>
                </c:pt>
                <c:pt idx="784">
                  <c:v>4.6597</c:v>
                </c:pt>
                <c:pt idx="785">
                  <c:v>4.7121000000000004</c:v>
                </c:pt>
                <c:pt idx="786">
                  <c:v>4.7179000000000002</c:v>
                </c:pt>
                <c:pt idx="787">
                  <c:v>4.7004000000000001</c:v>
                </c:pt>
                <c:pt idx="788">
                  <c:v>4.7121000000000004</c:v>
                </c:pt>
                <c:pt idx="789">
                  <c:v>4.7121000000000004</c:v>
                </c:pt>
                <c:pt idx="790">
                  <c:v>4.782</c:v>
                </c:pt>
                <c:pt idx="791">
                  <c:v>4.8228</c:v>
                </c:pt>
                <c:pt idx="792">
                  <c:v>4.7995000000000001</c:v>
                </c:pt>
                <c:pt idx="793">
                  <c:v>4.6013999999999999</c:v>
                </c:pt>
                <c:pt idx="794">
                  <c:v>4.5781000000000001</c:v>
                </c:pt>
                <c:pt idx="795">
                  <c:v>4.6189</c:v>
                </c:pt>
                <c:pt idx="796">
                  <c:v>4.6304999999999996</c:v>
                </c:pt>
                <c:pt idx="797">
                  <c:v>4.6013999999999999</c:v>
                </c:pt>
                <c:pt idx="798">
                  <c:v>4.6013999999999999</c:v>
                </c:pt>
                <c:pt idx="799">
                  <c:v>4.5198999999999998</c:v>
                </c:pt>
                <c:pt idx="800">
                  <c:v>4.5431999999999997</c:v>
                </c:pt>
                <c:pt idx="801">
                  <c:v>4.5781000000000001</c:v>
                </c:pt>
                <c:pt idx="802">
                  <c:v>4.6364000000000001</c:v>
                </c:pt>
                <c:pt idx="803">
                  <c:v>4.6597</c:v>
                </c:pt>
                <c:pt idx="804">
                  <c:v>4.7121000000000004</c:v>
                </c:pt>
                <c:pt idx="805">
                  <c:v>4.7469999999999999</c:v>
                </c:pt>
                <c:pt idx="806">
                  <c:v>4.6654999999999998</c:v>
                </c:pt>
                <c:pt idx="807">
                  <c:v>4.7529000000000003</c:v>
                </c:pt>
                <c:pt idx="808">
                  <c:v>4.7877999999999998</c:v>
                </c:pt>
                <c:pt idx="809">
                  <c:v>4.8693</c:v>
                </c:pt>
                <c:pt idx="810">
                  <c:v>4.8402000000000003</c:v>
                </c:pt>
                <c:pt idx="811">
                  <c:v>4.8343999999999996</c:v>
                </c:pt>
                <c:pt idx="812">
                  <c:v>4.8402000000000003</c:v>
                </c:pt>
                <c:pt idx="813">
                  <c:v>4.8052999999999999</c:v>
                </c:pt>
                <c:pt idx="814">
                  <c:v>4.7762000000000002</c:v>
                </c:pt>
                <c:pt idx="815">
                  <c:v>4.8052999999999999</c:v>
                </c:pt>
                <c:pt idx="816">
                  <c:v>4.8577000000000004</c:v>
                </c:pt>
                <c:pt idx="817">
                  <c:v>4.7179000000000002</c:v>
                </c:pt>
                <c:pt idx="818">
                  <c:v>4.4615999999999998</c:v>
                </c:pt>
                <c:pt idx="819">
                  <c:v>4.4382999999999999</c:v>
                </c:pt>
                <c:pt idx="820">
                  <c:v>4.4790999999999999</c:v>
                </c:pt>
                <c:pt idx="821">
                  <c:v>4.4848999999999997</c:v>
                </c:pt>
                <c:pt idx="822">
                  <c:v>4.4848999999999997</c:v>
                </c:pt>
                <c:pt idx="823">
                  <c:v>4.4733000000000001</c:v>
                </c:pt>
                <c:pt idx="824">
                  <c:v>4.3684000000000003</c:v>
                </c:pt>
                <c:pt idx="825">
                  <c:v>4.2169999999999996</c:v>
                </c:pt>
                <c:pt idx="826">
                  <c:v>4.2811000000000003</c:v>
                </c:pt>
                <c:pt idx="827">
                  <c:v>4.3102</c:v>
                </c:pt>
                <c:pt idx="828">
                  <c:v>4.3567999999999998</c:v>
                </c:pt>
                <c:pt idx="829">
                  <c:v>4.3392999999999997</c:v>
                </c:pt>
                <c:pt idx="830">
                  <c:v>4.3334999999999999</c:v>
                </c:pt>
                <c:pt idx="831">
                  <c:v>4.3392999999999997</c:v>
                </c:pt>
                <c:pt idx="832">
                  <c:v>4.351</c:v>
                </c:pt>
                <c:pt idx="833">
                  <c:v>4.3625999999999996</c:v>
                </c:pt>
                <c:pt idx="834">
                  <c:v>4.3102</c:v>
                </c:pt>
                <c:pt idx="835">
                  <c:v>4.3102</c:v>
                </c:pt>
                <c:pt idx="836">
                  <c:v>4.2286000000000001</c:v>
                </c:pt>
                <c:pt idx="837">
                  <c:v>4.2577999999999996</c:v>
                </c:pt>
                <c:pt idx="838">
                  <c:v>4.1238000000000001</c:v>
                </c:pt>
                <c:pt idx="839">
                  <c:v>4.3044000000000002</c:v>
                </c:pt>
                <c:pt idx="840">
                  <c:v>4.4615999999999998</c:v>
                </c:pt>
                <c:pt idx="841">
                  <c:v>4.4615999999999998</c:v>
                </c:pt>
                <c:pt idx="842">
                  <c:v>4.4558</c:v>
                </c:pt>
                <c:pt idx="843">
                  <c:v>4.415</c:v>
                </c:pt>
                <c:pt idx="844">
                  <c:v>4.4558</c:v>
                </c:pt>
                <c:pt idx="845">
                  <c:v>4.4907000000000004</c:v>
                </c:pt>
                <c:pt idx="846">
                  <c:v>4.5431999999999997</c:v>
                </c:pt>
                <c:pt idx="847">
                  <c:v>4.5898000000000003</c:v>
                </c:pt>
                <c:pt idx="848">
                  <c:v>4.5236000000000001</c:v>
                </c:pt>
                <c:pt idx="849">
                  <c:v>4.5060000000000002</c:v>
                </c:pt>
                <c:pt idx="850">
                  <c:v>4.4145000000000003</c:v>
                </c:pt>
                <c:pt idx="851">
                  <c:v>4.3628</c:v>
                </c:pt>
                <c:pt idx="852">
                  <c:v>4.3571</c:v>
                </c:pt>
                <c:pt idx="853">
                  <c:v>4.2537000000000003</c:v>
                </c:pt>
                <c:pt idx="854">
                  <c:v>4.0758000000000001</c:v>
                </c:pt>
                <c:pt idx="855">
                  <c:v>4.0068999999999999</c:v>
                </c:pt>
                <c:pt idx="856">
                  <c:v>4.0125999999999999</c:v>
                </c:pt>
                <c:pt idx="857">
                  <c:v>3.9495</c:v>
                </c:pt>
                <c:pt idx="858">
                  <c:v>3.9036</c:v>
                </c:pt>
                <c:pt idx="859">
                  <c:v>3.9495</c:v>
                </c:pt>
                <c:pt idx="860">
                  <c:v>3.8691</c:v>
                </c:pt>
                <c:pt idx="861">
                  <c:v>3.76</c:v>
                </c:pt>
                <c:pt idx="862">
                  <c:v>3.7427999999999999</c:v>
                </c:pt>
                <c:pt idx="863">
                  <c:v>3.6452</c:v>
                </c:pt>
                <c:pt idx="864">
                  <c:v>3.5992999999999999</c:v>
                </c:pt>
                <c:pt idx="865">
                  <c:v>3.6164999999999998</c:v>
                </c:pt>
                <c:pt idx="866">
                  <c:v>3.5762999999999998</c:v>
                </c:pt>
                <c:pt idx="867">
                  <c:v>3.5362</c:v>
                </c:pt>
                <c:pt idx="868">
                  <c:v>3.6164999999999998</c:v>
                </c:pt>
                <c:pt idx="869">
                  <c:v>3.7199</c:v>
                </c:pt>
                <c:pt idx="870">
                  <c:v>3.6739000000000002</c:v>
                </c:pt>
                <c:pt idx="871">
                  <c:v>3.6682000000000001</c:v>
                </c:pt>
                <c:pt idx="872">
                  <c:v>3.9093</c:v>
                </c:pt>
                <c:pt idx="873">
                  <c:v>4.0298999999999996</c:v>
                </c:pt>
                <c:pt idx="874">
                  <c:v>3.5649000000000002</c:v>
                </c:pt>
                <c:pt idx="875">
                  <c:v>3.3065000000000002</c:v>
                </c:pt>
                <c:pt idx="876">
                  <c:v>3.2204000000000002</c:v>
                </c:pt>
                <c:pt idx="877">
                  <c:v>3.1457999999999999</c:v>
                </c:pt>
                <c:pt idx="878">
                  <c:v>2.8759999999999999</c:v>
                </c:pt>
                <c:pt idx="879">
                  <c:v>3.1802999999999999</c:v>
                </c:pt>
                <c:pt idx="880">
                  <c:v>3.1629999999999998</c:v>
                </c:pt>
                <c:pt idx="881">
                  <c:v>3.1573000000000002</c:v>
                </c:pt>
                <c:pt idx="882">
                  <c:v>3.4500999999999999</c:v>
                </c:pt>
                <c:pt idx="883">
                  <c:v>4.2891000000000004</c:v>
                </c:pt>
                <c:pt idx="884">
                  <c:v>4.4615999999999998</c:v>
                </c:pt>
                <c:pt idx="885">
                  <c:v>4.6401000000000003</c:v>
                </c:pt>
                <c:pt idx="886">
                  <c:v>4.5925000000000002</c:v>
                </c:pt>
                <c:pt idx="887">
                  <c:v>4.7412000000000001</c:v>
                </c:pt>
                <c:pt idx="888">
                  <c:v>4.8186</c:v>
                </c:pt>
                <c:pt idx="889">
                  <c:v>5.0267999999999997</c:v>
                </c:pt>
                <c:pt idx="890">
                  <c:v>5.1040999999999999</c:v>
                </c:pt>
                <c:pt idx="891">
                  <c:v>5.1159999999999997</c:v>
                </c:pt>
                <c:pt idx="892">
                  <c:v>5.0862999999999996</c:v>
                </c:pt>
                <c:pt idx="893">
                  <c:v>5.2051999999999996</c:v>
                </c:pt>
                <c:pt idx="894">
                  <c:v>5.1755000000000004</c:v>
                </c:pt>
                <c:pt idx="895">
                  <c:v>5.2945000000000002</c:v>
                </c:pt>
                <c:pt idx="896">
                  <c:v>5.3421000000000003</c:v>
                </c:pt>
                <c:pt idx="897">
                  <c:v>5.3540000000000001</c:v>
                </c:pt>
                <c:pt idx="898">
                  <c:v>5.3479999999999999</c:v>
                </c:pt>
                <c:pt idx="899">
                  <c:v>5.2408999999999999</c:v>
                </c:pt>
                <c:pt idx="900">
                  <c:v>5.0862999999999996</c:v>
                </c:pt>
                <c:pt idx="901">
                  <c:v>5.0862999999999996</c:v>
                </c:pt>
                <c:pt idx="902">
                  <c:v>5.1874000000000002</c:v>
                </c:pt>
                <c:pt idx="903">
                  <c:v>5.2885</c:v>
                </c:pt>
                <c:pt idx="904">
                  <c:v>5.4729000000000001</c:v>
                </c:pt>
                <c:pt idx="905">
                  <c:v>5.5026999999999999</c:v>
                </c:pt>
                <c:pt idx="906">
                  <c:v>5.4847999999999999</c:v>
                </c:pt>
                <c:pt idx="907">
                  <c:v>5.4847999999999999</c:v>
                </c:pt>
                <c:pt idx="908">
                  <c:v>5.5324</c:v>
                </c:pt>
                <c:pt idx="909">
                  <c:v>5.4966999999999997</c:v>
                </c:pt>
                <c:pt idx="910">
                  <c:v>5.4729000000000001</c:v>
                </c:pt>
                <c:pt idx="911">
                  <c:v>5.4729000000000001</c:v>
                </c:pt>
                <c:pt idx="912">
                  <c:v>5.4729000000000001</c:v>
                </c:pt>
                <c:pt idx="913">
                  <c:v>5.5324</c:v>
                </c:pt>
                <c:pt idx="914">
                  <c:v>5.5324</c:v>
                </c:pt>
                <c:pt idx="915">
                  <c:v>5.5621999999999998</c:v>
                </c:pt>
                <c:pt idx="916">
                  <c:v>5.5621999999999998</c:v>
                </c:pt>
                <c:pt idx="917">
                  <c:v>5.4729000000000001</c:v>
                </c:pt>
                <c:pt idx="918">
                  <c:v>5.4729000000000001</c:v>
                </c:pt>
                <c:pt idx="919">
                  <c:v>5.3540000000000001</c:v>
                </c:pt>
                <c:pt idx="920">
                  <c:v>5.3479999999999999</c:v>
                </c:pt>
                <c:pt idx="921">
                  <c:v>5.4729000000000001</c:v>
                </c:pt>
                <c:pt idx="922">
                  <c:v>5.4610000000000003</c:v>
                </c:pt>
                <c:pt idx="923">
                  <c:v>5.4015000000000004</c:v>
                </c:pt>
                <c:pt idx="924">
                  <c:v>5.5205000000000002</c:v>
                </c:pt>
                <c:pt idx="925">
                  <c:v>5.4729000000000001</c:v>
                </c:pt>
                <c:pt idx="926">
                  <c:v>5.58</c:v>
                </c:pt>
                <c:pt idx="927">
                  <c:v>5.5918999999999999</c:v>
                </c:pt>
                <c:pt idx="928">
                  <c:v>5.6513999999999998</c:v>
                </c:pt>
                <c:pt idx="929">
                  <c:v>5.6513999999999998</c:v>
                </c:pt>
                <c:pt idx="930">
                  <c:v>5.6513999999999998</c:v>
                </c:pt>
                <c:pt idx="931">
                  <c:v>6.3720999999999997</c:v>
                </c:pt>
                <c:pt idx="932">
                  <c:v>6.4451999999999998</c:v>
                </c:pt>
                <c:pt idx="933">
                  <c:v>6.4385000000000003</c:v>
                </c:pt>
                <c:pt idx="934">
                  <c:v>6.3787000000000003</c:v>
                </c:pt>
                <c:pt idx="935">
                  <c:v>6.3787000000000003</c:v>
                </c:pt>
                <c:pt idx="936">
                  <c:v>6.4185999999999996</c:v>
                </c:pt>
                <c:pt idx="937">
                  <c:v>6.4451999999999998</c:v>
                </c:pt>
                <c:pt idx="938">
                  <c:v>6.4451999999999998</c:v>
                </c:pt>
                <c:pt idx="939">
                  <c:v>6.4451999999999998</c:v>
                </c:pt>
                <c:pt idx="940">
                  <c:v>6.4119999999999999</c:v>
                </c:pt>
                <c:pt idx="941">
                  <c:v>6.4119999999999999</c:v>
                </c:pt>
                <c:pt idx="942">
                  <c:v>6.4053000000000004</c:v>
                </c:pt>
                <c:pt idx="943">
                  <c:v>6.4718</c:v>
                </c:pt>
                <c:pt idx="944">
                  <c:v>6.4451999999999998</c:v>
                </c:pt>
                <c:pt idx="945">
                  <c:v>6.5115999999999996</c:v>
                </c:pt>
                <c:pt idx="946">
                  <c:v>6.5049999999999999</c:v>
                </c:pt>
                <c:pt idx="947">
                  <c:v>6.5115999999999996</c:v>
                </c:pt>
                <c:pt idx="948">
                  <c:v>6.5781000000000001</c:v>
                </c:pt>
                <c:pt idx="949">
                  <c:v>6.5648</c:v>
                </c:pt>
                <c:pt idx="950">
                  <c:v>6.6512000000000002</c:v>
                </c:pt>
                <c:pt idx="951">
                  <c:v>6.7110000000000003</c:v>
                </c:pt>
                <c:pt idx="952">
                  <c:v>6.6444999999999999</c:v>
                </c:pt>
                <c:pt idx="953">
                  <c:v>6.6711</c:v>
                </c:pt>
                <c:pt idx="954">
                  <c:v>6.6909999999999998</c:v>
                </c:pt>
                <c:pt idx="955">
                  <c:v>6.7309000000000001</c:v>
                </c:pt>
                <c:pt idx="956">
                  <c:v>6.7442000000000002</c:v>
                </c:pt>
                <c:pt idx="957">
                  <c:v>6.7907000000000002</c:v>
                </c:pt>
                <c:pt idx="958">
                  <c:v>6.8771000000000004</c:v>
                </c:pt>
                <c:pt idx="959">
                  <c:v>6.7641</c:v>
                </c:pt>
                <c:pt idx="960">
                  <c:v>6.5781000000000001</c:v>
                </c:pt>
                <c:pt idx="961">
                  <c:v>6.5781000000000001</c:v>
                </c:pt>
                <c:pt idx="962">
                  <c:v>6.5514999999999999</c:v>
                </c:pt>
                <c:pt idx="963">
                  <c:v>6.5648</c:v>
                </c:pt>
                <c:pt idx="964">
                  <c:v>6.4584999999999999</c:v>
                </c:pt>
                <c:pt idx="965">
                  <c:v>6.4783999999999997</c:v>
                </c:pt>
                <c:pt idx="966">
                  <c:v>6.5049999999999999</c:v>
                </c:pt>
                <c:pt idx="967">
                  <c:v>6.5713999999999997</c:v>
                </c:pt>
                <c:pt idx="968">
                  <c:v>6.5115999999999996</c:v>
                </c:pt>
                <c:pt idx="969">
                  <c:v>6.4385000000000003</c:v>
                </c:pt>
                <c:pt idx="970">
                  <c:v>6.4451999999999998</c:v>
                </c:pt>
                <c:pt idx="971">
                  <c:v>6.4983000000000004</c:v>
                </c:pt>
                <c:pt idx="972">
                  <c:v>6.5115999999999996</c:v>
                </c:pt>
                <c:pt idx="973">
                  <c:v>6.5449000000000002</c:v>
                </c:pt>
                <c:pt idx="974">
                  <c:v>6.5183</c:v>
                </c:pt>
                <c:pt idx="975">
                  <c:v>6.5781000000000001</c:v>
                </c:pt>
                <c:pt idx="976">
                  <c:v>6.5781000000000001</c:v>
                </c:pt>
                <c:pt idx="977">
                  <c:v>6.5781000000000001</c:v>
                </c:pt>
                <c:pt idx="978">
                  <c:v>6.5713999999999997</c:v>
                </c:pt>
                <c:pt idx="979">
                  <c:v>6.5648</c:v>
                </c:pt>
                <c:pt idx="980">
                  <c:v>6.5115999999999996</c:v>
                </c:pt>
                <c:pt idx="981">
                  <c:v>6.5115999999999996</c:v>
                </c:pt>
                <c:pt idx="982">
                  <c:v>6.5781000000000001</c:v>
                </c:pt>
                <c:pt idx="983">
                  <c:v>6.5781000000000001</c:v>
                </c:pt>
                <c:pt idx="984">
                  <c:v>6.5846999999999998</c:v>
                </c:pt>
                <c:pt idx="985">
                  <c:v>6.5781000000000001</c:v>
                </c:pt>
                <c:pt idx="986">
                  <c:v>6.6379000000000001</c:v>
                </c:pt>
                <c:pt idx="987">
                  <c:v>6.5781000000000001</c:v>
                </c:pt>
                <c:pt idx="988">
                  <c:v>6.5846999999999998</c:v>
                </c:pt>
                <c:pt idx="989">
                  <c:v>6.5381999999999998</c:v>
                </c:pt>
                <c:pt idx="990">
                  <c:v>6.5115999999999996</c:v>
                </c:pt>
                <c:pt idx="991">
                  <c:v>6.5115999999999996</c:v>
                </c:pt>
                <c:pt idx="992">
                  <c:v>6.5183</c:v>
                </c:pt>
                <c:pt idx="993">
                  <c:v>6.9494999999999996</c:v>
                </c:pt>
                <c:pt idx="994">
                  <c:v>6.9424000000000001</c:v>
                </c:pt>
                <c:pt idx="995">
                  <c:v>6.8792999999999997</c:v>
                </c:pt>
                <c:pt idx="996">
                  <c:v>6.8863000000000003</c:v>
                </c:pt>
                <c:pt idx="997">
                  <c:v>6.9775</c:v>
                </c:pt>
                <c:pt idx="998">
                  <c:v>7.0197000000000003</c:v>
                </c:pt>
                <c:pt idx="999">
                  <c:v>7.0197000000000003</c:v>
                </c:pt>
                <c:pt idx="1000">
                  <c:v>7.1529999999999996</c:v>
                </c:pt>
                <c:pt idx="1001">
                  <c:v>7.16</c:v>
                </c:pt>
                <c:pt idx="1002">
                  <c:v>7.2302</c:v>
                </c:pt>
                <c:pt idx="1003">
                  <c:v>7.2652999999999999</c:v>
                </c:pt>
                <c:pt idx="1004">
                  <c:v>7.1951000000000001</c:v>
                </c:pt>
                <c:pt idx="1005">
                  <c:v>7.1810999999999998</c:v>
                </c:pt>
                <c:pt idx="1006">
                  <c:v>7.2022000000000004</c:v>
                </c:pt>
                <c:pt idx="1007">
                  <c:v>7.2793999999999999</c:v>
                </c:pt>
                <c:pt idx="1008">
                  <c:v>7.4408000000000003</c:v>
                </c:pt>
                <c:pt idx="1009">
                  <c:v>7.4759000000000002</c:v>
                </c:pt>
                <c:pt idx="1010">
                  <c:v>7.5110000000000001</c:v>
                </c:pt>
                <c:pt idx="1011">
                  <c:v>7.5530999999999997</c:v>
                </c:pt>
                <c:pt idx="1012">
                  <c:v>7.5602</c:v>
                </c:pt>
                <c:pt idx="1013">
                  <c:v>7.5811999999999999</c:v>
                </c:pt>
                <c:pt idx="1014">
                  <c:v>7.5110000000000001</c:v>
                </c:pt>
                <c:pt idx="1015">
                  <c:v>7.5110000000000001</c:v>
                </c:pt>
                <c:pt idx="1016">
                  <c:v>7.4408000000000003</c:v>
                </c:pt>
                <c:pt idx="1017">
                  <c:v>7.4408000000000003</c:v>
                </c:pt>
                <c:pt idx="1018">
                  <c:v>7.4268000000000001</c:v>
                </c:pt>
                <c:pt idx="1019">
                  <c:v>7.5110000000000001</c:v>
                </c:pt>
                <c:pt idx="1020">
                  <c:v>7.4478999999999997</c:v>
                </c:pt>
                <c:pt idx="1021">
                  <c:v>7.3776999999999999</c:v>
                </c:pt>
                <c:pt idx="1022">
                  <c:v>7.4408000000000003</c:v>
                </c:pt>
                <c:pt idx="1023">
                  <c:v>7.4408000000000003</c:v>
                </c:pt>
                <c:pt idx="1024">
                  <c:v>7.6584000000000003</c:v>
                </c:pt>
                <c:pt idx="1025">
                  <c:v>7.5742000000000003</c:v>
                </c:pt>
                <c:pt idx="1026">
                  <c:v>7.3776999999999999</c:v>
                </c:pt>
                <c:pt idx="1027">
                  <c:v>7.5110000000000001</c:v>
                </c:pt>
                <c:pt idx="1028">
                  <c:v>7.3003999999999998</c:v>
                </c:pt>
                <c:pt idx="1029">
                  <c:v>7.3846999999999996</c:v>
                </c:pt>
                <c:pt idx="1030">
                  <c:v>7.3635999999999999</c:v>
                </c:pt>
                <c:pt idx="1031">
                  <c:v>7.4759000000000002</c:v>
                </c:pt>
                <c:pt idx="1032">
                  <c:v>7.7076000000000002</c:v>
                </c:pt>
                <c:pt idx="1033">
                  <c:v>7.7918000000000003</c:v>
                </c:pt>
                <c:pt idx="1034">
                  <c:v>7.9391999999999996</c:v>
                </c:pt>
                <c:pt idx="1035">
                  <c:v>7.6795</c:v>
                </c:pt>
                <c:pt idx="1036">
                  <c:v>7.6513999999999998</c:v>
                </c:pt>
                <c:pt idx="1037">
                  <c:v>7.2934000000000001</c:v>
                </c:pt>
                <c:pt idx="1038">
                  <c:v>7.1178999999999997</c:v>
                </c:pt>
                <c:pt idx="1039">
                  <c:v>7.0476999999999999</c:v>
                </c:pt>
                <c:pt idx="1040">
                  <c:v>7.1109</c:v>
                </c:pt>
                <c:pt idx="1041">
                  <c:v>6.9143999999999997</c:v>
                </c:pt>
                <c:pt idx="1042">
                  <c:v>6.8160999999999996</c:v>
                </c:pt>
                <c:pt idx="1043">
                  <c:v>6.6124999999999998</c:v>
                </c:pt>
                <c:pt idx="1044">
                  <c:v>6.5914999999999999</c:v>
                </c:pt>
                <c:pt idx="1045">
                  <c:v>6.6265999999999998</c:v>
                </c:pt>
                <c:pt idx="1046">
                  <c:v>6.5423</c:v>
                </c:pt>
                <c:pt idx="1047">
                  <c:v>6.6406000000000001</c:v>
                </c:pt>
                <c:pt idx="1048">
                  <c:v>6.7038000000000002</c:v>
                </c:pt>
                <c:pt idx="1049">
                  <c:v>6.8019999999999996</c:v>
                </c:pt>
                <c:pt idx="1050">
                  <c:v>6.7107999999999999</c:v>
                </c:pt>
                <c:pt idx="1051">
                  <c:v>6.6475999999999997</c:v>
                </c:pt>
                <c:pt idx="1052">
                  <c:v>6.6195000000000004</c:v>
                </c:pt>
                <c:pt idx="1053">
                  <c:v>6.5282999999999998</c:v>
                </c:pt>
                <c:pt idx="1054">
                  <c:v>6.4511000000000003</c:v>
                </c:pt>
                <c:pt idx="1055">
                  <c:v>6.2777000000000003</c:v>
                </c:pt>
                <c:pt idx="1056">
                  <c:v>6.2435999999999998</c:v>
                </c:pt>
                <c:pt idx="1057">
                  <c:v>6.2367999999999997</c:v>
                </c:pt>
                <c:pt idx="1058">
                  <c:v>6.2777000000000003</c:v>
                </c:pt>
                <c:pt idx="1059">
                  <c:v>6.3186999999999998</c:v>
                </c:pt>
                <c:pt idx="1060">
                  <c:v>6.3800999999999997</c:v>
                </c:pt>
                <c:pt idx="1061">
                  <c:v>6.3868999999999998</c:v>
                </c:pt>
                <c:pt idx="1062">
                  <c:v>6.4142000000000001</c:v>
                </c:pt>
                <c:pt idx="1063">
                  <c:v>6.3800999999999997</c:v>
                </c:pt>
                <c:pt idx="1064">
                  <c:v>6.3528000000000002</c:v>
                </c:pt>
                <c:pt idx="1065">
                  <c:v>6.3663999999999996</c:v>
                </c:pt>
                <c:pt idx="1066">
                  <c:v>6.4619999999999997</c:v>
                </c:pt>
                <c:pt idx="1067">
                  <c:v>6.4005999999999998</c:v>
                </c:pt>
                <c:pt idx="1068">
                  <c:v>6.2914000000000003</c:v>
                </c:pt>
                <c:pt idx="1069">
                  <c:v>6.2435999999999998</c:v>
                </c:pt>
                <c:pt idx="1070">
                  <c:v>6.1413000000000002</c:v>
                </c:pt>
                <c:pt idx="1071">
                  <c:v>6.1413000000000002</c:v>
                </c:pt>
                <c:pt idx="1072">
                  <c:v>6.2095000000000002</c:v>
                </c:pt>
                <c:pt idx="1073">
                  <c:v>6.2504</c:v>
                </c:pt>
                <c:pt idx="1074">
                  <c:v>6.3049999999999997</c:v>
                </c:pt>
                <c:pt idx="1075">
                  <c:v>6.2846000000000002</c:v>
                </c:pt>
                <c:pt idx="1076">
                  <c:v>6.2709000000000001</c:v>
                </c:pt>
                <c:pt idx="1077">
                  <c:v>6.1753999999999998</c:v>
                </c:pt>
                <c:pt idx="1078">
                  <c:v>6.1481000000000003</c:v>
                </c:pt>
                <c:pt idx="1079">
                  <c:v>6.1753999999999998</c:v>
                </c:pt>
                <c:pt idx="1080">
                  <c:v>6.1413000000000002</c:v>
                </c:pt>
                <c:pt idx="1081">
                  <c:v>6.1413000000000002</c:v>
                </c:pt>
                <c:pt idx="1082">
                  <c:v>6.0730000000000004</c:v>
                </c:pt>
                <c:pt idx="1083">
                  <c:v>6.0662000000000003</c:v>
                </c:pt>
                <c:pt idx="1084">
                  <c:v>6.1071</c:v>
                </c:pt>
                <c:pt idx="1085">
                  <c:v>6.1344000000000003</c:v>
                </c:pt>
                <c:pt idx="1086">
                  <c:v>6.1413000000000002</c:v>
                </c:pt>
                <c:pt idx="1087">
                  <c:v>6.1413000000000002</c:v>
                </c:pt>
                <c:pt idx="1088">
                  <c:v>6.1413000000000002</c:v>
                </c:pt>
                <c:pt idx="1089">
                  <c:v>6.1959</c:v>
                </c:pt>
                <c:pt idx="1090">
                  <c:v>6.2435999999999998</c:v>
                </c:pt>
                <c:pt idx="1091">
                  <c:v>6.2709000000000001</c:v>
                </c:pt>
                <c:pt idx="1092">
                  <c:v>6.3186999999999998</c:v>
                </c:pt>
                <c:pt idx="1093">
                  <c:v>6.2504</c:v>
                </c:pt>
                <c:pt idx="1094">
                  <c:v>6.2777000000000003</c:v>
                </c:pt>
                <c:pt idx="1095">
                  <c:v>6.2367999999999997</c:v>
                </c:pt>
                <c:pt idx="1096">
                  <c:v>6.2709000000000001</c:v>
                </c:pt>
                <c:pt idx="1097">
                  <c:v>6.3391999999999999</c:v>
                </c:pt>
                <c:pt idx="1098">
                  <c:v>6.3460000000000001</c:v>
                </c:pt>
                <c:pt idx="1099">
                  <c:v>6.3323</c:v>
                </c:pt>
                <c:pt idx="1100">
                  <c:v>6.5438999999999998</c:v>
                </c:pt>
                <c:pt idx="1101">
                  <c:v>6.6189</c:v>
                </c:pt>
                <c:pt idx="1102">
                  <c:v>6.6189</c:v>
                </c:pt>
                <c:pt idx="1103">
                  <c:v>6.6666999999999996</c:v>
                </c:pt>
                <c:pt idx="1104">
                  <c:v>6.6871999999999998</c:v>
                </c:pt>
                <c:pt idx="1105">
                  <c:v>6.7145000000000001</c:v>
                </c:pt>
                <c:pt idx="1106">
                  <c:v>6.7485999999999997</c:v>
                </c:pt>
                <c:pt idx="1107">
                  <c:v>6.81</c:v>
                </c:pt>
                <c:pt idx="1108">
                  <c:v>6.8235999999999999</c:v>
                </c:pt>
                <c:pt idx="1109">
                  <c:v>6.8235999999999999</c:v>
                </c:pt>
                <c:pt idx="1110">
                  <c:v>6.8235999999999999</c:v>
                </c:pt>
                <c:pt idx="1111">
                  <c:v>6.7962999999999996</c:v>
                </c:pt>
                <c:pt idx="1112">
                  <c:v>6.81</c:v>
                </c:pt>
                <c:pt idx="1113">
                  <c:v>6.7348999999999997</c:v>
                </c:pt>
                <c:pt idx="1114">
                  <c:v>6.2098000000000004</c:v>
                </c:pt>
                <c:pt idx="1115">
                  <c:v>6.2098000000000004</c:v>
                </c:pt>
                <c:pt idx="1116">
                  <c:v>6.2412999999999998</c:v>
                </c:pt>
                <c:pt idx="1117">
                  <c:v>6.2035</c:v>
                </c:pt>
                <c:pt idx="1118">
                  <c:v>6.2224000000000004</c:v>
                </c:pt>
                <c:pt idx="1119">
                  <c:v>6.2098000000000004</c:v>
                </c:pt>
                <c:pt idx="1120">
                  <c:v>6.2412999999999998</c:v>
                </c:pt>
                <c:pt idx="1121">
                  <c:v>6.3044000000000002</c:v>
                </c:pt>
                <c:pt idx="1122">
                  <c:v>6.2412999999999998</c:v>
                </c:pt>
                <c:pt idx="1123">
                  <c:v>6.2412999999999998</c:v>
                </c:pt>
                <c:pt idx="1124">
                  <c:v>6.1151999999999997</c:v>
                </c:pt>
                <c:pt idx="1125">
                  <c:v>6.3044000000000002</c:v>
                </c:pt>
                <c:pt idx="1126">
                  <c:v>6.3422000000000001</c:v>
                </c:pt>
                <c:pt idx="1127">
                  <c:v>6.4303999999999997</c:v>
                </c:pt>
                <c:pt idx="1128">
                  <c:v>6.5438999999999998</c:v>
                </c:pt>
                <c:pt idx="1129">
                  <c:v>6.4935</c:v>
                </c:pt>
                <c:pt idx="1130">
                  <c:v>6.4935</c:v>
                </c:pt>
                <c:pt idx="1131">
                  <c:v>6.4935</c:v>
                </c:pt>
                <c:pt idx="1132">
                  <c:v>6.6448</c:v>
                </c:pt>
                <c:pt idx="1133">
                  <c:v>6.7393999999999998</c:v>
                </c:pt>
                <c:pt idx="1134">
                  <c:v>6.8023999999999996</c:v>
                </c:pt>
                <c:pt idx="1135">
                  <c:v>6.6825999999999999</c:v>
                </c:pt>
                <c:pt idx="1136">
                  <c:v>6.7519999999999998</c:v>
                </c:pt>
                <c:pt idx="1137">
                  <c:v>6.7267999999999999</c:v>
                </c:pt>
                <c:pt idx="1138">
                  <c:v>6.8150000000000004</c:v>
                </c:pt>
                <c:pt idx="1139">
                  <c:v>6.9032999999999998</c:v>
                </c:pt>
                <c:pt idx="1140">
                  <c:v>6.9222000000000001</c:v>
                </c:pt>
                <c:pt idx="1141">
                  <c:v>6.9977999999999998</c:v>
                </c:pt>
                <c:pt idx="1142">
                  <c:v>6.9977999999999998</c:v>
                </c:pt>
                <c:pt idx="1143">
                  <c:v>7.0041000000000002</c:v>
                </c:pt>
                <c:pt idx="1144">
                  <c:v>7.0231000000000003</c:v>
                </c:pt>
                <c:pt idx="1145">
                  <c:v>7.0231000000000003</c:v>
                </c:pt>
                <c:pt idx="1146">
                  <c:v>7.0483000000000002</c:v>
                </c:pt>
                <c:pt idx="1147">
                  <c:v>7.0797999999999996</c:v>
                </c:pt>
                <c:pt idx="1148">
                  <c:v>7.1870000000000003</c:v>
                </c:pt>
                <c:pt idx="1149">
                  <c:v>7.1870000000000003</c:v>
                </c:pt>
                <c:pt idx="1150">
                  <c:v>7.1870000000000003</c:v>
                </c:pt>
                <c:pt idx="1151">
                  <c:v>7.1870000000000003</c:v>
                </c:pt>
                <c:pt idx="1152">
                  <c:v>7.1996000000000002</c:v>
                </c:pt>
                <c:pt idx="1153">
                  <c:v>7.1932999999999998</c:v>
                </c:pt>
                <c:pt idx="1154">
                  <c:v>7.1555</c:v>
                </c:pt>
                <c:pt idx="1155">
                  <c:v>7.1238999999999999</c:v>
                </c:pt>
                <c:pt idx="1156">
                  <c:v>7.1302000000000003</c:v>
                </c:pt>
                <c:pt idx="1157">
                  <c:v>7.1744000000000003</c:v>
                </c:pt>
                <c:pt idx="1158">
                  <c:v>7.1870000000000003</c:v>
                </c:pt>
                <c:pt idx="1159">
                  <c:v>7.2184999999999997</c:v>
                </c:pt>
                <c:pt idx="1160">
                  <c:v>7.2374000000000001</c:v>
                </c:pt>
                <c:pt idx="1161">
                  <c:v>7.25</c:v>
                </c:pt>
                <c:pt idx="1162">
                  <c:v>7.1996000000000002</c:v>
                </c:pt>
                <c:pt idx="1163">
                  <c:v>7.1870000000000003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7-4690-92ED-C62B66349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647952"/>
        <c:axId val="134628400"/>
      </c:areaChart>
      <c:dateAx>
        <c:axId val="3816479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28400"/>
        <c:crosses val="autoZero"/>
        <c:auto val="1"/>
        <c:lblOffset val="100"/>
        <c:baseTimeUnit val="days"/>
      </c:dateAx>
      <c:valAx>
        <c:axId val="13462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64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COMB</a:t>
            </a:r>
            <a:r>
              <a:rPr lang="en-US" sz="900" b="1" baseline="0"/>
              <a:t>.N - Historical Price to Book ratio</a:t>
            </a:r>
            <a:endParaRPr lang="en-US" sz="9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'COMB N'!$W$6:$W$1169</c:f>
              <c:numCache>
                <c:formatCode>m/d/yyyy</c:formatCode>
                <c:ptCount val="1164"/>
                <c:pt idx="0">
                  <c:v>45302</c:v>
                </c:pt>
                <c:pt idx="1">
                  <c:v>45301</c:v>
                </c:pt>
                <c:pt idx="2">
                  <c:v>45300</c:v>
                </c:pt>
                <c:pt idx="3">
                  <c:v>45299</c:v>
                </c:pt>
                <c:pt idx="4">
                  <c:v>45296</c:v>
                </c:pt>
                <c:pt idx="5">
                  <c:v>45295</c:v>
                </c:pt>
                <c:pt idx="6">
                  <c:v>45294</c:v>
                </c:pt>
                <c:pt idx="7">
                  <c:v>45293</c:v>
                </c:pt>
                <c:pt idx="8">
                  <c:v>45289</c:v>
                </c:pt>
                <c:pt idx="9">
                  <c:v>45288</c:v>
                </c:pt>
                <c:pt idx="10">
                  <c:v>45287</c:v>
                </c:pt>
                <c:pt idx="11">
                  <c:v>45282</c:v>
                </c:pt>
                <c:pt idx="12">
                  <c:v>45281</c:v>
                </c:pt>
                <c:pt idx="13">
                  <c:v>45280</c:v>
                </c:pt>
                <c:pt idx="14">
                  <c:v>45279</c:v>
                </c:pt>
                <c:pt idx="15">
                  <c:v>45278</c:v>
                </c:pt>
                <c:pt idx="16">
                  <c:v>45275</c:v>
                </c:pt>
                <c:pt idx="17">
                  <c:v>45274</c:v>
                </c:pt>
                <c:pt idx="18">
                  <c:v>45273</c:v>
                </c:pt>
                <c:pt idx="19">
                  <c:v>45272</c:v>
                </c:pt>
                <c:pt idx="20">
                  <c:v>45271</c:v>
                </c:pt>
                <c:pt idx="21">
                  <c:v>45268</c:v>
                </c:pt>
                <c:pt idx="22">
                  <c:v>45267</c:v>
                </c:pt>
                <c:pt idx="23">
                  <c:v>45266</c:v>
                </c:pt>
                <c:pt idx="24">
                  <c:v>45265</c:v>
                </c:pt>
                <c:pt idx="25">
                  <c:v>45264</c:v>
                </c:pt>
                <c:pt idx="26">
                  <c:v>45261</c:v>
                </c:pt>
                <c:pt idx="27">
                  <c:v>45260</c:v>
                </c:pt>
                <c:pt idx="28">
                  <c:v>45259</c:v>
                </c:pt>
                <c:pt idx="29">
                  <c:v>45258</c:v>
                </c:pt>
                <c:pt idx="30">
                  <c:v>45257</c:v>
                </c:pt>
                <c:pt idx="31">
                  <c:v>45254</c:v>
                </c:pt>
                <c:pt idx="32">
                  <c:v>45253</c:v>
                </c:pt>
                <c:pt idx="33">
                  <c:v>45252</c:v>
                </c:pt>
                <c:pt idx="34">
                  <c:v>45251</c:v>
                </c:pt>
                <c:pt idx="35">
                  <c:v>45250</c:v>
                </c:pt>
                <c:pt idx="36">
                  <c:v>45247</c:v>
                </c:pt>
                <c:pt idx="37">
                  <c:v>45246</c:v>
                </c:pt>
                <c:pt idx="38">
                  <c:v>45245</c:v>
                </c:pt>
                <c:pt idx="39">
                  <c:v>45244</c:v>
                </c:pt>
                <c:pt idx="40">
                  <c:v>45243</c:v>
                </c:pt>
                <c:pt idx="41">
                  <c:v>45240</c:v>
                </c:pt>
                <c:pt idx="42">
                  <c:v>45239</c:v>
                </c:pt>
                <c:pt idx="43">
                  <c:v>45238</c:v>
                </c:pt>
                <c:pt idx="44">
                  <c:v>45237</c:v>
                </c:pt>
                <c:pt idx="45">
                  <c:v>45236</c:v>
                </c:pt>
                <c:pt idx="46">
                  <c:v>45233</c:v>
                </c:pt>
                <c:pt idx="47">
                  <c:v>45232</c:v>
                </c:pt>
                <c:pt idx="48">
                  <c:v>45231</c:v>
                </c:pt>
                <c:pt idx="49">
                  <c:v>45230</c:v>
                </c:pt>
                <c:pt idx="50">
                  <c:v>45229</c:v>
                </c:pt>
                <c:pt idx="51">
                  <c:v>45226</c:v>
                </c:pt>
                <c:pt idx="52">
                  <c:v>45225</c:v>
                </c:pt>
                <c:pt idx="53">
                  <c:v>45224</c:v>
                </c:pt>
                <c:pt idx="54">
                  <c:v>45223</c:v>
                </c:pt>
                <c:pt idx="55">
                  <c:v>45222</c:v>
                </c:pt>
                <c:pt idx="56">
                  <c:v>45219</c:v>
                </c:pt>
                <c:pt idx="57">
                  <c:v>45218</c:v>
                </c:pt>
                <c:pt idx="58">
                  <c:v>45217</c:v>
                </c:pt>
                <c:pt idx="59">
                  <c:v>45216</c:v>
                </c:pt>
                <c:pt idx="60">
                  <c:v>45215</c:v>
                </c:pt>
                <c:pt idx="61">
                  <c:v>45212</c:v>
                </c:pt>
                <c:pt idx="62">
                  <c:v>45211</c:v>
                </c:pt>
                <c:pt idx="63">
                  <c:v>45210</c:v>
                </c:pt>
                <c:pt idx="64">
                  <c:v>45209</c:v>
                </c:pt>
                <c:pt idx="65">
                  <c:v>45208</c:v>
                </c:pt>
                <c:pt idx="66">
                  <c:v>45205</c:v>
                </c:pt>
                <c:pt idx="67">
                  <c:v>45204</c:v>
                </c:pt>
                <c:pt idx="68">
                  <c:v>45203</c:v>
                </c:pt>
                <c:pt idx="69">
                  <c:v>45202</c:v>
                </c:pt>
                <c:pt idx="70">
                  <c:v>45201</c:v>
                </c:pt>
                <c:pt idx="71">
                  <c:v>45196</c:v>
                </c:pt>
                <c:pt idx="72">
                  <c:v>45195</c:v>
                </c:pt>
                <c:pt idx="73">
                  <c:v>45194</c:v>
                </c:pt>
                <c:pt idx="74">
                  <c:v>45191</c:v>
                </c:pt>
                <c:pt idx="75">
                  <c:v>45190</c:v>
                </c:pt>
                <c:pt idx="76">
                  <c:v>45189</c:v>
                </c:pt>
                <c:pt idx="77">
                  <c:v>45188</c:v>
                </c:pt>
                <c:pt idx="78">
                  <c:v>45187</c:v>
                </c:pt>
                <c:pt idx="79">
                  <c:v>45184</c:v>
                </c:pt>
                <c:pt idx="80">
                  <c:v>45183</c:v>
                </c:pt>
                <c:pt idx="81">
                  <c:v>45182</c:v>
                </c:pt>
                <c:pt idx="82">
                  <c:v>45181</c:v>
                </c:pt>
                <c:pt idx="83">
                  <c:v>45180</c:v>
                </c:pt>
                <c:pt idx="84">
                  <c:v>45177</c:v>
                </c:pt>
                <c:pt idx="85">
                  <c:v>45176</c:v>
                </c:pt>
                <c:pt idx="86">
                  <c:v>45175</c:v>
                </c:pt>
                <c:pt idx="87">
                  <c:v>45174</c:v>
                </c:pt>
                <c:pt idx="88">
                  <c:v>45173</c:v>
                </c:pt>
                <c:pt idx="89">
                  <c:v>45170</c:v>
                </c:pt>
                <c:pt idx="90">
                  <c:v>45169</c:v>
                </c:pt>
                <c:pt idx="91">
                  <c:v>45167</c:v>
                </c:pt>
                <c:pt idx="92">
                  <c:v>45166</c:v>
                </c:pt>
                <c:pt idx="93">
                  <c:v>45163</c:v>
                </c:pt>
                <c:pt idx="94">
                  <c:v>45162</c:v>
                </c:pt>
                <c:pt idx="95">
                  <c:v>45161</c:v>
                </c:pt>
                <c:pt idx="96">
                  <c:v>45160</c:v>
                </c:pt>
                <c:pt idx="97">
                  <c:v>45159</c:v>
                </c:pt>
                <c:pt idx="98">
                  <c:v>45156</c:v>
                </c:pt>
                <c:pt idx="99">
                  <c:v>45155</c:v>
                </c:pt>
                <c:pt idx="100">
                  <c:v>45154</c:v>
                </c:pt>
                <c:pt idx="101">
                  <c:v>45153</c:v>
                </c:pt>
                <c:pt idx="102">
                  <c:v>45152</c:v>
                </c:pt>
                <c:pt idx="103">
                  <c:v>45149</c:v>
                </c:pt>
                <c:pt idx="104">
                  <c:v>45148</c:v>
                </c:pt>
                <c:pt idx="105">
                  <c:v>45147</c:v>
                </c:pt>
                <c:pt idx="106">
                  <c:v>45146</c:v>
                </c:pt>
                <c:pt idx="107">
                  <c:v>45145</c:v>
                </c:pt>
                <c:pt idx="108">
                  <c:v>45142</c:v>
                </c:pt>
                <c:pt idx="109">
                  <c:v>45141</c:v>
                </c:pt>
                <c:pt idx="110">
                  <c:v>45140</c:v>
                </c:pt>
                <c:pt idx="111">
                  <c:v>45138</c:v>
                </c:pt>
                <c:pt idx="112">
                  <c:v>45135</c:v>
                </c:pt>
                <c:pt idx="113">
                  <c:v>45134</c:v>
                </c:pt>
                <c:pt idx="114">
                  <c:v>45133</c:v>
                </c:pt>
                <c:pt idx="115">
                  <c:v>45132</c:v>
                </c:pt>
                <c:pt idx="116">
                  <c:v>45131</c:v>
                </c:pt>
                <c:pt idx="117">
                  <c:v>45128</c:v>
                </c:pt>
                <c:pt idx="118">
                  <c:v>45127</c:v>
                </c:pt>
                <c:pt idx="119">
                  <c:v>45126</c:v>
                </c:pt>
                <c:pt idx="120">
                  <c:v>45125</c:v>
                </c:pt>
                <c:pt idx="121">
                  <c:v>45124</c:v>
                </c:pt>
                <c:pt idx="122">
                  <c:v>45121</c:v>
                </c:pt>
                <c:pt idx="123">
                  <c:v>45120</c:v>
                </c:pt>
                <c:pt idx="124">
                  <c:v>45119</c:v>
                </c:pt>
                <c:pt idx="125">
                  <c:v>45118</c:v>
                </c:pt>
                <c:pt idx="126">
                  <c:v>45117</c:v>
                </c:pt>
                <c:pt idx="127">
                  <c:v>45114</c:v>
                </c:pt>
                <c:pt idx="128">
                  <c:v>45113</c:v>
                </c:pt>
                <c:pt idx="129">
                  <c:v>45112</c:v>
                </c:pt>
                <c:pt idx="130">
                  <c:v>45111</c:v>
                </c:pt>
                <c:pt idx="131">
                  <c:v>45105</c:v>
                </c:pt>
                <c:pt idx="132">
                  <c:v>45104</c:v>
                </c:pt>
                <c:pt idx="133">
                  <c:v>45103</c:v>
                </c:pt>
                <c:pt idx="134">
                  <c:v>45100</c:v>
                </c:pt>
                <c:pt idx="135">
                  <c:v>45099</c:v>
                </c:pt>
                <c:pt idx="136">
                  <c:v>45098</c:v>
                </c:pt>
                <c:pt idx="137">
                  <c:v>45097</c:v>
                </c:pt>
                <c:pt idx="138">
                  <c:v>45096</c:v>
                </c:pt>
                <c:pt idx="139">
                  <c:v>45093</c:v>
                </c:pt>
                <c:pt idx="140">
                  <c:v>45092</c:v>
                </c:pt>
                <c:pt idx="141">
                  <c:v>45091</c:v>
                </c:pt>
                <c:pt idx="142">
                  <c:v>45090</c:v>
                </c:pt>
                <c:pt idx="143">
                  <c:v>45089</c:v>
                </c:pt>
                <c:pt idx="144">
                  <c:v>45086</c:v>
                </c:pt>
                <c:pt idx="145">
                  <c:v>45085</c:v>
                </c:pt>
                <c:pt idx="146">
                  <c:v>45084</c:v>
                </c:pt>
                <c:pt idx="147">
                  <c:v>45083</c:v>
                </c:pt>
                <c:pt idx="148">
                  <c:v>45082</c:v>
                </c:pt>
                <c:pt idx="149">
                  <c:v>45079</c:v>
                </c:pt>
                <c:pt idx="150">
                  <c:v>45078</c:v>
                </c:pt>
                <c:pt idx="151">
                  <c:v>45077</c:v>
                </c:pt>
                <c:pt idx="152">
                  <c:v>45076</c:v>
                </c:pt>
                <c:pt idx="153">
                  <c:v>45075</c:v>
                </c:pt>
                <c:pt idx="154">
                  <c:v>45072</c:v>
                </c:pt>
                <c:pt idx="155">
                  <c:v>45071</c:v>
                </c:pt>
                <c:pt idx="156">
                  <c:v>45070</c:v>
                </c:pt>
                <c:pt idx="157">
                  <c:v>45069</c:v>
                </c:pt>
                <c:pt idx="158">
                  <c:v>45068</c:v>
                </c:pt>
                <c:pt idx="159">
                  <c:v>45065</c:v>
                </c:pt>
                <c:pt idx="160">
                  <c:v>45064</c:v>
                </c:pt>
                <c:pt idx="161">
                  <c:v>45063</c:v>
                </c:pt>
                <c:pt idx="162">
                  <c:v>45062</c:v>
                </c:pt>
                <c:pt idx="163">
                  <c:v>45061</c:v>
                </c:pt>
                <c:pt idx="164">
                  <c:v>45058</c:v>
                </c:pt>
                <c:pt idx="165">
                  <c:v>45057</c:v>
                </c:pt>
                <c:pt idx="166">
                  <c:v>45056</c:v>
                </c:pt>
                <c:pt idx="167">
                  <c:v>45055</c:v>
                </c:pt>
                <c:pt idx="168">
                  <c:v>45054</c:v>
                </c:pt>
                <c:pt idx="169">
                  <c:v>45050</c:v>
                </c:pt>
                <c:pt idx="170">
                  <c:v>45049</c:v>
                </c:pt>
                <c:pt idx="171">
                  <c:v>45048</c:v>
                </c:pt>
                <c:pt idx="172">
                  <c:v>45044</c:v>
                </c:pt>
                <c:pt idx="173">
                  <c:v>45043</c:v>
                </c:pt>
                <c:pt idx="174">
                  <c:v>45042</c:v>
                </c:pt>
                <c:pt idx="175">
                  <c:v>45041</c:v>
                </c:pt>
                <c:pt idx="176">
                  <c:v>45040</c:v>
                </c:pt>
                <c:pt idx="177">
                  <c:v>45037</c:v>
                </c:pt>
                <c:pt idx="178">
                  <c:v>45036</c:v>
                </c:pt>
                <c:pt idx="179">
                  <c:v>45035</c:v>
                </c:pt>
                <c:pt idx="180">
                  <c:v>45034</c:v>
                </c:pt>
                <c:pt idx="181">
                  <c:v>45033</c:v>
                </c:pt>
                <c:pt idx="182">
                  <c:v>45028</c:v>
                </c:pt>
                <c:pt idx="183">
                  <c:v>45027</c:v>
                </c:pt>
                <c:pt idx="184">
                  <c:v>45026</c:v>
                </c:pt>
                <c:pt idx="185">
                  <c:v>45022</c:v>
                </c:pt>
                <c:pt idx="186">
                  <c:v>45020</c:v>
                </c:pt>
                <c:pt idx="187">
                  <c:v>45019</c:v>
                </c:pt>
                <c:pt idx="188">
                  <c:v>45016</c:v>
                </c:pt>
                <c:pt idx="189">
                  <c:v>45015</c:v>
                </c:pt>
                <c:pt idx="190">
                  <c:v>45014</c:v>
                </c:pt>
                <c:pt idx="191">
                  <c:v>45013</c:v>
                </c:pt>
                <c:pt idx="192">
                  <c:v>45012</c:v>
                </c:pt>
                <c:pt idx="193">
                  <c:v>45009</c:v>
                </c:pt>
                <c:pt idx="194">
                  <c:v>45008</c:v>
                </c:pt>
                <c:pt idx="195">
                  <c:v>45007</c:v>
                </c:pt>
                <c:pt idx="196">
                  <c:v>45006</c:v>
                </c:pt>
                <c:pt idx="197">
                  <c:v>45005</c:v>
                </c:pt>
                <c:pt idx="198">
                  <c:v>45002</c:v>
                </c:pt>
                <c:pt idx="199">
                  <c:v>45001</c:v>
                </c:pt>
                <c:pt idx="200">
                  <c:v>45000</c:v>
                </c:pt>
                <c:pt idx="201">
                  <c:v>44999</c:v>
                </c:pt>
                <c:pt idx="202">
                  <c:v>44998</c:v>
                </c:pt>
                <c:pt idx="203">
                  <c:v>44995</c:v>
                </c:pt>
                <c:pt idx="204">
                  <c:v>44994</c:v>
                </c:pt>
                <c:pt idx="205">
                  <c:v>44993</c:v>
                </c:pt>
                <c:pt idx="206">
                  <c:v>44992</c:v>
                </c:pt>
                <c:pt idx="207">
                  <c:v>44988</c:v>
                </c:pt>
                <c:pt idx="208">
                  <c:v>44987</c:v>
                </c:pt>
                <c:pt idx="209">
                  <c:v>44986</c:v>
                </c:pt>
                <c:pt idx="210">
                  <c:v>44985</c:v>
                </c:pt>
                <c:pt idx="211">
                  <c:v>44984</c:v>
                </c:pt>
                <c:pt idx="212">
                  <c:v>44981</c:v>
                </c:pt>
                <c:pt idx="213">
                  <c:v>44980</c:v>
                </c:pt>
                <c:pt idx="214">
                  <c:v>44979</c:v>
                </c:pt>
                <c:pt idx="215">
                  <c:v>44978</c:v>
                </c:pt>
                <c:pt idx="216">
                  <c:v>44977</c:v>
                </c:pt>
                <c:pt idx="217">
                  <c:v>44974</c:v>
                </c:pt>
                <c:pt idx="218">
                  <c:v>44973</c:v>
                </c:pt>
                <c:pt idx="219">
                  <c:v>44972</c:v>
                </c:pt>
                <c:pt idx="220">
                  <c:v>44971</c:v>
                </c:pt>
                <c:pt idx="221">
                  <c:v>44970</c:v>
                </c:pt>
                <c:pt idx="222">
                  <c:v>44967</c:v>
                </c:pt>
                <c:pt idx="223">
                  <c:v>44966</c:v>
                </c:pt>
                <c:pt idx="224">
                  <c:v>44965</c:v>
                </c:pt>
                <c:pt idx="225">
                  <c:v>44964</c:v>
                </c:pt>
                <c:pt idx="226">
                  <c:v>44963</c:v>
                </c:pt>
                <c:pt idx="227">
                  <c:v>44960</c:v>
                </c:pt>
                <c:pt idx="228">
                  <c:v>44959</c:v>
                </c:pt>
                <c:pt idx="229">
                  <c:v>44958</c:v>
                </c:pt>
                <c:pt idx="230">
                  <c:v>44957</c:v>
                </c:pt>
                <c:pt idx="231">
                  <c:v>44956</c:v>
                </c:pt>
                <c:pt idx="232">
                  <c:v>44953</c:v>
                </c:pt>
                <c:pt idx="233">
                  <c:v>44952</c:v>
                </c:pt>
                <c:pt idx="234">
                  <c:v>44951</c:v>
                </c:pt>
                <c:pt idx="235">
                  <c:v>44950</c:v>
                </c:pt>
                <c:pt idx="236">
                  <c:v>44949</c:v>
                </c:pt>
                <c:pt idx="237">
                  <c:v>44946</c:v>
                </c:pt>
                <c:pt idx="238">
                  <c:v>44945</c:v>
                </c:pt>
                <c:pt idx="239">
                  <c:v>44944</c:v>
                </c:pt>
                <c:pt idx="240">
                  <c:v>44943</c:v>
                </c:pt>
                <c:pt idx="241">
                  <c:v>44939</c:v>
                </c:pt>
                <c:pt idx="242">
                  <c:v>44938</c:v>
                </c:pt>
                <c:pt idx="243">
                  <c:v>44937</c:v>
                </c:pt>
                <c:pt idx="244">
                  <c:v>44936</c:v>
                </c:pt>
                <c:pt idx="245">
                  <c:v>44935</c:v>
                </c:pt>
                <c:pt idx="246">
                  <c:v>44931</c:v>
                </c:pt>
                <c:pt idx="247">
                  <c:v>44930</c:v>
                </c:pt>
                <c:pt idx="248">
                  <c:v>44929</c:v>
                </c:pt>
                <c:pt idx="249">
                  <c:v>44928</c:v>
                </c:pt>
                <c:pt idx="250">
                  <c:v>44925</c:v>
                </c:pt>
                <c:pt idx="251">
                  <c:v>44924</c:v>
                </c:pt>
                <c:pt idx="252">
                  <c:v>44923</c:v>
                </c:pt>
                <c:pt idx="253">
                  <c:v>44922</c:v>
                </c:pt>
                <c:pt idx="254">
                  <c:v>44918</c:v>
                </c:pt>
                <c:pt idx="255">
                  <c:v>44917</c:v>
                </c:pt>
                <c:pt idx="256">
                  <c:v>44916</c:v>
                </c:pt>
                <c:pt idx="257">
                  <c:v>44915</c:v>
                </c:pt>
                <c:pt idx="258">
                  <c:v>44914</c:v>
                </c:pt>
                <c:pt idx="259">
                  <c:v>44911</c:v>
                </c:pt>
                <c:pt idx="260">
                  <c:v>44910</c:v>
                </c:pt>
                <c:pt idx="261">
                  <c:v>44909</c:v>
                </c:pt>
                <c:pt idx="262">
                  <c:v>44908</c:v>
                </c:pt>
                <c:pt idx="263">
                  <c:v>44907</c:v>
                </c:pt>
                <c:pt idx="264">
                  <c:v>44904</c:v>
                </c:pt>
                <c:pt idx="265">
                  <c:v>44903</c:v>
                </c:pt>
                <c:pt idx="266">
                  <c:v>44901</c:v>
                </c:pt>
                <c:pt idx="267">
                  <c:v>44900</c:v>
                </c:pt>
                <c:pt idx="268">
                  <c:v>44897</c:v>
                </c:pt>
                <c:pt idx="269">
                  <c:v>44896</c:v>
                </c:pt>
                <c:pt idx="270">
                  <c:v>44895</c:v>
                </c:pt>
                <c:pt idx="271">
                  <c:v>44894</c:v>
                </c:pt>
                <c:pt idx="272">
                  <c:v>44893</c:v>
                </c:pt>
                <c:pt idx="273">
                  <c:v>44890</c:v>
                </c:pt>
                <c:pt idx="274">
                  <c:v>44889</c:v>
                </c:pt>
                <c:pt idx="275">
                  <c:v>44888</c:v>
                </c:pt>
                <c:pt idx="276">
                  <c:v>44887</c:v>
                </c:pt>
                <c:pt idx="277">
                  <c:v>44886</c:v>
                </c:pt>
                <c:pt idx="278">
                  <c:v>44883</c:v>
                </c:pt>
                <c:pt idx="279">
                  <c:v>44882</c:v>
                </c:pt>
                <c:pt idx="280">
                  <c:v>44881</c:v>
                </c:pt>
                <c:pt idx="281">
                  <c:v>44880</c:v>
                </c:pt>
                <c:pt idx="282">
                  <c:v>44879</c:v>
                </c:pt>
                <c:pt idx="283">
                  <c:v>44876</c:v>
                </c:pt>
                <c:pt idx="284">
                  <c:v>44875</c:v>
                </c:pt>
                <c:pt idx="285">
                  <c:v>44874</c:v>
                </c:pt>
                <c:pt idx="286">
                  <c:v>44873</c:v>
                </c:pt>
                <c:pt idx="287">
                  <c:v>44869</c:v>
                </c:pt>
                <c:pt idx="288">
                  <c:v>44868</c:v>
                </c:pt>
                <c:pt idx="289">
                  <c:v>44867</c:v>
                </c:pt>
                <c:pt idx="290">
                  <c:v>44866</c:v>
                </c:pt>
                <c:pt idx="291">
                  <c:v>44865</c:v>
                </c:pt>
                <c:pt idx="292">
                  <c:v>44862</c:v>
                </c:pt>
                <c:pt idx="293">
                  <c:v>44861</c:v>
                </c:pt>
                <c:pt idx="294">
                  <c:v>44860</c:v>
                </c:pt>
                <c:pt idx="295">
                  <c:v>44859</c:v>
                </c:pt>
                <c:pt idx="296">
                  <c:v>44855</c:v>
                </c:pt>
                <c:pt idx="297">
                  <c:v>44854</c:v>
                </c:pt>
                <c:pt idx="298">
                  <c:v>44853</c:v>
                </c:pt>
                <c:pt idx="299">
                  <c:v>44852</c:v>
                </c:pt>
                <c:pt idx="300">
                  <c:v>44851</c:v>
                </c:pt>
                <c:pt idx="301">
                  <c:v>44848</c:v>
                </c:pt>
                <c:pt idx="302">
                  <c:v>44847</c:v>
                </c:pt>
                <c:pt idx="303">
                  <c:v>44846</c:v>
                </c:pt>
                <c:pt idx="304">
                  <c:v>44845</c:v>
                </c:pt>
                <c:pt idx="305">
                  <c:v>44841</c:v>
                </c:pt>
                <c:pt idx="306">
                  <c:v>44840</c:v>
                </c:pt>
                <c:pt idx="307">
                  <c:v>44839</c:v>
                </c:pt>
                <c:pt idx="308">
                  <c:v>44838</c:v>
                </c:pt>
                <c:pt idx="309">
                  <c:v>44837</c:v>
                </c:pt>
                <c:pt idx="310">
                  <c:v>44834</c:v>
                </c:pt>
                <c:pt idx="311">
                  <c:v>44833</c:v>
                </c:pt>
                <c:pt idx="312">
                  <c:v>44832</c:v>
                </c:pt>
                <c:pt idx="313">
                  <c:v>44831</c:v>
                </c:pt>
                <c:pt idx="314">
                  <c:v>44830</c:v>
                </c:pt>
                <c:pt idx="315">
                  <c:v>44827</c:v>
                </c:pt>
                <c:pt idx="316">
                  <c:v>44826</c:v>
                </c:pt>
                <c:pt idx="317">
                  <c:v>44825</c:v>
                </c:pt>
                <c:pt idx="318">
                  <c:v>44824</c:v>
                </c:pt>
                <c:pt idx="319">
                  <c:v>44823</c:v>
                </c:pt>
                <c:pt idx="320">
                  <c:v>44820</c:v>
                </c:pt>
                <c:pt idx="321">
                  <c:v>44819</c:v>
                </c:pt>
                <c:pt idx="322">
                  <c:v>44818</c:v>
                </c:pt>
                <c:pt idx="323">
                  <c:v>44817</c:v>
                </c:pt>
                <c:pt idx="324">
                  <c:v>44816</c:v>
                </c:pt>
                <c:pt idx="325">
                  <c:v>44813</c:v>
                </c:pt>
                <c:pt idx="326">
                  <c:v>44812</c:v>
                </c:pt>
                <c:pt idx="327">
                  <c:v>44811</c:v>
                </c:pt>
                <c:pt idx="328">
                  <c:v>44810</c:v>
                </c:pt>
                <c:pt idx="329">
                  <c:v>44809</c:v>
                </c:pt>
                <c:pt idx="330">
                  <c:v>44806</c:v>
                </c:pt>
                <c:pt idx="331">
                  <c:v>44805</c:v>
                </c:pt>
                <c:pt idx="332">
                  <c:v>44804</c:v>
                </c:pt>
                <c:pt idx="333">
                  <c:v>44803</c:v>
                </c:pt>
                <c:pt idx="334">
                  <c:v>44802</c:v>
                </c:pt>
                <c:pt idx="335">
                  <c:v>44799</c:v>
                </c:pt>
                <c:pt idx="336">
                  <c:v>44798</c:v>
                </c:pt>
                <c:pt idx="337">
                  <c:v>44797</c:v>
                </c:pt>
                <c:pt idx="338">
                  <c:v>44796</c:v>
                </c:pt>
                <c:pt idx="339">
                  <c:v>44795</c:v>
                </c:pt>
                <c:pt idx="340">
                  <c:v>44792</c:v>
                </c:pt>
                <c:pt idx="341">
                  <c:v>44791</c:v>
                </c:pt>
                <c:pt idx="342">
                  <c:v>44790</c:v>
                </c:pt>
                <c:pt idx="343">
                  <c:v>44789</c:v>
                </c:pt>
                <c:pt idx="344">
                  <c:v>44788</c:v>
                </c:pt>
                <c:pt idx="345">
                  <c:v>44785</c:v>
                </c:pt>
                <c:pt idx="346">
                  <c:v>44783</c:v>
                </c:pt>
                <c:pt idx="347">
                  <c:v>44782</c:v>
                </c:pt>
                <c:pt idx="348">
                  <c:v>44781</c:v>
                </c:pt>
                <c:pt idx="349">
                  <c:v>44778</c:v>
                </c:pt>
                <c:pt idx="350">
                  <c:v>44777</c:v>
                </c:pt>
                <c:pt idx="351">
                  <c:v>44776</c:v>
                </c:pt>
                <c:pt idx="352">
                  <c:v>44775</c:v>
                </c:pt>
                <c:pt idx="353">
                  <c:v>44774</c:v>
                </c:pt>
                <c:pt idx="354">
                  <c:v>44771</c:v>
                </c:pt>
                <c:pt idx="355">
                  <c:v>44770</c:v>
                </c:pt>
                <c:pt idx="356">
                  <c:v>44769</c:v>
                </c:pt>
                <c:pt idx="357">
                  <c:v>44768</c:v>
                </c:pt>
                <c:pt idx="358">
                  <c:v>44767</c:v>
                </c:pt>
                <c:pt idx="359">
                  <c:v>44764</c:v>
                </c:pt>
                <c:pt idx="360">
                  <c:v>44763</c:v>
                </c:pt>
                <c:pt idx="361">
                  <c:v>44762</c:v>
                </c:pt>
                <c:pt idx="362">
                  <c:v>44761</c:v>
                </c:pt>
                <c:pt idx="363">
                  <c:v>44760</c:v>
                </c:pt>
                <c:pt idx="364">
                  <c:v>44757</c:v>
                </c:pt>
                <c:pt idx="365">
                  <c:v>44756</c:v>
                </c:pt>
                <c:pt idx="366">
                  <c:v>44754</c:v>
                </c:pt>
                <c:pt idx="367">
                  <c:v>44753</c:v>
                </c:pt>
                <c:pt idx="368">
                  <c:v>44750</c:v>
                </c:pt>
                <c:pt idx="369">
                  <c:v>44749</c:v>
                </c:pt>
                <c:pt idx="370">
                  <c:v>44748</c:v>
                </c:pt>
                <c:pt idx="371">
                  <c:v>44747</c:v>
                </c:pt>
                <c:pt idx="372">
                  <c:v>44746</c:v>
                </c:pt>
                <c:pt idx="373">
                  <c:v>44743</c:v>
                </c:pt>
                <c:pt idx="374">
                  <c:v>44742</c:v>
                </c:pt>
                <c:pt idx="375">
                  <c:v>44741</c:v>
                </c:pt>
                <c:pt idx="376">
                  <c:v>44740</c:v>
                </c:pt>
                <c:pt idx="377">
                  <c:v>44739</c:v>
                </c:pt>
                <c:pt idx="378">
                  <c:v>44736</c:v>
                </c:pt>
                <c:pt idx="379">
                  <c:v>44735</c:v>
                </c:pt>
                <c:pt idx="380">
                  <c:v>44734</c:v>
                </c:pt>
                <c:pt idx="381">
                  <c:v>44733</c:v>
                </c:pt>
                <c:pt idx="382">
                  <c:v>44732</c:v>
                </c:pt>
                <c:pt idx="383">
                  <c:v>44729</c:v>
                </c:pt>
                <c:pt idx="384">
                  <c:v>44728</c:v>
                </c:pt>
                <c:pt idx="385">
                  <c:v>44727</c:v>
                </c:pt>
                <c:pt idx="386">
                  <c:v>44725</c:v>
                </c:pt>
                <c:pt idx="387">
                  <c:v>44722</c:v>
                </c:pt>
                <c:pt idx="388">
                  <c:v>44721</c:v>
                </c:pt>
                <c:pt idx="389">
                  <c:v>44720</c:v>
                </c:pt>
                <c:pt idx="390">
                  <c:v>44719</c:v>
                </c:pt>
                <c:pt idx="391">
                  <c:v>44718</c:v>
                </c:pt>
                <c:pt idx="392">
                  <c:v>44715</c:v>
                </c:pt>
                <c:pt idx="393">
                  <c:v>44714</c:v>
                </c:pt>
                <c:pt idx="394">
                  <c:v>44713</c:v>
                </c:pt>
                <c:pt idx="395">
                  <c:v>44712</c:v>
                </c:pt>
                <c:pt idx="396">
                  <c:v>44711</c:v>
                </c:pt>
                <c:pt idx="397">
                  <c:v>44708</c:v>
                </c:pt>
                <c:pt idx="398">
                  <c:v>44707</c:v>
                </c:pt>
                <c:pt idx="399">
                  <c:v>44706</c:v>
                </c:pt>
                <c:pt idx="400">
                  <c:v>44705</c:v>
                </c:pt>
                <c:pt idx="401">
                  <c:v>44704</c:v>
                </c:pt>
                <c:pt idx="402">
                  <c:v>44701</c:v>
                </c:pt>
                <c:pt idx="403">
                  <c:v>44700</c:v>
                </c:pt>
                <c:pt idx="404">
                  <c:v>44699</c:v>
                </c:pt>
                <c:pt idx="405">
                  <c:v>44698</c:v>
                </c:pt>
                <c:pt idx="406">
                  <c:v>44694</c:v>
                </c:pt>
                <c:pt idx="407">
                  <c:v>44693</c:v>
                </c:pt>
                <c:pt idx="408">
                  <c:v>44690</c:v>
                </c:pt>
                <c:pt idx="409">
                  <c:v>44687</c:v>
                </c:pt>
                <c:pt idx="410">
                  <c:v>44686</c:v>
                </c:pt>
                <c:pt idx="411">
                  <c:v>44685</c:v>
                </c:pt>
                <c:pt idx="412">
                  <c:v>44680</c:v>
                </c:pt>
                <c:pt idx="413">
                  <c:v>44679</c:v>
                </c:pt>
                <c:pt idx="414">
                  <c:v>44678</c:v>
                </c:pt>
                <c:pt idx="415">
                  <c:v>44677</c:v>
                </c:pt>
                <c:pt idx="416">
                  <c:v>44676</c:v>
                </c:pt>
                <c:pt idx="417">
                  <c:v>44659</c:v>
                </c:pt>
                <c:pt idx="418">
                  <c:v>44658</c:v>
                </c:pt>
                <c:pt idx="419">
                  <c:v>44657</c:v>
                </c:pt>
                <c:pt idx="420">
                  <c:v>44656</c:v>
                </c:pt>
                <c:pt idx="421">
                  <c:v>44655</c:v>
                </c:pt>
                <c:pt idx="422">
                  <c:v>44652</c:v>
                </c:pt>
                <c:pt idx="423">
                  <c:v>44651</c:v>
                </c:pt>
                <c:pt idx="424">
                  <c:v>44650</c:v>
                </c:pt>
                <c:pt idx="425">
                  <c:v>44649</c:v>
                </c:pt>
                <c:pt idx="426">
                  <c:v>44648</c:v>
                </c:pt>
                <c:pt idx="427">
                  <c:v>44645</c:v>
                </c:pt>
                <c:pt idx="428">
                  <c:v>44644</c:v>
                </c:pt>
                <c:pt idx="429">
                  <c:v>44643</c:v>
                </c:pt>
                <c:pt idx="430">
                  <c:v>44642</c:v>
                </c:pt>
                <c:pt idx="431">
                  <c:v>44641</c:v>
                </c:pt>
                <c:pt idx="432">
                  <c:v>44638</c:v>
                </c:pt>
                <c:pt idx="433">
                  <c:v>44636</c:v>
                </c:pt>
                <c:pt idx="434">
                  <c:v>44635</c:v>
                </c:pt>
                <c:pt idx="435">
                  <c:v>44634</c:v>
                </c:pt>
                <c:pt idx="436">
                  <c:v>44631</c:v>
                </c:pt>
                <c:pt idx="437">
                  <c:v>44630</c:v>
                </c:pt>
                <c:pt idx="438">
                  <c:v>44629</c:v>
                </c:pt>
                <c:pt idx="439">
                  <c:v>44628</c:v>
                </c:pt>
                <c:pt idx="440">
                  <c:v>44627</c:v>
                </c:pt>
                <c:pt idx="441">
                  <c:v>44624</c:v>
                </c:pt>
                <c:pt idx="442">
                  <c:v>44623</c:v>
                </c:pt>
                <c:pt idx="443">
                  <c:v>44622</c:v>
                </c:pt>
                <c:pt idx="444">
                  <c:v>44620</c:v>
                </c:pt>
                <c:pt idx="445">
                  <c:v>44617</c:v>
                </c:pt>
                <c:pt idx="446">
                  <c:v>44616</c:v>
                </c:pt>
                <c:pt idx="447">
                  <c:v>44615</c:v>
                </c:pt>
                <c:pt idx="448">
                  <c:v>44614</c:v>
                </c:pt>
                <c:pt idx="449">
                  <c:v>44613</c:v>
                </c:pt>
                <c:pt idx="450">
                  <c:v>44610</c:v>
                </c:pt>
                <c:pt idx="451">
                  <c:v>44609</c:v>
                </c:pt>
                <c:pt idx="452">
                  <c:v>44607</c:v>
                </c:pt>
                <c:pt idx="453">
                  <c:v>44606</c:v>
                </c:pt>
                <c:pt idx="454">
                  <c:v>44603</c:v>
                </c:pt>
                <c:pt idx="455">
                  <c:v>44602</c:v>
                </c:pt>
                <c:pt idx="456">
                  <c:v>44601</c:v>
                </c:pt>
                <c:pt idx="457">
                  <c:v>44600</c:v>
                </c:pt>
                <c:pt idx="458">
                  <c:v>44599</c:v>
                </c:pt>
                <c:pt idx="459">
                  <c:v>44595</c:v>
                </c:pt>
                <c:pt idx="460">
                  <c:v>44594</c:v>
                </c:pt>
                <c:pt idx="461">
                  <c:v>44593</c:v>
                </c:pt>
                <c:pt idx="462">
                  <c:v>44592</c:v>
                </c:pt>
                <c:pt idx="463">
                  <c:v>44589</c:v>
                </c:pt>
                <c:pt idx="464">
                  <c:v>44588</c:v>
                </c:pt>
                <c:pt idx="465">
                  <c:v>44587</c:v>
                </c:pt>
                <c:pt idx="466">
                  <c:v>44586</c:v>
                </c:pt>
                <c:pt idx="467">
                  <c:v>44585</c:v>
                </c:pt>
                <c:pt idx="468">
                  <c:v>44582</c:v>
                </c:pt>
                <c:pt idx="469">
                  <c:v>44581</c:v>
                </c:pt>
                <c:pt idx="470">
                  <c:v>44580</c:v>
                </c:pt>
                <c:pt idx="471">
                  <c:v>44579</c:v>
                </c:pt>
                <c:pt idx="472">
                  <c:v>44574</c:v>
                </c:pt>
                <c:pt idx="473">
                  <c:v>44573</c:v>
                </c:pt>
                <c:pt idx="474">
                  <c:v>44572</c:v>
                </c:pt>
                <c:pt idx="475">
                  <c:v>44571</c:v>
                </c:pt>
                <c:pt idx="476">
                  <c:v>44568</c:v>
                </c:pt>
                <c:pt idx="477">
                  <c:v>44567</c:v>
                </c:pt>
                <c:pt idx="478">
                  <c:v>44566</c:v>
                </c:pt>
                <c:pt idx="479">
                  <c:v>44565</c:v>
                </c:pt>
                <c:pt idx="480">
                  <c:v>44564</c:v>
                </c:pt>
                <c:pt idx="481">
                  <c:v>44561</c:v>
                </c:pt>
                <c:pt idx="482">
                  <c:v>44560</c:v>
                </c:pt>
                <c:pt idx="483">
                  <c:v>44559</c:v>
                </c:pt>
                <c:pt idx="484">
                  <c:v>44558</c:v>
                </c:pt>
                <c:pt idx="485">
                  <c:v>44557</c:v>
                </c:pt>
                <c:pt idx="486">
                  <c:v>44554</c:v>
                </c:pt>
                <c:pt idx="487">
                  <c:v>44553</c:v>
                </c:pt>
                <c:pt idx="488">
                  <c:v>44552</c:v>
                </c:pt>
                <c:pt idx="489">
                  <c:v>44551</c:v>
                </c:pt>
                <c:pt idx="490">
                  <c:v>44550</c:v>
                </c:pt>
                <c:pt idx="491">
                  <c:v>44547</c:v>
                </c:pt>
                <c:pt idx="492">
                  <c:v>44546</c:v>
                </c:pt>
                <c:pt idx="493">
                  <c:v>44545</c:v>
                </c:pt>
                <c:pt idx="494">
                  <c:v>44544</c:v>
                </c:pt>
                <c:pt idx="495">
                  <c:v>44543</c:v>
                </c:pt>
                <c:pt idx="496">
                  <c:v>44540</c:v>
                </c:pt>
                <c:pt idx="497">
                  <c:v>44539</c:v>
                </c:pt>
                <c:pt idx="498">
                  <c:v>44538</c:v>
                </c:pt>
                <c:pt idx="499">
                  <c:v>44537</c:v>
                </c:pt>
                <c:pt idx="500">
                  <c:v>44536</c:v>
                </c:pt>
                <c:pt idx="501">
                  <c:v>44533</c:v>
                </c:pt>
                <c:pt idx="502">
                  <c:v>44532</c:v>
                </c:pt>
                <c:pt idx="503">
                  <c:v>44531</c:v>
                </c:pt>
                <c:pt idx="504">
                  <c:v>44530</c:v>
                </c:pt>
                <c:pt idx="505">
                  <c:v>44529</c:v>
                </c:pt>
                <c:pt idx="506">
                  <c:v>44526</c:v>
                </c:pt>
                <c:pt idx="507">
                  <c:v>44525</c:v>
                </c:pt>
                <c:pt idx="508">
                  <c:v>44524</c:v>
                </c:pt>
                <c:pt idx="509">
                  <c:v>44523</c:v>
                </c:pt>
                <c:pt idx="510">
                  <c:v>44522</c:v>
                </c:pt>
                <c:pt idx="511">
                  <c:v>44519</c:v>
                </c:pt>
                <c:pt idx="512">
                  <c:v>44517</c:v>
                </c:pt>
                <c:pt idx="513">
                  <c:v>44516</c:v>
                </c:pt>
                <c:pt idx="514">
                  <c:v>44515</c:v>
                </c:pt>
                <c:pt idx="515">
                  <c:v>44512</c:v>
                </c:pt>
                <c:pt idx="516">
                  <c:v>44511</c:v>
                </c:pt>
                <c:pt idx="517">
                  <c:v>44510</c:v>
                </c:pt>
                <c:pt idx="518">
                  <c:v>44509</c:v>
                </c:pt>
                <c:pt idx="519">
                  <c:v>44508</c:v>
                </c:pt>
                <c:pt idx="520">
                  <c:v>44505</c:v>
                </c:pt>
                <c:pt idx="521">
                  <c:v>44503</c:v>
                </c:pt>
                <c:pt idx="522">
                  <c:v>44502</c:v>
                </c:pt>
                <c:pt idx="523">
                  <c:v>44501</c:v>
                </c:pt>
                <c:pt idx="524">
                  <c:v>44498</c:v>
                </c:pt>
                <c:pt idx="525">
                  <c:v>44497</c:v>
                </c:pt>
                <c:pt idx="526">
                  <c:v>44496</c:v>
                </c:pt>
                <c:pt idx="527">
                  <c:v>44495</c:v>
                </c:pt>
                <c:pt idx="528">
                  <c:v>44494</c:v>
                </c:pt>
                <c:pt idx="529">
                  <c:v>44491</c:v>
                </c:pt>
                <c:pt idx="530">
                  <c:v>44490</c:v>
                </c:pt>
                <c:pt idx="531">
                  <c:v>44487</c:v>
                </c:pt>
                <c:pt idx="532">
                  <c:v>44484</c:v>
                </c:pt>
                <c:pt idx="533">
                  <c:v>44483</c:v>
                </c:pt>
                <c:pt idx="534">
                  <c:v>44482</c:v>
                </c:pt>
                <c:pt idx="535">
                  <c:v>44481</c:v>
                </c:pt>
                <c:pt idx="536">
                  <c:v>44480</c:v>
                </c:pt>
                <c:pt idx="537">
                  <c:v>44477</c:v>
                </c:pt>
                <c:pt idx="538">
                  <c:v>44476</c:v>
                </c:pt>
                <c:pt idx="539">
                  <c:v>44475</c:v>
                </c:pt>
                <c:pt idx="540">
                  <c:v>44474</c:v>
                </c:pt>
                <c:pt idx="541">
                  <c:v>44473</c:v>
                </c:pt>
                <c:pt idx="542">
                  <c:v>44470</c:v>
                </c:pt>
                <c:pt idx="543">
                  <c:v>44469</c:v>
                </c:pt>
                <c:pt idx="544">
                  <c:v>44468</c:v>
                </c:pt>
                <c:pt idx="545">
                  <c:v>44467</c:v>
                </c:pt>
                <c:pt idx="546">
                  <c:v>44466</c:v>
                </c:pt>
                <c:pt idx="547">
                  <c:v>44463</c:v>
                </c:pt>
                <c:pt idx="548">
                  <c:v>44462</c:v>
                </c:pt>
                <c:pt idx="549">
                  <c:v>44461</c:v>
                </c:pt>
                <c:pt idx="550">
                  <c:v>44460</c:v>
                </c:pt>
                <c:pt idx="551">
                  <c:v>44456</c:v>
                </c:pt>
                <c:pt idx="552">
                  <c:v>44455</c:v>
                </c:pt>
                <c:pt idx="553">
                  <c:v>44454</c:v>
                </c:pt>
                <c:pt idx="554">
                  <c:v>44453</c:v>
                </c:pt>
                <c:pt idx="555">
                  <c:v>44452</c:v>
                </c:pt>
                <c:pt idx="556">
                  <c:v>44449</c:v>
                </c:pt>
                <c:pt idx="557">
                  <c:v>44448</c:v>
                </c:pt>
                <c:pt idx="558">
                  <c:v>44447</c:v>
                </c:pt>
                <c:pt idx="559">
                  <c:v>44446</c:v>
                </c:pt>
                <c:pt idx="560">
                  <c:v>44445</c:v>
                </c:pt>
                <c:pt idx="561">
                  <c:v>44442</c:v>
                </c:pt>
                <c:pt idx="562">
                  <c:v>44441</c:v>
                </c:pt>
                <c:pt idx="563">
                  <c:v>44440</c:v>
                </c:pt>
                <c:pt idx="564">
                  <c:v>44439</c:v>
                </c:pt>
                <c:pt idx="565">
                  <c:v>44438</c:v>
                </c:pt>
                <c:pt idx="566">
                  <c:v>44435</c:v>
                </c:pt>
                <c:pt idx="567">
                  <c:v>44434</c:v>
                </c:pt>
                <c:pt idx="568">
                  <c:v>44433</c:v>
                </c:pt>
                <c:pt idx="569">
                  <c:v>44432</c:v>
                </c:pt>
                <c:pt idx="570">
                  <c:v>44431</c:v>
                </c:pt>
                <c:pt idx="571">
                  <c:v>44428</c:v>
                </c:pt>
                <c:pt idx="572">
                  <c:v>44427</c:v>
                </c:pt>
                <c:pt idx="573">
                  <c:v>44426</c:v>
                </c:pt>
                <c:pt idx="574">
                  <c:v>44425</c:v>
                </c:pt>
                <c:pt idx="575">
                  <c:v>44424</c:v>
                </c:pt>
                <c:pt idx="576">
                  <c:v>44421</c:v>
                </c:pt>
                <c:pt idx="577">
                  <c:v>44420</c:v>
                </c:pt>
                <c:pt idx="578">
                  <c:v>44419</c:v>
                </c:pt>
                <c:pt idx="579">
                  <c:v>44418</c:v>
                </c:pt>
                <c:pt idx="580">
                  <c:v>44417</c:v>
                </c:pt>
                <c:pt idx="581">
                  <c:v>44414</c:v>
                </c:pt>
                <c:pt idx="582">
                  <c:v>44413</c:v>
                </c:pt>
                <c:pt idx="583">
                  <c:v>44412</c:v>
                </c:pt>
                <c:pt idx="584">
                  <c:v>44411</c:v>
                </c:pt>
                <c:pt idx="585">
                  <c:v>44410</c:v>
                </c:pt>
                <c:pt idx="586">
                  <c:v>44407</c:v>
                </c:pt>
                <c:pt idx="587">
                  <c:v>44406</c:v>
                </c:pt>
                <c:pt idx="588">
                  <c:v>44405</c:v>
                </c:pt>
                <c:pt idx="589">
                  <c:v>44404</c:v>
                </c:pt>
                <c:pt idx="590">
                  <c:v>44403</c:v>
                </c:pt>
                <c:pt idx="591">
                  <c:v>44399</c:v>
                </c:pt>
                <c:pt idx="592">
                  <c:v>44397</c:v>
                </c:pt>
                <c:pt idx="593">
                  <c:v>44396</c:v>
                </c:pt>
                <c:pt idx="594">
                  <c:v>44393</c:v>
                </c:pt>
                <c:pt idx="595">
                  <c:v>44392</c:v>
                </c:pt>
                <c:pt idx="596">
                  <c:v>44391</c:v>
                </c:pt>
                <c:pt idx="597">
                  <c:v>44390</c:v>
                </c:pt>
                <c:pt idx="598">
                  <c:v>44389</c:v>
                </c:pt>
                <c:pt idx="599">
                  <c:v>44386</c:v>
                </c:pt>
                <c:pt idx="600">
                  <c:v>44385</c:v>
                </c:pt>
                <c:pt idx="601">
                  <c:v>44384</c:v>
                </c:pt>
                <c:pt idx="602">
                  <c:v>44383</c:v>
                </c:pt>
                <c:pt idx="603">
                  <c:v>44382</c:v>
                </c:pt>
                <c:pt idx="604">
                  <c:v>44379</c:v>
                </c:pt>
                <c:pt idx="605">
                  <c:v>44378</c:v>
                </c:pt>
                <c:pt idx="606">
                  <c:v>44377</c:v>
                </c:pt>
                <c:pt idx="607">
                  <c:v>44376</c:v>
                </c:pt>
                <c:pt idx="608">
                  <c:v>44375</c:v>
                </c:pt>
                <c:pt idx="609">
                  <c:v>44372</c:v>
                </c:pt>
                <c:pt idx="610">
                  <c:v>44370</c:v>
                </c:pt>
                <c:pt idx="611">
                  <c:v>44369</c:v>
                </c:pt>
                <c:pt idx="612">
                  <c:v>44368</c:v>
                </c:pt>
                <c:pt idx="613">
                  <c:v>44365</c:v>
                </c:pt>
                <c:pt idx="614">
                  <c:v>44364</c:v>
                </c:pt>
                <c:pt idx="615">
                  <c:v>44363</c:v>
                </c:pt>
                <c:pt idx="616">
                  <c:v>44362</c:v>
                </c:pt>
                <c:pt idx="617">
                  <c:v>44361</c:v>
                </c:pt>
                <c:pt idx="618">
                  <c:v>44358</c:v>
                </c:pt>
                <c:pt idx="619">
                  <c:v>44357</c:v>
                </c:pt>
                <c:pt idx="620">
                  <c:v>44356</c:v>
                </c:pt>
                <c:pt idx="621">
                  <c:v>44355</c:v>
                </c:pt>
                <c:pt idx="622">
                  <c:v>44354</c:v>
                </c:pt>
                <c:pt idx="623">
                  <c:v>44351</c:v>
                </c:pt>
                <c:pt idx="624">
                  <c:v>44350</c:v>
                </c:pt>
                <c:pt idx="625">
                  <c:v>44349</c:v>
                </c:pt>
                <c:pt idx="626">
                  <c:v>44348</c:v>
                </c:pt>
                <c:pt idx="627">
                  <c:v>44347</c:v>
                </c:pt>
                <c:pt idx="628">
                  <c:v>44344</c:v>
                </c:pt>
                <c:pt idx="629">
                  <c:v>44341</c:v>
                </c:pt>
                <c:pt idx="630">
                  <c:v>44340</c:v>
                </c:pt>
                <c:pt idx="631">
                  <c:v>44337</c:v>
                </c:pt>
                <c:pt idx="632">
                  <c:v>44336</c:v>
                </c:pt>
                <c:pt idx="633">
                  <c:v>44335</c:v>
                </c:pt>
                <c:pt idx="634">
                  <c:v>44334</c:v>
                </c:pt>
                <c:pt idx="635">
                  <c:v>44333</c:v>
                </c:pt>
                <c:pt idx="636">
                  <c:v>44329</c:v>
                </c:pt>
                <c:pt idx="637">
                  <c:v>44328</c:v>
                </c:pt>
                <c:pt idx="638">
                  <c:v>44327</c:v>
                </c:pt>
                <c:pt idx="639">
                  <c:v>44326</c:v>
                </c:pt>
                <c:pt idx="640">
                  <c:v>44323</c:v>
                </c:pt>
                <c:pt idx="641">
                  <c:v>44322</c:v>
                </c:pt>
                <c:pt idx="642">
                  <c:v>44321</c:v>
                </c:pt>
                <c:pt idx="643">
                  <c:v>44320</c:v>
                </c:pt>
                <c:pt idx="644">
                  <c:v>44319</c:v>
                </c:pt>
                <c:pt idx="645">
                  <c:v>44316</c:v>
                </c:pt>
                <c:pt idx="646">
                  <c:v>44315</c:v>
                </c:pt>
                <c:pt idx="647">
                  <c:v>44314</c:v>
                </c:pt>
                <c:pt idx="648">
                  <c:v>44313</c:v>
                </c:pt>
                <c:pt idx="649">
                  <c:v>44309</c:v>
                </c:pt>
                <c:pt idx="650">
                  <c:v>44308</c:v>
                </c:pt>
                <c:pt idx="651">
                  <c:v>44307</c:v>
                </c:pt>
                <c:pt idx="652">
                  <c:v>44306</c:v>
                </c:pt>
                <c:pt idx="653">
                  <c:v>44305</c:v>
                </c:pt>
                <c:pt idx="654">
                  <c:v>44302</c:v>
                </c:pt>
                <c:pt idx="655">
                  <c:v>44301</c:v>
                </c:pt>
                <c:pt idx="656">
                  <c:v>44298</c:v>
                </c:pt>
                <c:pt idx="657">
                  <c:v>44295</c:v>
                </c:pt>
                <c:pt idx="658">
                  <c:v>44294</c:v>
                </c:pt>
                <c:pt idx="659">
                  <c:v>44293</c:v>
                </c:pt>
                <c:pt idx="660">
                  <c:v>44292</c:v>
                </c:pt>
                <c:pt idx="661">
                  <c:v>44291</c:v>
                </c:pt>
                <c:pt idx="662">
                  <c:v>44287</c:v>
                </c:pt>
                <c:pt idx="663">
                  <c:v>44286</c:v>
                </c:pt>
                <c:pt idx="664">
                  <c:v>44285</c:v>
                </c:pt>
                <c:pt idx="665">
                  <c:v>44284</c:v>
                </c:pt>
                <c:pt idx="666">
                  <c:v>44281</c:v>
                </c:pt>
                <c:pt idx="667">
                  <c:v>44280</c:v>
                </c:pt>
                <c:pt idx="668">
                  <c:v>44279</c:v>
                </c:pt>
                <c:pt idx="669">
                  <c:v>44278</c:v>
                </c:pt>
                <c:pt idx="670">
                  <c:v>44277</c:v>
                </c:pt>
                <c:pt idx="671">
                  <c:v>44274</c:v>
                </c:pt>
                <c:pt idx="672">
                  <c:v>44273</c:v>
                </c:pt>
                <c:pt idx="673">
                  <c:v>44272</c:v>
                </c:pt>
                <c:pt idx="674">
                  <c:v>44271</c:v>
                </c:pt>
                <c:pt idx="675">
                  <c:v>44270</c:v>
                </c:pt>
                <c:pt idx="676">
                  <c:v>44267</c:v>
                </c:pt>
                <c:pt idx="677">
                  <c:v>44265</c:v>
                </c:pt>
                <c:pt idx="678">
                  <c:v>44264</c:v>
                </c:pt>
                <c:pt idx="679">
                  <c:v>44263</c:v>
                </c:pt>
                <c:pt idx="680">
                  <c:v>44260</c:v>
                </c:pt>
                <c:pt idx="681">
                  <c:v>44259</c:v>
                </c:pt>
                <c:pt idx="682">
                  <c:v>44258</c:v>
                </c:pt>
                <c:pt idx="683">
                  <c:v>44257</c:v>
                </c:pt>
                <c:pt idx="684">
                  <c:v>44256</c:v>
                </c:pt>
                <c:pt idx="685">
                  <c:v>44252</c:v>
                </c:pt>
                <c:pt idx="686">
                  <c:v>44251</c:v>
                </c:pt>
                <c:pt idx="687">
                  <c:v>44250</c:v>
                </c:pt>
                <c:pt idx="688">
                  <c:v>44249</c:v>
                </c:pt>
                <c:pt idx="689">
                  <c:v>44246</c:v>
                </c:pt>
                <c:pt idx="690">
                  <c:v>44245</c:v>
                </c:pt>
                <c:pt idx="691">
                  <c:v>44244</c:v>
                </c:pt>
                <c:pt idx="692">
                  <c:v>44243</c:v>
                </c:pt>
                <c:pt idx="693">
                  <c:v>44242</c:v>
                </c:pt>
                <c:pt idx="694">
                  <c:v>44239</c:v>
                </c:pt>
                <c:pt idx="695">
                  <c:v>44238</c:v>
                </c:pt>
                <c:pt idx="696">
                  <c:v>44237</c:v>
                </c:pt>
                <c:pt idx="697">
                  <c:v>44236</c:v>
                </c:pt>
                <c:pt idx="698">
                  <c:v>44235</c:v>
                </c:pt>
                <c:pt idx="699">
                  <c:v>44232</c:v>
                </c:pt>
                <c:pt idx="700">
                  <c:v>44230</c:v>
                </c:pt>
                <c:pt idx="701">
                  <c:v>44229</c:v>
                </c:pt>
                <c:pt idx="702">
                  <c:v>44228</c:v>
                </c:pt>
                <c:pt idx="703">
                  <c:v>44225</c:v>
                </c:pt>
                <c:pt idx="704">
                  <c:v>44223</c:v>
                </c:pt>
                <c:pt idx="705">
                  <c:v>44222</c:v>
                </c:pt>
                <c:pt idx="706">
                  <c:v>44221</c:v>
                </c:pt>
                <c:pt idx="707">
                  <c:v>44218</c:v>
                </c:pt>
                <c:pt idx="708">
                  <c:v>44217</c:v>
                </c:pt>
                <c:pt idx="709">
                  <c:v>44216</c:v>
                </c:pt>
                <c:pt idx="710">
                  <c:v>44215</c:v>
                </c:pt>
                <c:pt idx="711">
                  <c:v>44214</c:v>
                </c:pt>
                <c:pt idx="712">
                  <c:v>44211</c:v>
                </c:pt>
                <c:pt idx="713">
                  <c:v>44209</c:v>
                </c:pt>
                <c:pt idx="714">
                  <c:v>44208</c:v>
                </c:pt>
                <c:pt idx="715">
                  <c:v>44207</c:v>
                </c:pt>
                <c:pt idx="716">
                  <c:v>44204</c:v>
                </c:pt>
                <c:pt idx="717">
                  <c:v>44203</c:v>
                </c:pt>
                <c:pt idx="718">
                  <c:v>44202</c:v>
                </c:pt>
                <c:pt idx="719">
                  <c:v>44201</c:v>
                </c:pt>
                <c:pt idx="720">
                  <c:v>44200</c:v>
                </c:pt>
                <c:pt idx="721">
                  <c:v>44196</c:v>
                </c:pt>
                <c:pt idx="722">
                  <c:v>44195</c:v>
                </c:pt>
                <c:pt idx="723">
                  <c:v>44193</c:v>
                </c:pt>
                <c:pt idx="724">
                  <c:v>44189</c:v>
                </c:pt>
                <c:pt idx="725">
                  <c:v>44188</c:v>
                </c:pt>
                <c:pt idx="726">
                  <c:v>44187</c:v>
                </c:pt>
                <c:pt idx="727">
                  <c:v>44186</c:v>
                </c:pt>
                <c:pt idx="728">
                  <c:v>44183</c:v>
                </c:pt>
                <c:pt idx="729">
                  <c:v>44182</c:v>
                </c:pt>
                <c:pt idx="730">
                  <c:v>44181</c:v>
                </c:pt>
                <c:pt idx="731">
                  <c:v>44180</c:v>
                </c:pt>
                <c:pt idx="732">
                  <c:v>44179</c:v>
                </c:pt>
                <c:pt idx="733">
                  <c:v>44176</c:v>
                </c:pt>
                <c:pt idx="734">
                  <c:v>44175</c:v>
                </c:pt>
                <c:pt idx="735">
                  <c:v>44174</c:v>
                </c:pt>
                <c:pt idx="736">
                  <c:v>44173</c:v>
                </c:pt>
                <c:pt idx="737">
                  <c:v>44172</c:v>
                </c:pt>
                <c:pt idx="738">
                  <c:v>44169</c:v>
                </c:pt>
                <c:pt idx="739">
                  <c:v>44168</c:v>
                </c:pt>
                <c:pt idx="740">
                  <c:v>44167</c:v>
                </c:pt>
                <c:pt idx="741">
                  <c:v>44166</c:v>
                </c:pt>
                <c:pt idx="742">
                  <c:v>44165</c:v>
                </c:pt>
                <c:pt idx="743">
                  <c:v>44162</c:v>
                </c:pt>
                <c:pt idx="744">
                  <c:v>44161</c:v>
                </c:pt>
                <c:pt idx="745">
                  <c:v>44160</c:v>
                </c:pt>
                <c:pt idx="746">
                  <c:v>44159</c:v>
                </c:pt>
                <c:pt idx="747">
                  <c:v>44158</c:v>
                </c:pt>
                <c:pt idx="748">
                  <c:v>44155</c:v>
                </c:pt>
                <c:pt idx="749">
                  <c:v>44154</c:v>
                </c:pt>
                <c:pt idx="750">
                  <c:v>44153</c:v>
                </c:pt>
                <c:pt idx="751">
                  <c:v>44152</c:v>
                </c:pt>
                <c:pt idx="752">
                  <c:v>44151</c:v>
                </c:pt>
                <c:pt idx="753">
                  <c:v>44148</c:v>
                </c:pt>
                <c:pt idx="754">
                  <c:v>44147</c:v>
                </c:pt>
                <c:pt idx="755">
                  <c:v>44146</c:v>
                </c:pt>
                <c:pt idx="756">
                  <c:v>44145</c:v>
                </c:pt>
                <c:pt idx="757">
                  <c:v>44144</c:v>
                </c:pt>
                <c:pt idx="758">
                  <c:v>44141</c:v>
                </c:pt>
                <c:pt idx="759">
                  <c:v>44140</c:v>
                </c:pt>
                <c:pt idx="760">
                  <c:v>44139</c:v>
                </c:pt>
                <c:pt idx="761">
                  <c:v>44138</c:v>
                </c:pt>
                <c:pt idx="762">
                  <c:v>44137</c:v>
                </c:pt>
                <c:pt idx="763">
                  <c:v>44133</c:v>
                </c:pt>
                <c:pt idx="764">
                  <c:v>44132</c:v>
                </c:pt>
                <c:pt idx="765">
                  <c:v>44131</c:v>
                </c:pt>
                <c:pt idx="766">
                  <c:v>44130</c:v>
                </c:pt>
                <c:pt idx="767">
                  <c:v>44127</c:v>
                </c:pt>
                <c:pt idx="768">
                  <c:v>44126</c:v>
                </c:pt>
                <c:pt idx="769">
                  <c:v>44125</c:v>
                </c:pt>
                <c:pt idx="770">
                  <c:v>44124</c:v>
                </c:pt>
                <c:pt idx="771">
                  <c:v>44123</c:v>
                </c:pt>
                <c:pt idx="772">
                  <c:v>44120</c:v>
                </c:pt>
                <c:pt idx="773">
                  <c:v>44119</c:v>
                </c:pt>
                <c:pt idx="774">
                  <c:v>44118</c:v>
                </c:pt>
                <c:pt idx="775">
                  <c:v>44117</c:v>
                </c:pt>
                <c:pt idx="776">
                  <c:v>44116</c:v>
                </c:pt>
                <c:pt idx="777">
                  <c:v>44113</c:v>
                </c:pt>
                <c:pt idx="778">
                  <c:v>44112</c:v>
                </c:pt>
                <c:pt idx="779">
                  <c:v>44111</c:v>
                </c:pt>
                <c:pt idx="780">
                  <c:v>44110</c:v>
                </c:pt>
                <c:pt idx="781">
                  <c:v>44109</c:v>
                </c:pt>
                <c:pt idx="782">
                  <c:v>44106</c:v>
                </c:pt>
                <c:pt idx="783">
                  <c:v>44104</c:v>
                </c:pt>
                <c:pt idx="784">
                  <c:v>44103</c:v>
                </c:pt>
                <c:pt idx="785">
                  <c:v>44102</c:v>
                </c:pt>
                <c:pt idx="786">
                  <c:v>44099</c:v>
                </c:pt>
                <c:pt idx="787">
                  <c:v>44098</c:v>
                </c:pt>
                <c:pt idx="788">
                  <c:v>44097</c:v>
                </c:pt>
                <c:pt idx="789">
                  <c:v>44096</c:v>
                </c:pt>
                <c:pt idx="790">
                  <c:v>44095</c:v>
                </c:pt>
                <c:pt idx="791">
                  <c:v>44092</c:v>
                </c:pt>
                <c:pt idx="792">
                  <c:v>44091</c:v>
                </c:pt>
                <c:pt idx="793">
                  <c:v>44090</c:v>
                </c:pt>
                <c:pt idx="794">
                  <c:v>44089</c:v>
                </c:pt>
                <c:pt idx="795">
                  <c:v>44088</c:v>
                </c:pt>
                <c:pt idx="796">
                  <c:v>44085</c:v>
                </c:pt>
                <c:pt idx="797">
                  <c:v>44084</c:v>
                </c:pt>
                <c:pt idx="798">
                  <c:v>44083</c:v>
                </c:pt>
                <c:pt idx="799">
                  <c:v>44082</c:v>
                </c:pt>
                <c:pt idx="800">
                  <c:v>44081</c:v>
                </c:pt>
                <c:pt idx="801">
                  <c:v>44078</c:v>
                </c:pt>
                <c:pt idx="802">
                  <c:v>44077</c:v>
                </c:pt>
                <c:pt idx="803">
                  <c:v>44076</c:v>
                </c:pt>
                <c:pt idx="804">
                  <c:v>44074</c:v>
                </c:pt>
                <c:pt idx="805">
                  <c:v>44071</c:v>
                </c:pt>
                <c:pt idx="806">
                  <c:v>44070</c:v>
                </c:pt>
                <c:pt idx="807">
                  <c:v>44069</c:v>
                </c:pt>
                <c:pt idx="808">
                  <c:v>44068</c:v>
                </c:pt>
                <c:pt idx="809">
                  <c:v>44067</c:v>
                </c:pt>
                <c:pt idx="810">
                  <c:v>44064</c:v>
                </c:pt>
                <c:pt idx="811">
                  <c:v>44063</c:v>
                </c:pt>
                <c:pt idx="812">
                  <c:v>44062</c:v>
                </c:pt>
                <c:pt idx="813">
                  <c:v>44061</c:v>
                </c:pt>
                <c:pt idx="814">
                  <c:v>44060</c:v>
                </c:pt>
                <c:pt idx="815">
                  <c:v>44057</c:v>
                </c:pt>
                <c:pt idx="816">
                  <c:v>44056</c:v>
                </c:pt>
                <c:pt idx="817">
                  <c:v>44055</c:v>
                </c:pt>
                <c:pt idx="818">
                  <c:v>44054</c:v>
                </c:pt>
                <c:pt idx="819">
                  <c:v>44053</c:v>
                </c:pt>
                <c:pt idx="820">
                  <c:v>44050</c:v>
                </c:pt>
                <c:pt idx="821">
                  <c:v>44049</c:v>
                </c:pt>
                <c:pt idx="822">
                  <c:v>44048</c:v>
                </c:pt>
                <c:pt idx="823">
                  <c:v>44047</c:v>
                </c:pt>
                <c:pt idx="824">
                  <c:v>44043</c:v>
                </c:pt>
                <c:pt idx="825">
                  <c:v>44042</c:v>
                </c:pt>
                <c:pt idx="826">
                  <c:v>44041</c:v>
                </c:pt>
                <c:pt idx="827">
                  <c:v>44040</c:v>
                </c:pt>
                <c:pt idx="828">
                  <c:v>44039</c:v>
                </c:pt>
                <c:pt idx="829">
                  <c:v>44036</c:v>
                </c:pt>
                <c:pt idx="830">
                  <c:v>44035</c:v>
                </c:pt>
                <c:pt idx="831">
                  <c:v>44034</c:v>
                </c:pt>
                <c:pt idx="832">
                  <c:v>44033</c:v>
                </c:pt>
                <c:pt idx="833">
                  <c:v>44032</c:v>
                </c:pt>
                <c:pt idx="834">
                  <c:v>44029</c:v>
                </c:pt>
                <c:pt idx="835">
                  <c:v>44028</c:v>
                </c:pt>
                <c:pt idx="836">
                  <c:v>44027</c:v>
                </c:pt>
                <c:pt idx="837">
                  <c:v>44026</c:v>
                </c:pt>
                <c:pt idx="838">
                  <c:v>44025</c:v>
                </c:pt>
                <c:pt idx="839">
                  <c:v>44022</c:v>
                </c:pt>
                <c:pt idx="840">
                  <c:v>44021</c:v>
                </c:pt>
                <c:pt idx="841">
                  <c:v>44020</c:v>
                </c:pt>
                <c:pt idx="842">
                  <c:v>44019</c:v>
                </c:pt>
                <c:pt idx="843">
                  <c:v>44018</c:v>
                </c:pt>
                <c:pt idx="844">
                  <c:v>44015</c:v>
                </c:pt>
                <c:pt idx="845">
                  <c:v>44014</c:v>
                </c:pt>
                <c:pt idx="846">
                  <c:v>44013</c:v>
                </c:pt>
                <c:pt idx="847">
                  <c:v>44012</c:v>
                </c:pt>
                <c:pt idx="848">
                  <c:v>44011</c:v>
                </c:pt>
                <c:pt idx="849">
                  <c:v>44008</c:v>
                </c:pt>
                <c:pt idx="850">
                  <c:v>44007</c:v>
                </c:pt>
                <c:pt idx="851">
                  <c:v>44006</c:v>
                </c:pt>
                <c:pt idx="852">
                  <c:v>44005</c:v>
                </c:pt>
                <c:pt idx="853">
                  <c:v>44004</c:v>
                </c:pt>
                <c:pt idx="854">
                  <c:v>44001</c:v>
                </c:pt>
                <c:pt idx="855">
                  <c:v>44000</c:v>
                </c:pt>
                <c:pt idx="856">
                  <c:v>43999</c:v>
                </c:pt>
                <c:pt idx="857">
                  <c:v>43998</c:v>
                </c:pt>
                <c:pt idx="858">
                  <c:v>43997</c:v>
                </c:pt>
                <c:pt idx="859">
                  <c:v>43994</c:v>
                </c:pt>
                <c:pt idx="860">
                  <c:v>43993</c:v>
                </c:pt>
                <c:pt idx="861">
                  <c:v>43992</c:v>
                </c:pt>
                <c:pt idx="862">
                  <c:v>43991</c:v>
                </c:pt>
                <c:pt idx="863">
                  <c:v>43990</c:v>
                </c:pt>
                <c:pt idx="864">
                  <c:v>43986</c:v>
                </c:pt>
                <c:pt idx="865">
                  <c:v>43985</c:v>
                </c:pt>
                <c:pt idx="866">
                  <c:v>43984</c:v>
                </c:pt>
                <c:pt idx="867">
                  <c:v>43983</c:v>
                </c:pt>
                <c:pt idx="868">
                  <c:v>43980</c:v>
                </c:pt>
                <c:pt idx="869">
                  <c:v>43979</c:v>
                </c:pt>
                <c:pt idx="870">
                  <c:v>43978</c:v>
                </c:pt>
                <c:pt idx="871">
                  <c:v>43977</c:v>
                </c:pt>
                <c:pt idx="872">
                  <c:v>43973</c:v>
                </c:pt>
                <c:pt idx="873">
                  <c:v>43972</c:v>
                </c:pt>
                <c:pt idx="874">
                  <c:v>43971</c:v>
                </c:pt>
                <c:pt idx="875">
                  <c:v>43970</c:v>
                </c:pt>
                <c:pt idx="876">
                  <c:v>43969</c:v>
                </c:pt>
                <c:pt idx="877">
                  <c:v>43966</c:v>
                </c:pt>
                <c:pt idx="878">
                  <c:v>43965</c:v>
                </c:pt>
                <c:pt idx="879">
                  <c:v>43964</c:v>
                </c:pt>
                <c:pt idx="880">
                  <c:v>43963</c:v>
                </c:pt>
                <c:pt idx="881">
                  <c:v>43962</c:v>
                </c:pt>
                <c:pt idx="882">
                  <c:v>43910</c:v>
                </c:pt>
                <c:pt idx="883">
                  <c:v>43903</c:v>
                </c:pt>
                <c:pt idx="884">
                  <c:v>43902</c:v>
                </c:pt>
                <c:pt idx="885">
                  <c:v>43901</c:v>
                </c:pt>
                <c:pt idx="886">
                  <c:v>43900</c:v>
                </c:pt>
                <c:pt idx="887">
                  <c:v>43896</c:v>
                </c:pt>
                <c:pt idx="888">
                  <c:v>43895</c:v>
                </c:pt>
                <c:pt idx="889">
                  <c:v>43894</c:v>
                </c:pt>
                <c:pt idx="890">
                  <c:v>43893</c:v>
                </c:pt>
                <c:pt idx="891">
                  <c:v>43892</c:v>
                </c:pt>
                <c:pt idx="892">
                  <c:v>43889</c:v>
                </c:pt>
                <c:pt idx="893">
                  <c:v>43888</c:v>
                </c:pt>
                <c:pt idx="894">
                  <c:v>43887</c:v>
                </c:pt>
                <c:pt idx="895">
                  <c:v>43886</c:v>
                </c:pt>
                <c:pt idx="896">
                  <c:v>43885</c:v>
                </c:pt>
                <c:pt idx="897">
                  <c:v>43881</c:v>
                </c:pt>
                <c:pt idx="898">
                  <c:v>43880</c:v>
                </c:pt>
                <c:pt idx="899">
                  <c:v>43879</c:v>
                </c:pt>
                <c:pt idx="900">
                  <c:v>43878</c:v>
                </c:pt>
                <c:pt idx="901">
                  <c:v>43875</c:v>
                </c:pt>
                <c:pt idx="902">
                  <c:v>43874</c:v>
                </c:pt>
                <c:pt idx="903">
                  <c:v>43873</c:v>
                </c:pt>
                <c:pt idx="904">
                  <c:v>43872</c:v>
                </c:pt>
                <c:pt idx="905">
                  <c:v>43871</c:v>
                </c:pt>
                <c:pt idx="906">
                  <c:v>43868</c:v>
                </c:pt>
                <c:pt idx="907">
                  <c:v>43867</c:v>
                </c:pt>
                <c:pt idx="908">
                  <c:v>43866</c:v>
                </c:pt>
                <c:pt idx="909">
                  <c:v>43864</c:v>
                </c:pt>
                <c:pt idx="910">
                  <c:v>43861</c:v>
                </c:pt>
                <c:pt idx="911">
                  <c:v>43860</c:v>
                </c:pt>
                <c:pt idx="912">
                  <c:v>43859</c:v>
                </c:pt>
                <c:pt idx="913">
                  <c:v>43858</c:v>
                </c:pt>
                <c:pt idx="914">
                  <c:v>43857</c:v>
                </c:pt>
                <c:pt idx="915">
                  <c:v>43854</c:v>
                </c:pt>
                <c:pt idx="916">
                  <c:v>43853</c:v>
                </c:pt>
                <c:pt idx="917">
                  <c:v>43852</c:v>
                </c:pt>
                <c:pt idx="918">
                  <c:v>43851</c:v>
                </c:pt>
                <c:pt idx="919">
                  <c:v>43850</c:v>
                </c:pt>
                <c:pt idx="920">
                  <c:v>43847</c:v>
                </c:pt>
                <c:pt idx="921">
                  <c:v>43846</c:v>
                </c:pt>
                <c:pt idx="922">
                  <c:v>43844</c:v>
                </c:pt>
                <c:pt idx="923">
                  <c:v>43843</c:v>
                </c:pt>
                <c:pt idx="924">
                  <c:v>43839</c:v>
                </c:pt>
                <c:pt idx="925">
                  <c:v>43838</c:v>
                </c:pt>
                <c:pt idx="926">
                  <c:v>43837</c:v>
                </c:pt>
                <c:pt idx="927">
                  <c:v>43836</c:v>
                </c:pt>
                <c:pt idx="928">
                  <c:v>43833</c:v>
                </c:pt>
                <c:pt idx="929">
                  <c:v>43832</c:v>
                </c:pt>
                <c:pt idx="930">
                  <c:v>43830</c:v>
                </c:pt>
                <c:pt idx="931">
                  <c:v>43829</c:v>
                </c:pt>
                <c:pt idx="932">
                  <c:v>43826</c:v>
                </c:pt>
                <c:pt idx="933">
                  <c:v>43825</c:v>
                </c:pt>
                <c:pt idx="934">
                  <c:v>43823</c:v>
                </c:pt>
                <c:pt idx="935">
                  <c:v>43822</c:v>
                </c:pt>
                <c:pt idx="936">
                  <c:v>43819</c:v>
                </c:pt>
                <c:pt idx="937">
                  <c:v>43818</c:v>
                </c:pt>
                <c:pt idx="938">
                  <c:v>43817</c:v>
                </c:pt>
                <c:pt idx="939">
                  <c:v>43816</c:v>
                </c:pt>
                <c:pt idx="940">
                  <c:v>43815</c:v>
                </c:pt>
                <c:pt idx="941">
                  <c:v>43812</c:v>
                </c:pt>
                <c:pt idx="942">
                  <c:v>43811</c:v>
                </c:pt>
                <c:pt idx="943">
                  <c:v>43809</c:v>
                </c:pt>
                <c:pt idx="944">
                  <c:v>43808</c:v>
                </c:pt>
                <c:pt idx="945">
                  <c:v>43805</c:v>
                </c:pt>
                <c:pt idx="946">
                  <c:v>43804</c:v>
                </c:pt>
                <c:pt idx="947">
                  <c:v>43803</c:v>
                </c:pt>
                <c:pt idx="948">
                  <c:v>43802</c:v>
                </c:pt>
                <c:pt idx="949">
                  <c:v>43801</c:v>
                </c:pt>
                <c:pt idx="950">
                  <c:v>43798</c:v>
                </c:pt>
                <c:pt idx="951">
                  <c:v>43797</c:v>
                </c:pt>
                <c:pt idx="952">
                  <c:v>43796</c:v>
                </c:pt>
                <c:pt idx="953">
                  <c:v>43795</c:v>
                </c:pt>
                <c:pt idx="954">
                  <c:v>43794</c:v>
                </c:pt>
                <c:pt idx="955">
                  <c:v>43791</c:v>
                </c:pt>
                <c:pt idx="956">
                  <c:v>43790</c:v>
                </c:pt>
                <c:pt idx="957">
                  <c:v>43789</c:v>
                </c:pt>
                <c:pt idx="958">
                  <c:v>43788</c:v>
                </c:pt>
                <c:pt idx="959">
                  <c:v>43787</c:v>
                </c:pt>
                <c:pt idx="960">
                  <c:v>43784</c:v>
                </c:pt>
                <c:pt idx="961">
                  <c:v>43783</c:v>
                </c:pt>
                <c:pt idx="962">
                  <c:v>43782</c:v>
                </c:pt>
                <c:pt idx="963">
                  <c:v>43777</c:v>
                </c:pt>
                <c:pt idx="964">
                  <c:v>43776</c:v>
                </c:pt>
                <c:pt idx="965">
                  <c:v>43775</c:v>
                </c:pt>
                <c:pt idx="966">
                  <c:v>43774</c:v>
                </c:pt>
                <c:pt idx="967">
                  <c:v>43773</c:v>
                </c:pt>
                <c:pt idx="968">
                  <c:v>43770</c:v>
                </c:pt>
                <c:pt idx="969">
                  <c:v>43769</c:v>
                </c:pt>
                <c:pt idx="970">
                  <c:v>43768</c:v>
                </c:pt>
                <c:pt idx="971">
                  <c:v>43767</c:v>
                </c:pt>
                <c:pt idx="972">
                  <c:v>43766</c:v>
                </c:pt>
                <c:pt idx="973">
                  <c:v>43763</c:v>
                </c:pt>
                <c:pt idx="974">
                  <c:v>43762</c:v>
                </c:pt>
                <c:pt idx="975">
                  <c:v>43761</c:v>
                </c:pt>
                <c:pt idx="976">
                  <c:v>43760</c:v>
                </c:pt>
                <c:pt idx="977">
                  <c:v>43759</c:v>
                </c:pt>
                <c:pt idx="978">
                  <c:v>43756</c:v>
                </c:pt>
                <c:pt idx="979">
                  <c:v>43755</c:v>
                </c:pt>
                <c:pt idx="980">
                  <c:v>43754</c:v>
                </c:pt>
                <c:pt idx="981">
                  <c:v>43753</c:v>
                </c:pt>
                <c:pt idx="982">
                  <c:v>43752</c:v>
                </c:pt>
                <c:pt idx="983">
                  <c:v>43749</c:v>
                </c:pt>
                <c:pt idx="984">
                  <c:v>43748</c:v>
                </c:pt>
                <c:pt idx="985">
                  <c:v>43747</c:v>
                </c:pt>
                <c:pt idx="986">
                  <c:v>43746</c:v>
                </c:pt>
                <c:pt idx="987">
                  <c:v>43745</c:v>
                </c:pt>
                <c:pt idx="988">
                  <c:v>43742</c:v>
                </c:pt>
                <c:pt idx="989">
                  <c:v>43741</c:v>
                </c:pt>
                <c:pt idx="990">
                  <c:v>43740</c:v>
                </c:pt>
                <c:pt idx="991">
                  <c:v>43739</c:v>
                </c:pt>
                <c:pt idx="992">
                  <c:v>43738</c:v>
                </c:pt>
                <c:pt idx="993">
                  <c:v>43735</c:v>
                </c:pt>
                <c:pt idx="994">
                  <c:v>43734</c:v>
                </c:pt>
                <c:pt idx="995">
                  <c:v>43733</c:v>
                </c:pt>
                <c:pt idx="996">
                  <c:v>43732</c:v>
                </c:pt>
                <c:pt idx="997">
                  <c:v>43731</c:v>
                </c:pt>
                <c:pt idx="998">
                  <c:v>43728</c:v>
                </c:pt>
                <c:pt idx="999">
                  <c:v>43727</c:v>
                </c:pt>
                <c:pt idx="1000">
                  <c:v>43726</c:v>
                </c:pt>
                <c:pt idx="1001">
                  <c:v>43725</c:v>
                </c:pt>
                <c:pt idx="1002">
                  <c:v>43724</c:v>
                </c:pt>
                <c:pt idx="1003">
                  <c:v>43720</c:v>
                </c:pt>
                <c:pt idx="1004">
                  <c:v>43719</c:v>
                </c:pt>
                <c:pt idx="1005">
                  <c:v>43718</c:v>
                </c:pt>
                <c:pt idx="1006">
                  <c:v>43717</c:v>
                </c:pt>
                <c:pt idx="1007">
                  <c:v>43714</c:v>
                </c:pt>
                <c:pt idx="1008">
                  <c:v>43713</c:v>
                </c:pt>
                <c:pt idx="1009">
                  <c:v>43712</c:v>
                </c:pt>
                <c:pt idx="1010">
                  <c:v>43711</c:v>
                </c:pt>
                <c:pt idx="1011">
                  <c:v>43710</c:v>
                </c:pt>
                <c:pt idx="1012">
                  <c:v>43707</c:v>
                </c:pt>
                <c:pt idx="1013">
                  <c:v>43706</c:v>
                </c:pt>
                <c:pt idx="1014">
                  <c:v>43705</c:v>
                </c:pt>
                <c:pt idx="1015">
                  <c:v>43704</c:v>
                </c:pt>
                <c:pt idx="1016">
                  <c:v>43703</c:v>
                </c:pt>
                <c:pt idx="1017">
                  <c:v>43700</c:v>
                </c:pt>
                <c:pt idx="1018">
                  <c:v>43699</c:v>
                </c:pt>
                <c:pt idx="1019">
                  <c:v>43698</c:v>
                </c:pt>
                <c:pt idx="1020">
                  <c:v>43697</c:v>
                </c:pt>
                <c:pt idx="1021">
                  <c:v>43696</c:v>
                </c:pt>
                <c:pt idx="1022">
                  <c:v>43693</c:v>
                </c:pt>
                <c:pt idx="1023">
                  <c:v>43692</c:v>
                </c:pt>
                <c:pt idx="1024">
                  <c:v>43690</c:v>
                </c:pt>
                <c:pt idx="1025">
                  <c:v>43686</c:v>
                </c:pt>
                <c:pt idx="1026">
                  <c:v>43685</c:v>
                </c:pt>
                <c:pt idx="1027">
                  <c:v>43684</c:v>
                </c:pt>
                <c:pt idx="1028">
                  <c:v>43683</c:v>
                </c:pt>
                <c:pt idx="1029">
                  <c:v>43682</c:v>
                </c:pt>
                <c:pt idx="1030">
                  <c:v>43679</c:v>
                </c:pt>
                <c:pt idx="1031">
                  <c:v>43678</c:v>
                </c:pt>
                <c:pt idx="1032">
                  <c:v>43677</c:v>
                </c:pt>
                <c:pt idx="1033">
                  <c:v>43676</c:v>
                </c:pt>
                <c:pt idx="1034">
                  <c:v>43675</c:v>
                </c:pt>
                <c:pt idx="1035">
                  <c:v>43672</c:v>
                </c:pt>
                <c:pt idx="1036">
                  <c:v>43671</c:v>
                </c:pt>
                <c:pt idx="1037">
                  <c:v>43670</c:v>
                </c:pt>
                <c:pt idx="1038">
                  <c:v>43669</c:v>
                </c:pt>
                <c:pt idx="1039">
                  <c:v>43668</c:v>
                </c:pt>
                <c:pt idx="1040">
                  <c:v>43665</c:v>
                </c:pt>
                <c:pt idx="1041">
                  <c:v>43664</c:v>
                </c:pt>
                <c:pt idx="1042">
                  <c:v>43663</c:v>
                </c:pt>
                <c:pt idx="1043">
                  <c:v>43661</c:v>
                </c:pt>
                <c:pt idx="1044">
                  <c:v>43658</c:v>
                </c:pt>
                <c:pt idx="1045">
                  <c:v>43657</c:v>
                </c:pt>
                <c:pt idx="1046">
                  <c:v>43656</c:v>
                </c:pt>
                <c:pt idx="1047">
                  <c:v>43655</c:v>
                </c:pt>
                <c:pt idx="1048">
                  <c:v>43654</c:v>
                </c:pt>
                <c:pt idx="1049">
                  <c:v>43651</c:v>
                </c:pt>
                <c:pt idx="1050">
                  <c:v>43650</c:v>
                </c:pt>
                <c:pt idx="1051">
                  <c:v>43649</c:v>
                </c:pt>
                <c:pt idx="1052">
                  <c:v>43648</c:v>
                </c:pt>
                <c:pt idx="1053">
                  <c:v>43647</c:v>
                </c:pt>
                <c:pt idx="1054">
                  <c:v>43644</c:v>
                </c:pt>
                <c:pt idx="1055">
                  <c:v>43643</c:v>
                </c:pt>
                <c:pt idx="1056">
                  <c:v>43642</c:v>
                </c:pt>
                <c:pt idx="1057">
                  <c:v>43641</c:v>
                </c:pt>
                <c:pt idx="1058">
                  <c:v>43640</c:v>
                </c:pt>
                <c:pt idx="1059">
                  <c:v>43637</c:v>
                </c:pt>
                <c:pt idx="1060">
                  <c:v>43636</c:v>
                </c:pt>
                <c:pt idx="1061">
                  <c:v>43635</c:v>
                </c:pt>
                <c:pt idx="1062">
                  <c:v>43634</c:v>
                </c:pt>
                <c:pt idx="1063">
                  <c:v>43633</c:v>
                </c:pt>
                <c:pt idx="1064">
                  <c:v>43630</c:v>
                </c:pt>
                <c:pt idx="1065">
                  <c:v>43629</c:v>
                </c:pt>
                <c:pt idx="1066">
                  <c:v>43628</c:v>
                </c:pt>
                <c:pt idx="1067">
                  <c:v>43627</c:v>
                </c:pt>
                <c:pt idx="1068">
                  <c:v>43626</c:v>
                </c:pt>
                <c:pt idx="1069">
                  <c:v>43623</c:v>
                </c:pt>
                <c:pt idx="1070">
                  <c:v>43622</c:v>
                </c:pt>
                <c:pt idx="1071">
                  <c:v>43620</c:v>
                </c:pt>
                <c:pt idx="1072">
                  <c:v>43619</c:v>
                </c:pt>
                <c:pt idx="1073">
                  <c:v>43616</c:v>
                </c:pt>
                <c:pt idx="1074">
                  <c:v>43615</c:v>
                </c:pt>
                <c:pt idx="1075">
                  <c:v>43614</c:v>
                </c:pt>
                <c:pt idx="1076">
                  <c:v>43613</c:v>
                </c:pt>
                <c:pt idx="1077">
                  <c:v>43612</c:v>
                </c:pt>
                <c:pt idx="1078">
                  <c:v>43609</c:v>
                </c:pt>
                <c:pt idx="1079">
                  <c:v>43608</c:v>
                </c:pt>
                <c:pt idx="1080">
                  <c:v>43607</c:v>
                </c:pt>
                <c:pt idx="1081">
                  <c:v>43606</c:v>
                </c:pt>
                <c:pt idx="1082">
                  <c:v>43602</c:v>
                </c:pt>
                <c:pt idx="1083">
                  <c:v>43601</c:v>
                </c:pt>
                <c:pt idx="1084">
                  <c:v>43600</c:v>
                </c:pt>
                <c:pt idx="1085">
                  <c:v>43599</c:v>
                </c:pt>
                <c:pt idx="1086">
                  <c:v>43598</c:v>
                </c:pt>
                <c:pt idx="1087">
                  <c:v>43595</c:v>
                </c:pt>
                <c:pt idx="1088">
                  <c:v>43594</c:v>
                </c:pt>
                <c:pt idx="1089">
                  <c:v>43593</c:v>
                </c:pt>
                <c:pt idx="1090">
                  <c:v>43592</c:v>
                </c:pt>
                <c:pt idx="1091">
                  <c:v>43591</c:v>
                </c:pt>
                <c:pt idx="1092">
                  <c:v>43588</c:v>
                </c:pt>
                <c:pt idx="1093">
                  <c:v>43587</c:v>
                </c:pt>
                <c:pt idx="1094">
                  <c:v>43585</c:v>
                </c:pt>
                <c:pt idx="1095">
                  <c:v>43584</c:v>
                </c:pt>
                <c:pt idx="1096">
                  <c:v>43581</c:v>
                </c:pt>
                <c:pt idx="1097">
                  <c:v>43580</c:v>
                </c:pt>
                <c:pt idx="1098">
                  <c:v>43579</c:v>
                </c:pt>
                <c:pt idx="1099">
                  <c:v>43578</c:v>
                </c:pt>
                <c:pt idx="1100">
                  <c:v>43573</c:v>
                </c:pt>
                <c:pt idx="1101">
                  <c:v>43572</c:v>
                </c:pt>
                <c:pt idx="1102">
                  <c:v>43571</c:v>
                </c:pt>
                <c:pt idx="1103">
                  <c:v>43567</c:v>
                </c:pt>
                <c:pt idx="1104">
                  <c:v>43566</c:v>
                </c:pt>
                <c:pt idx="1105">
                  <c:v>43565</c:v>
                </c:pt>
                <c:pt idx="1106">
                  <c:v>43564</c:v>
                </c:pt>
                <c:pt idx="1107">
                  <c:v>43563</c:v>
                </c:pt>
                <c:pt idx="1108">
                  <c:v>43560</c:v>
                </c:pt>
                <c:pt idx="1109">
                  <c:v>43559</c:v>
                </c:pt>
                <c:pt idx="1110">
                  <c:v>43558</c:v>
                </c:pt>
                <c:pt idx="1111">
                  <c:v>43557</c:v>
                </c:pt>
                <c:pt idx="1112">
                  <c:v>43556</c:v>
                </c:pt>
                <c:pt idx="1113">
                  <c:v>43553</c:v>
                </c:pt>
                <c:pt idx="1114">
                  <c:v>43552</c:v>
                </c:pt>
                <c:pt idx="1115">
                  <c:v>43551</c:v>
                </c:pt>
                <c:pt idx="1116">
                  <c:v>43550</c:v>
                </c:pt>
                <c:pt idx="1117">
                  <c:v>43549</c:v>
                </c:pt>
                <c:pt idx="1118">
                  <c:v>43546</c:v>
                </c:pt>
                <c:pt idx="1119">
                  <c:v>43545</c:v>
                </c:pt>
                <c:pt idx="1120">
                  <c:v>43543</c:v>
                </c:pt>
                <c:pt idx="1121">
                  <c:v>43542</c:v>
                </c:pt>
                <c:pt idx="1122">
                  <c:v>43539</c:v>
                </c:pt>
                <c:pt idx="1123">
                  <c:v>43538</c:v>
                </c:pt>
                <c:pt idx="1124">
                  <c:v>43537</c:v>
                </c:pt>
                <c:pt idx="1125">
                  <c:v>43536</c:v>
                </c:pt>
                <c:pt idx="1126">
                  <c:v>43535</c:v>
                </c:pt>
                <c:pt idx="1127">
                  <c:v>43532</c:v>
                </c:pt>
                <c:pt idx="1128">
                  <c:v>43531</c:v>
                </c:pt>
                <c:pt idx="1129">
                  <c:v>43530</c:v>
                </c:pt>
                <c:pt idx="1130">
                  <c:v>43529</c:v>
                </c:pt>
                <c:pt idx="1131">
                  <c:v>43525</c:v>
                </c:pt>
                <c:pt idx="1132">
                  <c:v>43524</c:v>
                </c:pt>
                <c:pt idx="1133">
                  <c:v>43523</c:v>
                </c:pt>
                <c:pt idx="1134">
                  <c:v>43522</c:v>
                </c:pt>
                <c:pt idx="1135">
                  <c:v>43521</c:v>
                </c:pt>
                <c:pt idx="1136">
                  <c:v>43518</c:v>
                </c:pt>
                <c:pt idx="1137">
                  <c:v>43517</c:v>
                </c:pt>
                <c:pt idx="1138">
                  <c:v>43516</c:v>
                </c:pt>
                <c:pt idx="1139">
                  <c:v>43514</c:v>
                </c:pt>
                <c:pt idx="1140">
                  <c:v>43511</c:v>
                </c:pt>
                <c:pt idx="1141">
                  <c:v>43510</c:v>
                </c:pt>
                <c:pt idx="1142">
                  <c:v>43509</c:v>
                </c:pt>
                <c:pt idx="1143">
                  <c:v>43508</c:v>
                </c:pt>
                <c:pt idx="1144">
                  <c:v>43507</c:v>
                </c:pt>
                <c:pt idx="1145">
                  <c:v>43504</c:v>
                </c:pt>
                <c:pt idx="1146">
                  <c:v>43503</c:v>
                </c:pt>
                <c:pt idx="1147">
                  <c:v>43502</c:v>
                </c:pt>
                <c:pt idx="1148">
                  <c:v>43501</c:v>
                </c:pt>
                <c:pt idx="1149">
                  <c:v>43497</c:v>
                </c:pt>
                <c:pt idx="1150">
                  <c:v>43496</c:v>
                </c:pt>
                <c:pt idx="1151">
                  <c:v>43495</c:v>
                </c:pt>
                <c:pt idx="1152">
                  <c:v>43494</c:v>
                </c:pt>
                <c:pt idx="1153">
                  <c:v>43493</c:v>
                </c:pt>
                <c:pt idx="1154">
                  <c:v>43490</c:v>
                </c:pt>
                <c:pt idx="1155">
                  <c:v>43489</c:v>
                </c:pt>
                <c:pt idx="1156">
                  <c:v>43488</c:v>
                </c:pt>
                <c:pt idx="1157">
                  <c:v>43487</c:v>
                </c:pt>
                <c:pt idx="1158">
                  <c:v>43486</c:v>
                </c:pt>
                <c:pt idx="1159">
                  <c:v>43483</c:v>
                </c:pt>
                <c:pt idx="1160">
                  <c:v>43482</c:v>
                </c:pt>
                <c:pt idx="1161">
                  <c:v>43481</c:v>
                </c:pt>
                <c:pt idx="1162">
                  <c:v>43479</c:v>
                </c:pt>
                <c:pt idx="1163">
                  <c:v>43476</c:v>
                </c:pt>
              </c:numCache>
            </c:numRef>
          </c:cat>
          <c:val>
            <c:numRef>
              <c:f>'COMB N'!$X$6:$X$1169</c:f>
              <c:numCache>
                <c:formatCode>General</c:formatCode>
                <c:ptCount val="1164"/>
                <c:pt idx="0">
                  <c:v>0.56420000000000003</c:v>
                </c:pt>
                <c:pt idx="1">
                  <c:v>0.57340000000000002</c:v>
                </c:pt>
                <c:pt idx="2">
                  <c:v>0.5796</c:v>
                </c:pt>
                <c:pt idx="3">
                  <c:v>0.58389999999999997</c:v>
                </c:pt>
                <c:pt idx="4">
                  <c:v>0.58509999999999995</c:v>
                </c:pt>
                <c:pt idx="5">
                  <c:v>0.58699999999999997</c:v>
                </c:pt>
                <c:pt idx="6">
                  <c:v>0.58940000000000003</c:v>
                </c:pt>
                <c:pt idx="7">
                  <c:v>0.59560000000000002</c:v>
                </c:pt>
                <c:pt idx="8">
                  <c:v>0.58699999999999997</c:v>
                </c:pt>
                <c:pt idx="9">
                  <c:v>0.5796</c:v>
                </c:pt>
                <c:pt idx="10">
                  <c:v>0.57220000000000004</c:v>
                </c:pt>
                <c:pt idx="11">
                  <c:v>0.57099999999999995</c:v>
                </c:pt>
                <c:pt idx="12">
                  <c:v>0.57279999999999998</c:v>
                </c:pt>
                <c:pt idx="13">
                  <c:v>0.57589999999999997</c:v>
                </c:pt>
                <c:pt idx="14">
                  <c:v>0.57709999999999995</c:v>
                </c:pt>
                <c:pt idx="15">
                  <c:v>0.57709999999999995</c:v>
                </c:pt>
                <c:pt idx="16">
                  <c:v>0.57709999999999995</c:v>
                </c:pt>
                <c:pt idx="17">
                  <c:v>0.57530000000000003</c:v>
                </c:pt>
                <c:pt idx="18">
                  <c:v>0.58020000000000005</c:v>
                </c:pt>
                <c:pt idx="19">
                  <c:v>0.58389999999999997</c:v>
                </c:pt>
                <c:pt idx="20">
                  <c:v>0.57899999999999996</c:v>
                </c:pt>
                <c:pt idx="21">
                  <c:v>0.57709999999999995</c:v>
                </c:pt>
                <c:pt idx="22">
                  <c:v>0.56420000000000003</c:v>
                </c:pt>
                <c:pt idx="23">
                  <c:v>0.55320000000000003</c:v>
                </c:pt>
                <c:pt idx="24">
                  <c:v>0.55130000000000001</c:v>
                </c:pt>
                <c:pt idx="25">
                  <c:v>0.55869999999999997</c:v>
                </c:pt>
                <c:pt idx="26">
                  <c:v>0.55249999999999999</c:v>
                </c:pt>
                <c:pt idx="27">
                  <c:v>0.5353</c:v>
                </c:pt>
                <c:pt idx="28">
                  <c:v>0.52669999999999995</c:v>
                </c:pt>
                <c:pt idx="29">
                  <c:v>0.52549999999999997</c:v>
                </c:pt>
                <c:pt idx="30">
                  <c:v>0.52429999999999999</c:v>
                </c:pt>
                <c:pt idx="31">
                  <c:v>0.52059999999999995</c:v>
                </c:pt>
                <c:pt idx="32">
                  <c:v>0.52239999999999998</c:v>
                </c:pt>
                <c:pt idx="33">
                  <c:v>0.52059999999999995</c:v>
                </c:pt>
                <c:pt idx="34">
                  <c:v>0.51629999999999998</c:v>
                </c:pt>
                <c:pt idx="35">
                  <c:v>0.5101</c:v>
                </c:pt>
                <c:pt idx="36">
                  <c:v>0.51939999999999997</c:v>
                </c:pt>
                <c:pt idx="37">
                  <c:v>0.51939999999999997</c:v>
                </c:pt>
                <c:pt idx="38">
                  <c:v>0.52180000000000004</c:v>
                </c:pt>
                <c:pt idx="39">
                  <c:v>0.52300000000000002</c:v>
                </c:pt>
                <c:pt idx="40">
                  <c:v>0.53469999999999995</c:v>
                </c:pt>
                <c:pt idx="41">
                  <c:v>0.52859999999999996</c:v>
                </c:pt>
                <c:pt idx="42">
                  <c:v>0.53169999999999995</c:v>
                </c:pt>
                <c:pt idx="43">
                  <c:v>0.53410000000000002</c:v>
                </c:pt>
                <c:pt idx="44">
                  <c:v>0.52239999999999998</c:v>
                </c:pt>
                <c:pt idx="45">
                  <c:v>0.51629999999999998</c:v>
                </c:pt>
                <c:pt idx="46">
                  <c:v>0.52059999999999995</c:v>
                </c:pt>
                <c:pt idx="47">
                  <c:v>0.51939999999999997</c:v>
                </c:pt>
                <c:pt idx="48">
                  <c:v>0.5151</c:v>
                </c:pt>
                <c:pt idx="49">
                  <c:v>0.50519999999999998</c:v>
                </c:pt>
                <c:pt idx="50">
                  <c:v>0.50949999999999995</c:v>
                </c:pt>
                <c:pt idx="51">
                  <c:v>0.51080000000000003</c:v>
                </c:pt>
                <c:pt idx="52">
                  <c:v>0.50519999999999998</c:v>
                </c:pt>
                <c:pt idx="53">
                  <c:v>0.50949999999999995</c:v>
                </c:pt>
                <c:pt idx="54">
                  <c:v>0.52180000000000004</c:v>
                </c:pt>
                <c:pt idx="55">
                  <c:v>0.53349999999999997</c:v>
                </c:pt>
                <c:pt idx="56">
                  <c:v>0.53349999999999997</c:v>
                </c:pt>
                <c:pt idx="57">
                  <c:v>0.50219999999999998</c:v>
                </c:pt>
                <c:pt idx="58">
                  <c:v>0.49480000000000002</c:v>
                </c:pt>
                <c:pt idx="59">
                  <c:v>0.49659999999999999</c:v>
                </c:pt>
                <c:pt idx="60">
                  <c:v>0.49419999999999997</c:v>
                </c:pt>
                <c:pt idx="61">
                  <c:v>0.51629999999999998</c:v>
                </c:pt>
                <c:pt idx="62">
                  <c:v>0.5181</c:v>
                </c:pt>
                <c:pt idx="63">
                  <c:v>0.51319999999999999</c:v>
                </c:pt>
                <c:pt idx="64">
                  <c:v>0.51939999999999997</c:v>
                </c:pt>
                <c:pt idx="65">
                  <c:v>0.52</c:v>
                </c:pt>
                <c:pt idx="66">
                  <c:v>0.53349999999999997</c:v>
                </c:pt>
                <c:pt idx="67">
                  <c:v>0.53600000000000003</c:v>
                </c:pt>
                <c:pt idx="68">
                  <c:v>0.53659999999999997</c:v>
                </c:pt>
                <c:pt idx="69">
                  <c:v>0.53839999999999999</c:v>
                </c:pt>
                <c:pt idx="70">
                  <c:v>0.54090000000000005</c:v>
                </c:pt>
                <c:pt idx="71">
                  <c:v>0.5544</c:v>
                </c:pt>
                <c:pt idx="72">
                  <c:v>0.56230000000000002</c:v>
                </c:pt>
                <c:pt idx="73">
                  <c:v>0.56230000000000002</c:v>
                </c:pt>
                <c:pt idx="74">
                  <c:v>0.57310000000000005</c:v>
                </c:pt>
                <c:pt idx="75">
                  <c:v>0.56159999999999999</c:v>
                </c:pt>
                <c:pt idx="76">
                  <c:v>0.56799999999999995</c:v>
                </c:pt>
                <c:pt idx="77">
                  <c:v>0.55720000000000003</c:v>
                </c:pt>
                <c:pt idx="78">
                  <c:v>0.57440000000000002</c:v>
                </c:pt>
                <c:pt idx="79">
                  <c:v>0.58209999999999995</c:v>
                </c:pt>
                <c:pt idx="80">
                  <c:v>0.58720000000000006</c:v>
                </c:pt>
                <c:pt idx="81">
                  <c:v>0.58399999999999996</c:v>
                </c:pt>
                <c:pt idx="82">
                  <c:v>0.57699999999999996</c:v>
                </c:pt>
                <c:pt idx="83">
                  <c:v>0.5776</c:v>
                </c:pt>
                <c:pt idx="84">
                  <c:v>0.59230000000000005</c:v>
                </c:pt>
                <c:pt idx="85">
                  <c:v>0.58779999999999999</c:v>
                </c:pt>
                <c:pt idx="86">
                  <c:v>0.58850000000000002</c:v>
                </c:pt>
                <c:pt idx="87">
                  <c:v>0.60629999999999995</c:v>
                </c:pt>
                <c:pt idx="88">
                  <c:v>0.59550000000000003</c:v>
                </c:pt>
                <c:pt idx="89">
                  <c:v>0.56420000000000003</c:v>
                </c:pt>
                <c:pt idx="90">
                  <c:v>0.55269999999999997</c:v>
                </c:pt>
                <c:pt idx="91">
                  <c:v>0.55530000000000002</c:v>
                </c:pt>
                <c:pt idx="92">
                  <c:v>0.55530000000000002</c:v>
                </c:pt>
                <c:pt idx="93">
                  <c:v>0.55530000000000002</c:v>
                </c:pt>
                <c:pt idx="94">
                  <c:v>0.57569999999999999</c:v>
                </c:pt>
                <c:pt idx="95">
                  <c:v>0.59419999999999995</c:v>
                </c:pt>
                <c:pt idx="96">
                  <c:v>0.57440000000000002</c:v>
                </c:pt>
                <c:pt idx="97">
                  <c:v>0.58850000000000002</c:v>
                </c:pt>
                <c:pt idx="98">
                  <c:v>0.59740000000000004</c:v>
                </c:pt>
                <c:pt idx="99">
                  <c:v>0.61209999999999998</c:v>
                </c:pt>
                <c:pt idx="100">
                  <c:v>0.61719999999999997</c:v>
                </c:pt>
                <c:pt idx="101">
                  <c:v>0.59360000000000002</c:v>
                </c:pt>
                <c:pt idx="102">
                  <c:v>0.61970000000000003</c:v>
                </c:pt>
                <c:pt idx="103">
                  <c:v>0.65739999999999998</c:v>
                </c:pt>
                <c:pt idx="104">
                  <c:v>0.67010000000000003</c:v>
                </c:pt>
                <c:pt idx="105">
                  <c:v>0.66379999999999995</c:v>
                </c:pt>
                <c:pt idx="106">
                  <c:v>0.67010000000000003</c:v>
                </c:pt>
                <c:pt idx="107">
                  <c:v>0.66059999999999997</c:v>
                </c:pt>
                <c:pt idx="108">
                  <c:v>0.6462</c:v>
                </c:pt>
                <c:pt idx="109">
                  <c:v>0.63819999999999999</c:v>
                </c:pt>
                <c:pt idx="110">
                  <c:v>0.60950000000000004</c:v>
                </c:pt>
                <c:pt idx="111">
                  <c:v>0.59289999999999998</c:v>
                </c:pt>
                <c:pt idx="112">
                  <c:v>0.59160000000000001</c:v>
                </c:pt>
                <c:pt idx="113">
                  <c:v>0.59099999999999997</c:v>
                </c:pt>
                <c:pt idx="114">
                  <c:v>0.56420000000000003</c:v>
                </c:pt>
                <c:pt idx="115">
                  <c:v>0.56679999999999997</c:v>
                </c:pt>
                <c:pt idx="116">
                  <c:v>0.57310000000000005</c:v>
                </c:pt>
                <c:pt idx="117">
                  <c:v>0.56289999999999996</c:v>
                </c:pt>
                <c:pt idx="118">
                  <c:v>0.56159999999999999</c:v>
                </c:pt>
                <c:pt idx="119">
                  <c:v>0.56869999999999998</c:v>
                </c:pt>
                <c:pt idx="120">
                  <c:v>0.5534</c:v>
                </c:pt>
                <c:pt idx="121">
                  <c:v>0.5393</c:v>
                </c:pt>
                <c:pt idx="122">
                  <c:v>0.51190000000000002</c:v>
                </c:pt>
                <c:pt idx="123">
                  <c:v>0.49969999999999998</c:v>
                </c:pt>
                <c:pt idx="124">
                  <c:v>0.51380000000000003</c:v>
                </c:pt>
                <c:pt idx="125">
                  <c:v>0.49780000000000002</c:v>
                </c:pt>
                <c:pt idx="126">
                  <c:v>0.501</c:v>
                </c:pt>
                <c:pt idx="127">
                  <c:v>0.50609999999999999</c:v>
                </c:pt>
                <c:pt idx="128">
                  <c:v>0.50800000000000001</c:v>
                </c:pt>
                <c:pt idx="129">
                  <c:v>0.51890000000000003</c:v>
                </c:pt>
                <c:pt idx="130">
                  <c:v>0.51629999999999998</c:v>
                </c:pt>
                <c:pt idx="131">
                  <c:v>0.43459999999999999</c:v>
                </c:pt>
                <c:pt idx="132">
                  <c:v>0.40910000000000002</c:v>
                </c:pt>
                <c:pt idx="133">
                  <c:v>0.4128</c:v>
                </c:pt>
                <c:pt idx="134">
                  <c:v>0.39950000000000002</c:v>
                </c:pt>
                <c:pt idx="135">
                  <c:v>0.39950000000000002</c:v>
                </c:pt>
                <c:pt idx="136">
                  <c:v>0.40010000000000001</c:v>
                </c:pt>
                <c:pt idx="137">
                  <c:v>0.38679999999999998</c:v>
                </c:pt>
                <c:pt idx="138">
                  <c:v>0.39279999999999998</c:v>
                </c:pt>
                <c:pt idx="139">
                  <c:v>0.39889999999999998</c:v>
                </c:pt>
                <c:pt idx="140">
                  <c:v>0.4007</c:v>
                </c:pt>
                <c:pt idx="141">
                  <c:v>0.39279999999999998</c:v>
                </c:pt>
                <c:pt idx="142">
                  <c:v>0.36919999999999997</c:v>
                </c:pt>
                <c:pt idx="143">
                  <c:v>0.3735</c:v>
                </c:pt>
                <c:pt idx="144">
                  <c:v>0.36259999999999998</c:v>
                </c:pt>
                <c:pt idx="145">
                  <c:v>0.35599999999999998</c:v>
                </c:pt>
                <c:pt idx="146">
                  <c:v>0.3463</c:v>
                </c:pt>
                <c:pt idx="147">
                  <c:v>0.35049999999999998</c:v>
                </c:pt>
                <c:pt idx="148">
                  <c:v>0.35110000000000002</c:v>
                </c:pt>
                <c:pt idx="149">
                  <c:v>0.35110000000000002</c:v>
                </c:pt>
                <c:pt idx="150">
                  <c:v>0.34989999999999999</c:v>
                </c:pt>
                <c:pt idx="151">
                  <c:v>0.3427</c:v>
                </c:pt>
                <c:pt idx="152">
                  <c:v>0.34389999999999998</c:v>
                </c:pt>
                <c:pt idx="153">
                  <c:v>0.34449999999999997</c:v>
                </c:pt>
                <c:pt idx="154">
                  <c:v>0.35599999999999998</c:v>
                </c:pt>
                <c:pt idx="155">
                  <c:v>0.35170000000000001</c:v>
                </c:pt>
                <c:pt idx="156">
                  <c:v>0.35349999999999998</c:v>
                </c:pt>
                <c:pt idx="157">
                  <c:v>0.34389999999999998</c:v>
                </c:pt>
                <c:pt idx="158">
                  <c:v>0.33239999999999997</c:v>
                </c:pt>
                <c:pt idx="159">
                  <c:v>0.34079999999999999</c:v>
                </c:pt>
                <c:pt idx="160">
                  <c:v>0.34989999999999999</c:v>
                </c:pt>
                <c:pt idx="161">
                  <c:v>0.35049999999999998</c:v>
                </c:pt>
                <c:pt idx="162">
                  <c:v>0.35049999999999998</c:v>
                </c:pt>
                <c:pt idx="163">
                  <c:v>0.35170000000000001</c:v>
                </c:pt>
                <c:pt idx="164">
                  <c:v>0.35780000000000001</c:v>
                </c:pt>
                <c:pt idx="165">
                  <c:v>0.36380000000000001</c:v>
                </c:pt>
                <c:pt idx="166">
                  <c:v>0.34449999999999997</c:v>
                </c:pt>
                <c:pt idx="167">
                  <c:v>0.34570000000000001</c:v>
                </c:pt>
                <c:pt idx="168">
                  <c:v>0.34079999999999999</c:v>
                </c:pt>
                <c:pt idx="169">
                  <c:v>0.32879999999999998</c:v>
                </c:pt>
                <c:pt idx="170">
                  <c:v>0.32029999999999997</c:v>
                </c:pt>
                <c:pt idx="171">
                  <c:v>0.32750000000000001</c:v>
                </c:pt>
                <c:pt idx="172">
                  <c:v>0.3427</c:v>
                </c:pt>
                <c:pt idx="173">
                  <c:v>0.34510000000000002</c:v>
                </c:pt>
                <c:pt idx="174">
                  <c:v>0.35049999999999998</c:v>
                </c:pt>
                <c:pt idx="175">
                  <c:v>0.34989999999999999</c:v>
                </c:pt>
                <c:pt idx="176">
                  <c:v>0.35110000000000002</c:v>
                </c:pt>
                <c:pt idx="177">
                  <c:v>0.36199999999999999</c:v>
                </c:pt>
                <c:pt idx="178">
                  <c:v>0.36320000000000002</c:v>
                </c:pt>
                <c:pt idx="179">
                  <c:v>0.3644</c:v>
                </c:pt>
                <c:pt idx="180">
                  <c:v>0.36320000000000002</c:v>
                </c:pt>
                <c:pt idx="181">
                  <c:v>0.38069999999999998</c:v>
                </c:pt>
                <c:pt idx="182">
                  <c:v>0.38069999999999998</c:v>
                </c:pt>
                <c:pt idx="183">
                  <c:v>0.38069999999999998</c:v>
                </c:pt>
                <c:pt idx="184">
                  <c:v>0.37769999999999998</c:v>
                </c:pt>
                <c:pt idx="185">
                  <c:v>0.37530000000000002</c:v>
                </c:pt>
                <c:pt idx="186">
                  <c:v>0.37469999999999998</c:v>
                </c:pt>
                <c:pt idx="187">
                  <c:v>0.36919999999999997</c:v>
                </c:pt>
                <c:pt idx="188">
                  <c:v>0.38440000000000002</c:v>
                </c:pt>
                <c:pt idx="189">
                  <c:v>0.38879999999999998</c:v>
                </c:pt>
                <c:pt idx="190">
                  <c:v>0.39529999999999998</c:v>
                </c:pt>
                <c:pt idx="191">
                  <c:v>0.38879999999999998</c:v>
                </c:pt>
                <c:pt idx="192">
                  <c:v>0.39</c:v>
                </c:pt>
                <c:pt idx="193">
                  <c:v>0.39179999999999998</c:v>
                </c:pt>
                <c:pt idx="194">
                  <c:v>0.38579999999999998</c:v>
                </c:pt>
                <c:pt idx="195">
                  <c:v>0.40010000000000001</c:v>
                </c:pt>
                <c:pt idx="196">
                  <c:v>0.40720000000000001</c:v>
                </c:pt>
                <c:pt idx="197">
                  <c:v>0.40960000000000002</c:v>
                </c:pt>
                <c:pt idx="198">
                  <c:v>0.4143</c:v>
                </c:pt>
                <c:pt idx="199">
                  <c:v>0.40129999999999999</c:v>
                </c:pt>
                <c:pt idx="200">
                  <c:v>0.39950000000000002</c:v>
                </c:pt>
                <c:pt idx="201">
                  <c:v>0.3947</c:v>
                </c:pt>
                <c:pt idx="202">
                  <c:v>0.39589999999999997</c:v>
                </c:pt>
                <c:pt idx="203">
                  <c:v>0.3977</c:v>
                </c:pt>
                <c:pt idx="204">
                  <c:v>0.41020000000000001</c:v>
                </c:pt>
                <c:pt idx="205">
                  <c:v>0.41610000000000003</c:v>
                </c:pt>
                <c:pt idx="206">
                  <c:v>0.4173</c:v>
                </c:pt>
                <c:pt idx="207">
                  <c:v>0.40960000000000002</c:v>
                </c:pt>
                <c:pt idx="208">
                  <c:v>0.3977</c:v>
                </c:pt>
                <c:pt idx="209">
                  <c:v>0.38579999999999998</c:v>
                </c:pt>
                <c:pt idx="210">
                  <c:v>0.38579999999999998</c:v>
                </c:pt>
                <c:pt idx="211">
                  <c:v>0.38579999999999998</c:v>
                </c:pt>
                <c:pt idx="212">
                  <c:v>0.39240000000000003</c:v>
                </c:pt>
                <c:pt idx="213">
                  <c:v>0.38579999999999998</c:v>
                </c:pt>
                <c:pt idx="214">
                  <c:v>0.38350000000000001</c:v>
                </c:pt>
                <c:pt idx="215">
                  <c:v>0.38350000000000001</c:v>
                </c:pt>
                <c:pt idx="216">
                  <c:v>0.3876</c:v>
                </c:pt>
                <c:pt idx="217">
                  <c:v>0.371</c:v>
                </c:pt>
                <c:pt idx="218">
                  <c:v>0.3579</c:v>
                </c:pt>
                <c:pt idx="219">
                  <c:v>0.34720000000000001</c:v>
                </c:pt>
                <c:pt idx="220">
                  <c:v>0.3478</c:v>
                </c:pt>
                <c:pt idx="221">
                  <c:v>0.35670000000000002</c:v>
                </c:pt>
                <c:pt idx="222">
                  <c:v>0.36559999999999998</c:v>
                </c:pt>
                <c:pt idx="223">
                  <c:v>0.36509999999999998</c:v>
                </c:pt>
                <c:pt idx="224">
                  <c:v>0.36620000000000003</c:v>
                </c:pt>
                <c:pt idx="225">
                  <c:v>0.36559999999999998</c:v>
                </c:pt>
                <c:pt idx="226">
                  <c:v>0.3674</c:v>
                </c:pt>
                <c:pt idx="227">
                  <c:v>0.38290000000000002</c:v>
                </c:pt>
                <c:pt idx="228">
                  <c:v>0.3579</c:v>
                </c:pt>
                <c:pt idx="229">
                  <c:v>0.3508</c:v>
                </c:pt>
                <c:pt idx="230">
                  <c:v>0.33360000000000001</c:v>
                </c:pt>
                <c:pt idx="231">
                  <c:v>0.33179999999999998</c:v>
                </c:pt>
                <c:pt idx="232">
                  <c:v>0.33360000000000001</c:v>
                </c:pt>
                <c:pt idx="233">
                  <c:v>0.33179999999999998</c:v>
                </c:pt>
                <c:pt idx="234">
                  <c:v>0.33</c:v>
                </c:pt>
                <c:pt idx="235">
                  <c:v>0.33239999999999997</c:v>
                </c:pt>
                <c:pt idx="236">
                  <c:v>0.33829999999999999</c:v>
                </c:pt>
                <c:pt idx="237">
                  <c:v>0.31159999999999999</c:v>
                </c:pt>
                <c:pt idx="238">
                  <c:v>0.29859999999999998</c:v>
                </c:pt>
                <c:pt idx="239">
                  <c:v>0.29920000000000002</c:v>
                </c:pt>
                <c:pt idx="240">
                  <c:v>0.30149999999999999</c:v>
                </c:pt>
                <c:pt idx="241">
                  <c:v>0.29799999999999999</c:v>
                </c:pt>
                <c:pt idx="242">
                  <c:v>0.30330000000000001</c:v>
                </c:pt>
                <c:pt idx="243">
                  <c:v>0.3004</c:v>
                </c:pt>
                <c:pt idx="244">
                  <c:v>0.30270000000000002</c:v>
                </c:pt>
                <c:pt idx="245">
                  <c:v>0.30449999999999999</c:v>
                </c:pt>
                <c:pt idx="246">
                  <c:v>0.3004</c:v>
                </c:pt>
                <c:pt idx="247">
                  <c:v>0.30630000000000002</c:v>
                </c:pt>
                <c:pt idx="248">
                  <c:v>0.30690000000000001</c:v>
                </c:pt>
                <c:pt idx="249">
                  <c:v>0.2974</c:v>
                </c:pt>
                <c:pt idx="250">
                  <c:v>0.29799999999999999</c:v>
                </c:pt>
                <c:pt idx="251">
                  <c:v>0.31059999999999999</c:v>
                </c:pt>
                <c:pt idx="252">
                  <c:v>0.31</c:v>
                </c:pt>
                <c:pt idx="253">
                  <c:v>0.30940000000000001</c:v>
                </c:pt>
                <c:pt idx="254">
                  <c:v>0.31180000000000002</c:v>
                </c:pt>
                <c:pt idx="255">
                  <c:v>0.31</c:v>
                </c:pt>
                <c:pt idx="256">
                  <c:v>0.30940000000000001</c:v>
                </c:pt>
                <c:pt idx="257">
                  <c:v>0.31119999999999998</c:v>
                </c:pt>
                <c:pt idx="258">
                  <c:v>0.31490000000000001</c:v>
                </c:pt>
                <c:pt idx="259">
                  <c:v>0.31869999999999998</c:v>
                </c:pt>
                <c:pt idx="260">
                  <c:v>0.31619999999999998</c:v>
                </c:pt>
                <c:pt idx="261">
                  <c:v>0.3236</c:v>
                </c:pt>
                <c:pt idx="262">
                  <c:v>0.32169999999999999</c:v>
                </c:pt>
                <c:pt idx="263">
                  <c:v>0.31430000000000002</c:v>
                </c:pt>
                <c:pt idx="264">
                  <c:v>0.3125</c:v>
                </c:pt>
                <c:pt idx="265">
                  <c:v>0.31680000000000003</c:v>
                </c:pt>
                <c:pt idx="266">
                  <c:v>0.3125</c:v>
                </c:pt>
                <c:pt idx="267">
                  <c:v>0.31180000000000002</c:v>
                </c:pt>
                <c:pt idx="268">
                  <c:v>0.31559999999999999</c:v>
                </c:pt>
                <c:pt idx="269">
                  <c:v>0.31</c:v>
                </c:pt>
                <c:pt idx="270">
                  <c:v>0.318</c:v>
                </c:pt>
                <c:pt idx="271">
                  <c:v>0.31</c:v>
                </c:pt>
                <c:pt idx="272">
                  <c:v>0.31119999999999998</c:v>
                </c:pt>
                <c:pt idx="273">
                  <c:v>0.31180000000000002</c:v>
                </c:pt>
                <c:pt idx="274">
                  <c:v>0.31059999999999999</c:v>
                </c:pt>
                <c:pt idx="275">
                  <c:v>0.31119999999999998</c:v>
                </c:pt>
                <c:pt idx="276">
                  <c:v>0.30940000000000001</c:v>
                </c:pt>
                <c:pt idx="277">
                  <c:v>0.30940000000000001</c:v>
                </c:pt>
                <c:pt idx="278">
                  <c:v>0.30940000000000001</c:v>
                </c:pt>
                <c:pt idx="279">
                  <c:v>0.31490000000000001</c:v>
                </c:pt>
                <c:pt idx="280">
                  <c:v>0.30940000000000001</c:v>
                </c:pt>
                <c:pt idx="281">
                  <c:v>0.31559999999999999</c:v>
                </c:pt>
                <c:pt idx="282">
                  <c:v>0.31490000000000001</c:v>
                </c:pt>
                <c:pt idx="283">
                  <c:v>0.31180000000000002</c:v>
                </c:pt>
                <c:pt idx="284">
                  <c:v>0.30940000000000001</c:v>
                </c:pt>
                <c:pt idx="285">
                  <c:v>0.30570000000000003</c:v>
                </c:pt>
                <c:pt idx="286">
                  <c:v>0.30320000000000003</c:v>
                </c:pt>
                <c:pt idx="287">
                  <c:v>0.30940000000000001</c:v>
                </c:pt>
                <c:pt idx="288">
                  <c:v>0.30940000000000001</c:v>
                </c:pt>
                <c:pt idx="289">
                  <c:v>0.30940000000000001</c:v>
                </c:pt>
                <c:pt idx="290">
                  <c:v>0.30940000000000001</c:v>
                </c:pt>
                <c:pt idx="291">
                  <c:v>0.31059999999999999</c:v>
                </c:pt>
                <c:pt idx="292">
                  <c:v>0.31</c:v>
                </c:pt>
                <c:pt idx="293">
                  <c:v>0.31</c:v>
                </c:pt>
                <c:pt idx="294">
                  <c:v>0.30880000000000002</c:v>
                </c:pt>
                <c:pt idx="295">
                  <c:v>0.30940000000000001</c:v>
                </c:pt>
                <c:pt idx="296">
                  <c:v>0.31059999999999999</c:v>
                </c:pt>
                <c:pt idx="297">
                  <c:v>0.30940000000000001</c:v>
                </c:pt>
                <c:pt idx="298">
                  <c:v>0.31119999999999998</c:v>
                </c:pt>
                <c:pt idx="299">
                  <c:v>0.30940000000000001</c:v>
                </c:pt>
                <c:pt idx="300">
                  <c:v>0.31430000000000002</c:v>
                </c:pt>
                <c:pt idx="301">
                  <c:v>0.31559999999999999</c:v>
                </c:pt>
                <c:pt idx="302">
                  <c:v>0.31559999999999999</c:v>
                </c:pt>
                <c:pt idx="303">
                  <c:v>0.31559999999999999</c:v>
                </c:pt>
                <c:pt idx="304">
                  <c:v>0.31619999999999998</c:v>
                </c:pt>
                <c:pt idx="305">
                  <c:v>0.31309999999999999</c:v>
                </c:pt>
                <c:pt idx="306">
                  <c:v>0.31559999999999999</c:v>
                </c:pt>
                <c:pt idx="307">
                  <c:v>0.3236</c:v>
                </c:pt>
                <c:pt idx="308">
                  <c:v>0.33160000000000001</c:v>
                </c:pt>
                <c:pt idx="309">
                  <c:v>0.33779999999999999</c:v>
                </c:pt>
                <c:pt idx="310">
                  <c:v>0.34029999999999999</c:v>
                </c:pt>
                <c:pt idx="311">
                  <c:v>0.34499999999999997</c:v>
                </c:pt>
                <c:pt idx="312">
                  <c:v>0.34499999999999997</c:v>
                </c:pt>
                <c:pt idx="313">
                  <c:v>0.34250000000000003</c:v>
                </c:pt>
                <c:pt idx="314">
                  <c:v>0.32740000000000002</c:v>
                </c:pt>
                <c:pt idx="315">
                  <c:v>0.3387</c:v>
                </c:pt>
                <c:pt idx="316">
                  <c:v>0.3412</c:v>
                </c:pt>
                <c:pt idx="317">
                  <c:v>0.34310000000000002</c:v>
                </c:pt>
                <c:pt idx="318">
                  <c:v>0.34560000000000002</c:v>
                </c:pt>
                <c:pt idx="319">
                  <c:v>0.35120000000000001</c:v>
                </c:pt>
                <c:pt idx="320">
                  <c:v>0.3594</c:v>
                </c:pt>
                <c:pt idx="321">
                  <c:v>0.3669</c:v>
                </c:pt>
                <c:pt idx="322">
                  <c:v>0.35120000000000001</c:v>
                </c:pt>
                <c:pt idx="323">
                  <c:v>0.33560000000000001</c:v>
                </c:pt>
                <c:pt idx="324">
                  <c:v>0.32929999999999998</c:v>
                </c:pt>
                <c:pt idx="325">
                  <c:v>0.32619999999999999</c:v>
                </c:pt>
                <c:pt idx="326">
                  <c:v>0.32740000000000002</c:v>
                </c:pt>
                <c:pt idx="327">
                  <c:v>0.32490000000000002</c:v>
                </c:pt>
                <c:pt idx="328">
                  <c:v>0.32490000000000002</c:v>
                </c:pt>
                <c:pt idx="329">
                  <c:v>0.33560000000000001</c:v>
                </c:pt>
                <c:pt idx="330">
                  <c:v>0.33489999999999998</c:v>
                </c:pt>
                <c:pt idx="331">
                  <c:v>0.33429999999999999</c:v>
                </c:pt>
                <c:pt idx="332">
                  <c:v>0.32550000000000001</c:v>
                </c:pt>
                <c:pt idx="333">
                  <c:v>0.32490000000000002</c:v>
                </c:pt>
                <c:pt idx="334">
                  <c:v>0.32619999999999999</c:v>
                </c:pt>
                <c:pt idx="335">
                  <c:v>0.32800000000000001</c:v>
                </c:pt>
                <c:pt idx="336">
                  <c:v>0.32550000000000001</c:v>
                </c:pt>
                <c:pt idx="337">
                  <c:v>0.32679999999999998</c:v>
                </c:pt>
                <c:pt idx="338">
                  <c:v>0.32929999999999998</c:v>
                </c:pt>
                <c:pt idx="339">
                  <c:v>0.3236</c:v>
                </c:pt>
                <c:pt idx="340">
                  <c:v>0.3236</c:v>
                </c:pt>
                <c:pt idx="341">
                  <c:v>0.3211</c:v>
                </c:pt>
                <c:pt idx="342">
                  <c:v>0.32929999999999998</c:v>
                </c:pt>
                <c:pt idx="343">
                  <c:v>0.33679999999999999</c:v>
                </c:pt>
                <c:pt idx="344">
                  <c:v>0.35</c:v>
                </c:pt>
                <c:pt idx="345">
                  <c:v>0.34370000000000001</c:v>
                </c:pt>
                <c:pt idx="346">
                  <c:v>0.34250000000000003</c:v>
                </c:pt>
                <c:pt idx="347">
                  <c:v>0.3387</c:v>
                </c:pt>
                <c:pt idx="348">
                  <c:v>0.33239999999999997</c:v>
                </c:pt>
                <c:pt idx="349">
                  <c:v>0.33239999999999997</c:v>
                </c:pt>
                <c:pt idx="350">
                  <c:v>0.32929999999999998</c:v>
                </c:pt>
                <c:pt idx="351">
                  <c:v>0.33050000000000002</c:v>
                </c:pt>
                <c:pt idx="352">
                  <c:v>0.32929999999999998</c:v>
                </c:pt>
                <c:pt idx="353">
                  <c:v>0.33050000000000002</c:v>
                </c:pt>
                <c:pt idx="354">
                  <c:v>0.33050000000000002</c:v>
                </c:pt>
                <c:pt idx="355">
                  <c:v>0.32679999999999998</c:v>
                </c:pt>
                <c:pt idx="356">
                  <c:v>0.32619999999999999</c:v>
                </c:pt>
                <c:pt idx="357">
                  <c:v>0.32679999999999998</c:v>
                </c:pt>
                <c:pt idx="358">
                  <c:v>0.33239999999999997</c:v>
                </c:pt>
                <c:pt idx="359">
                  <c:v>0.33310000000000001</c:v>
                </c:pt>
                <c:pt idx="360">
                  <c:v>0.3387</c:v>
                </c:pt>
                <c:pt idx="361">
                  <c:v>0.33810000000000001</c:v>
                </c:pt>
                <c:pt idx="362">
                  <c:v>0.3337</c:v>
                </c:pt>
                <c:pt idx="363">
                  <c:v>0.32550000000000001</c:v>
                </c:pt>
                <c:pt idx="364">
                  <c:v>0.32619999999999999</c:v>
                </c:pt>
                <c:pt idx="365">
                  <c:v>0.32300000000000001</c:v>
                </c:pt>
                <c:pt idx="366">
                  <c:v>0.3236</c:v>
                </c:pt>
                <c:pt idx="367">
                  <c:v>0.32619999999999999</c:v>
                </c:pt>
                <c:pt idx="368">
                  <c:v>0.31490000000000001</c:v>
                </c:pt>
                <c:pt idx="369">
                  <c:v>0.31359999999999999</c:v>
                </c:pt>
                <c:pt idx="370">
                  <c:v>0.31359999999999999</c:v>
                </c:pt>
                <c:pt idx="371">
                  <c:v>0.31359999999999999</c:v>
                </c:pt>
                <c:pt idx="372">
                  <c:v>0.31490000000000001</c:v>
                </c:pt>
                <c:pt idx="373">
                  <c:v>0.31669999999999998</c:v>
                </c:pt>
                <c:pt idx="374">
                  <c:v>0.31740000000000002</c:v>
                </c:pt>
                <c:pt idx="375">
                  <c:v>0.3468</c:v>
                </c:pt>
                <c:pt idx="376">
                  <c:v>0.34610000000000002</c:v>
                </c:pt>
                <c:pt idx="377">
                  <c:v>0.34539999999999998</c:v>
                </c:pt>
                <c:pt idx="378">
                  <c:v>0.34749999999999998</c:v>
                </c:pt>
                <c:pt idx="379">
                  <c:v>0.34889999999999999</c:v>
                </c:pt>
                <c:pt idx="380">
                  <c:v>0.35160000000000002</c:v>
                </c:pt>
                <c:pt idx="381">
                  <c:v>0.35099999999999998</c:v>
                </c:pt>
                <c:pt idx="382">
                  <c:v>0.34749999999999998</c:v>
                </c:pt>
                <c:pt idx="383">
                  <c:v>0.34749999999999998</c:v>
                </c:pt>
                <c:pt idx="384">
                  <c:v>0.35099999999999998</c:v>
                </c:pt>
                <c:pt idx="385">
                  <c:v>0.3523</c:v>
                </c:pt>
                <c:pt idx="386">
                  <c:v>0.35580000000000001</c:v>
                </c:pt>
                <c:pt idx="387">
                  <c:v>0.35580000000000001</c:v>
                </c:pt>
                <c:pt idx="388">
                  <c:v>0.3599</c:v>
                </c:pt>
                <c:pt idx="389">
                  <c:v>0.36059999999999998</c:v>
                </c:pt>
                <c:pt idx="390">
                  <c:v>0.35920000000000002</c:v>
                </c:pt>
                <c:pt idx="391">
                  <c:v>0.36270000000000002</c:v>
                </c:pt>
                <c:pt idx="392">
                  <c:v>0.36409999999999998</c:v>
                </c:pt>
                <c:pt idx="393">
                  <c:v>0.36620000000000003</c:v>
                </c:pt>
                <c:pt idx="394">
                  <c:v>0.36749999999999999</c:v>
                </c:pt>
                <c:pt idx="395">
                  <c:v>0.37240000000000001</c:v>
                </c:pt>
                <c:pt idx="396">
                  <c:v>0.36270000000000002</c:v>
                </c:pt>
                <c:pt idx="397">
                  <c:v>0.36480000000000001</c:v>
                </c:pt>
                <c:pt idx="398">
                  <c:v>0.36620000000000003</c:v>
                </c:pt>
                <c:pt idx="399">
                  <c:v>0.36680000000000001</c:v>
                </c:pt>
                <c:pt idx="400">
                  <c:v>0.36820000000000003</c:v>
                </c:pt>
                <c:pt idx="401">
                  <c:v>0.36820000000000003</c:v>
                </c:pt>
                <c:pt idx="402">
                  <c:v>0.36959999999999998</c:v>
                </c:pt>
                <c:pt idx="403">
                  <c:v>0.36820000000000003</c:v>
                </c:pt>
                <c:pt idx="404">
                  <c:v>0.3765</c:v>
                </c:pt>
                <c:pt idx="405">
                  <c:v>0.37930000000000003</c:v>
                </c:pt>
                <c:pt idx="406">
                  <c:v>0.37309999999999999</c:v>
                </c:pt>
                <c:pt idx="407">
                  <c:v>0.3579</c:v>
                </c:pt>
                <c:pt idx="408">
                  <c:v>0.34539999999999998</c:v>
                </c:pt>
                <c:pt idx="409">
                  <c:v>0.35580000000000001</c:v>
                </c:pt>
                <c:pt idx="410">
                  <c:v>0.35859999999999997</c:v>
                </c:pt>
                <c:pt idx="411">
                  <c:v>0.35649999999999998</c:v>
                </c:pt>
                <c:pt idx="412">
                  <c:v>0.35580000000000001</c:v>
                </c:pt>
                <c:pt idx="413">
                  <c:v>0.35920000000000002</c:v>
                </c:pt>
                <c:pt idx="414">
                  <c:v>0.34820000000000001</c:v>
                </c:pt>
                <c:pt idx="415">
                  <c:v>0.34539999999999998</c:v>
                </c:pt>
                <c:pt idx="416">
                  <c:v>0.35160000000000002</c:v>
                </c:pt>
                <c:pt idx="417">
                  <c:v>0.39589999999999997</c:v>
                </c:pt>
                <c:pt idx="418">
                  <c:v>0.41310000000000002</c:v>
                </c:pt>
                <c:pt idx="419">
                  <c:v>0.42209999999999998</c:v>
                </c:pt>
                <c:pt idx="420">
                  <c:v>0.4214</c:v>
                </c:pt>
                <c:pt idx="421">
                  <c:v>0.41449999999999998</c:v>
                </c:pt>
                <c:pt idx="422">
                  <c:v>0.41039999999999999</c:v>
                </c:pt>
                <c:pt idx="423">
                  <c:v>0.43319999999999997</c:v>
                </c:pt>
                <c:pt idx="424">
                  <c:v>0.49919999999999998</c:v>
                </c:pt>
                <c:pt idx="425">
                  <c:v>0.51480000000000004</c:v>
                </c:pt>
                <c:pt idx="426">
                  <c:v>0.53410000000000002</c:v>
                </c:pt>
                <c:pt idx="427">
                  <c:v>0.54269999999999996</c:v>
                </c:pt>
                <c:pt idx="428">
                  <c:v>0.54910000000000003</c:v>
                </c:pt>
                <c:pt idx="429">
                  <c:v>0.54620000000000002</c:v>
                </c:pt>
                <c:pt idx="430">
                  <c:v>0.54910000000000003</c:v>
                </c:pt>
                <c:pt idx="431">
                  <c:v>0.55910000000000004</c:v>
                </c:pt>
                <c:pt idx="432">
                  <c:v>0.55049999999999999</c:v>
                </c:pt>
                <c:pt idx="433">
                  <c:v>0.56189999999999996</c:v>
                </c:pt>
                <c:pt idx="434">
                  <c:v>0.55479999999999996</c:v>
                </c:pt>
                <c:pt idx="435">
                  <c:v>0.55979999999999996</c:v>
                </c:pt>
                <c:pt idx="436">
                  <c:v>0.56330000000000002</c:v>
                </c:pt>
                <c:pt idx="437">
                  <c:v>0.56689999999999996</c:v>
                </c:pt>
                <c:pt idx="438">
                  <c:v>0.55259999999999998</c:v>
                </c:pt>
                <c:pt idx="439">
                  <c:v>0.5655</c:v>
                </c:pt>
                <c:pt idx="440">
                  <c:v>0.57189999999999996</c:v>
                </c:pt>
                <c:pt idx="441">
                  <c:v>0.57969999999999999</c:v>
                </c:pt>
                <c:pt idx="442">
                  <c:v>0.57969999999999999</c:v>
                </c:pt>
                <c:pt idx="443">
                  <c:v>0.57969999999999999</c:v>
                </c:pt>
                <c:pt idx="444">
                  <c:v>0.58399999999999996</c:v>
                </c:pt>
                <c:pt idx="445">
                  <c:v>0.57120000000000004</c:v>
                </c:pt>
                <c:pt idx="446">
                  <c:v>0.56259999999999999</c:v>
                </c:pt>
                <c:pt idx="447">
                  <c:v>0.57050000000000001</c:v>
                </c:pt>
                <c:pt idx="448">
                  <c:v>0.5776</c:v>
                </c:pt>
                <c:pt idx="449">
                  <c:v>0.57120000000000004</c:v>
                </c:pt>
                <c:pt idx="450">
                  <c:v>0.58189999999999997</c:v>
                </c:pt>
                <c:pt idx="451">
                  <c:v>0.58540000000000003</c:v>
                </c:pt>
                <c:pt idx="452">
                  <c:v>0.57120000000000004</c:v>
                </c:pt>
                <c:pt idx="453">
                  <c:v>0.56330000000000002</c:v>
                </c:pt>
                <c:pt idx="454">
                  <c:v>0.56969999999999998</c:v>
                </c:pt>
                <c:pt idx="455">
                  <c:v>0.56969999999999998</c:v>
                </c:pt>
                <c:pt idx="456">
                  <c:v>0.56899999999999995</c:v>
                </c:pt>
                <c:pt idx="457">
                  <c:v>0.57399999999999995</c:v>
                </c:pt>
                <c:pt idx="458">
                  <c:v>0.57469999999999999</c:v>
                </c:pt>
                <c:pt idx="459">
                  <c:v>0.5847</c:v>
                </c:pt>
                <c:pt idx="460">
                  <c:v>0.5847</c:v>
                </c:pt>
                <c:pt idx="461">
                  <c:v>0.58609999999999995</c:v>
                </c:pt>
                <c:pt idx="462">
                  <c:v>0.58899999999999997</c:v>
                </c:pt>
                <c:pt idx="463">
                  <c:v>0.58189999999999997</c:v>
                </c:pt>
                <c:pt idx="464">
                  <c:v>0.58540000000000003</c:v>
                </c:pt>
                <c:pt idx="465">
                  <c:v>0.58540000000000003</c:v>
                </c:pt>
                <c:pt idx="466">
                  <c:v>0.59040000000000004</c:v>
                </c:pt>
                <c:pt idx="467">
                  <c:v>0.60250000000000004</c:v>
                </c:pt>
                <c:pt idx="468">
                  <c:v>0.59540000000000004</c:v>
                </c:pt>
                <c:pt idx="469">
                  <c:v>0.59399999999999997</c:v>
                </c:pt>
                <c:pt idx="470">
                  <c:v>0.59040000000000004</c:v>
                </c:pt>
                <c:pt idx="471">
                  <c:v>0.58399999999999996</c:v>
                </c:pt>
                <c:pt idx="472">
                  <c:v>0.58330000000000004</c:v>
                </c:pt>
                <c:pt idx="473">
                  <c:v>0.5776</c:v>
                </c:pt>
                <c:pt idx="474">
                  <c:v>0.58260000000000001</c:v>
                </c:pt>
                <c:pt idx="475">
                  <c:v>0.59109999999999996</c:v>
                </c:pt>
                <c:pt idx="476">
                  <c:v>0.56899999999999995</c:v>
                </c:pt>
                <c:pt idx="477">
                  <c:v>0.56830000000000003</c:v>
                </c:pt>
                <c:pt idx="478">
                  <c:v>0.56899999999999995</c:v>
                </c:pt>
                <c:pt idx="479">
                  <c:v>0.56899999999999995</c:v>
                </c:pt>
                <c:pt idx="480">
                  <c:v>0.57189999999999996</c:v>
                </c:pt>
                <c:pt idx="481">
                  <c:v>0.5655</c:v>
                </c:pt>
                <c:pt idx="482">
                  <c:v>0.57499999999999996</c:v>
                </c:pt>
                <c:pt idx="483">
                  <c:v>0.56640000000000001</c:v>
                </c:pt>
                <c:pt idx="484">
                  <c:v>0.56569999999999998</c:v>
                </c:pt>
                <c:pt idx="485">
                  <c:v>0.55769999999999997</c:v>
                </c:pt>
                <c:pt idx="486">
                  <c:v>0.5585</c:v>
                </c:pt>
                <c:pt idx="487">
                  <c:v>0.56130000000000002</c:v>
                </c:pt>
                <c:pt idx="488">
                  <c:v>0.55559999999999998</c:v>
                </c:pt>
                <c:pt idx="489">
                  <c:v>0.56130000000000002</c:v>
                </c:pt>
                <c:pt idx="490">
                  <c:v>0.56569999999999998</c:v>
                </c:pt>
                <c:pt idx="491">
                  <c:v>0.57069999999999999</c:v>
                </c:pt>
                <c:pt idx="492">
                  <c:v>0.57289999999999996</c:v>
                </c:pt>
                <c:pt idx="493">
                  <c:v>0.57569999999999999</c:v>
                </c:pt>
                <c:pt idx="494">
                  <c:v>0.57289999999999996</c:v>
                </c:pt>
                <c:pt idx="495">
                  <c:v>0.57430000000000003</c:v>
                </c:pt>
                <c:pt idx="496">
                  <c:v>0.57569999999999999</c:v>
                </c:pt>
                <c:pt idx="497">
                  <c:v>0.57569999999999999</c:v>
                </c:pt>
                <c:pt idx="498">
                  <c:v>0.57720000000000005</c:v>
                </c:pt>
                <c:pt idx="499">
                  <c:v>0.57930000000000004</c:v>
                </c:pt>
                <c:pt idx="500">
                  <c:v>0.58440000000000003</c:v>
                </c:pt>
                <c:pt idx="501">
                  <c:v>0.57650000000000001</c:v>
                </c:pt>
                <c:pt idx="502">
                  <c:v>0.58079999999999998</c:v>
                </c:pt>
                <c:pt idx="503">
                  <c:v>0.58150000000000002</c:v>
                </c:pt>
                <c:pt idx="504">
                  <c:v>0.57650000000000001</c:v>
                </c:pt>
                <c:pt idx="505">
                  <c:v>0.58940000000000003</c:v>
                </c:pt>
                <c:pt idx="506">
                  <c:v>0.59450000000000003</c:v>
                </c:pt>
                <c:pt idx="507">
                  <c:v>0.59809999999999997</c:v>
                </c:pt>
                <c:pt idx="508">
                  <c:v>0.6038</c:v>
                </c:pt>
                <c:pt idx="509">
                  <c:v>0.6038</c:v>
                </c:pt>
                <c:pt idx="510">
                  <c:v>0.60809999999999997</c:v>
                </c:pt>
                <c:pt idx="511">
                  <c:v>0.60960000000000003</c:v>
                </c:pt>
                <c:pt idx="512">
                  <c:v>0.60450000000000004</c:v>
                </c:pt>
                <c:pt idx="513">
                  <c:v>0.60599999999999998</c:v>
                </c:pt>
                <c:pt idx="514">
                  <c:v>0.60450000000000004</c:v>
                </c:pt>
                <c:pt idx="515">
                  <c:v>0.6139</c:v>
                </c:pt>
                <c:pt idx="516">
                  <c:v>0.624</c:v>
                </c:pt>
                <c:pt idx="517">
                  <c:v>0.62319999999999998</c:v>
                </c:pt>
                <c:pt idx="518">
                  <c:v>0.62250000000000005</c:v>
                </c:pt>
                <c:pt idx="519">
                  <c:v>0.62970000000000004</c:v>
                </c:pt>
                <c:pt idx="520">
                  <c:v>0.63260000000000005</c:v>
                </c:pt>
                <c:pt idx="521">
                  <c:v>0.63980000000000004</c:v>
                </c:pt>
                <c:pt idx="522">
                  <c:v>0.63619999999999999</c:v>
                </c:pt>
                <c:pt idx="523">
                  <c:v>0.63690000000000002</c:v>
                </c:pt>
                <c:pt idx="524">
                  <c:v>0.63980000000000004</c:v>
                </c:pt>
                <c:pt idx="525">
                  <c:v>0.63549999999999995</c:v>
                </c:pt>
                <c:pt idx="526">
                  <c:v>0.63039999999999996</c:v>
                </c:pt>
                <c:pt idx="527">
                  <c:v>0.62470000000000003</c:v>
                </c:pt>
                <c:pt idx="528">
                  <c:v>0.63190000000000002</c:v>
                </c:pt>
                <c:pt idx="529">
                  <c:v>0.63549999999999995</c:v>
                </c:pt>
                <c:pt idx="530">
                  <c:v>0.63329999999999997</c:v>
                </c:pt>
                <c:pt idx="531">
                  <c:v>0.624</c:v>
                </c:pt>
                <c:pt idx="532">
                  <c:v>0.61890000000000001</c:v>
                </c:pt>
                <c:pt idx="533">
                  <c:v>0.61750000000000005</c:v>
                </c:pt>
                <c:pt idx="534">
                  <c:v>0.61680000000000001</c:v>
                </c:pt>
                <c:pt idx="535">
                  <c:v>0.63759999999999994</c:v>
                </c:pt>
                <c:pt idx="536">
                  <c:v>0.62609999999999999</c:v>
                </c:pt>
                <c:pt idx="537">
                  <c:v>0.64700000000000002</c:v>
                </c:pt>
                <c:pt idx="538">
                  <c:v>0.65059999999999996</c:v>
                </c:pt>
                <c:pt idx="539">
                  <c:v>0.64629999999999999</c:v>
                </c:pt>
                <c:pt idx="540">
                  <c:v>0.62609999999999999</c:v>
                </c:pt>
                <c:pt idx="541">
                  <c:v>0.60960000000000003</c:v>
                </c:pt>
                <c:pt idx="542">
                  <c:v>0.61170000000000002</c:v>
                </c:pt>
                <c:pt idx="543">
                  <c:v>0.60809999999999997</c:v>
                </c:pt>
                <c:pt idx="544">
                  <c:v>0.5958</c:v>
                </c:pt>
                <c:pt idx="545">
                  <c:v>0.59009999999999996</c:v>
                </c:pt>
                <c:pt idx="546">
                  <c:v>0.59650000000000003</c:v>
                </c:pt>
                <c:pt idx="547">
                  <c:v>0.59719999999999995</c:v>
                </c:pt>
                <c:pt idx="548">
                  <c:v>0.59219999999999995</c:v>
                </c:pt>
                <c:pt idx="549">
                  <c:v>0.59009999999999996</c:v>
                </c:pt>
                <c:pt idx="550">
                  <c:v>0.59150000000000003</c:v>
                </c:pt>
                <c:pt idx="551">
                  <c:v>0.59360000000000002</c:v>
                </c:pt>
                <c:pt idx="552">
                  <c:v>0.59719999999999995</c:v>
                </c:pt>
                <c:pt idx="553">
                  <c:v>0.59650000000000003</c:v>
                </c:pt>
                <c:pt idx="554">
                  <c:v>0.59009999999999996</c:v>
                </c:pt>
                <c:pt idx="555">
                  <c:v>0.58789999999999998</c:v>
                </c:pt>
                <c:pt idx="556">
                  <c:v>0.60070000000000001</c:v>
                </c:pt>
                <c:pt idx="557">
                  <c:v>0.59789999999999999</c:v>
                </c:pt>
                <c:pt idx="558">
                  <c:v>0.6</c:v>
                </c:pt>
                <c:pt idx="559">
                  <c:v>0.60429999999999995</c:v>
                </c:pt>
                <c:pt idx="560">
                  <c:v>0.60499999999999998</c:v>
                </c:pt>
                <c:pt idx="561">
                  <c:v>0.61</c:v>
                </c:pt>
                <c:pt idx="562">
                  <c:v>0.60929999999999995</c:v>
                </c:pt>
                <c:pt idx="563">
                  <c:v>0.60929999999999995</c:v>
                </c:pt>
                <c:pt idx="564">
                  <c:v>0.61850000000000005</c:v>
                </c:pt>
                <c:pt idx="565">
                  <c:v>0.60570000000000002</c:v>
                </c:pt>
                <c:pt idx="566">
                  <c:v>0.62209999999999999</c:v>
                </c:pt>
                <c:pt idx="567">
                  <c:v>0.62629999999999997</c:v>
                </c:pt>
                <c:pt idx="568">
                  <c:v>0.60709999999999997</c:v>
                </c:pt>
                <c:pt idx="569">
                  <c:v>0.60640000000000005</c:v>
                </c:pt>
                <c:pt idx="570">
                  <c:v>0.60360000000000003</c:v>
                </c:pt>
                <c:pt idx="571">
                  <c:v>0.60219999999999996</c:v>
                </c:pt>
                <c:pt idx="572">
                  <c:v>0.60570000000000002</c:v>
                </c:pt>
                <c:pt idx="573">
                  <c:v>0.60499999999999998</c:v>
                </c:pt>
                <c:pt idx="574">
                  <c:v>0.60219999999999996</c:v>
                </c:pt>
                <c:pt idx="575">
                  <c:v>0.59430000000000005</c:v>
                </c:pt>
                <c:pt idx="576">
                  <c:v>0.59430000000000005</c:v>
                </c:pt>
                <c:pt idx="577">
                  <c:v>0.58940000000000003</c:v>
                </c:pt>
                <c:pt idx="578">
                  <c:v>0.59289999999999998</c:v>
                </c:pt>
                <c:pt idx="579">
                  <c:v>0.59009999999999996</c:v>
                </c:pt>
                <c:pt idx="580">
                  <c:v>0.59009999999999996</c:v>
                </c:pt>
                <c:pt idx="581">
                  <c:v>0.59509999999999996</c:v>
                </c:pt>
                <c:pt idx="582">
                  <c:v>0.59430000000000005</c:v>
                </c:pt>
                <c:pt idx="583">
                  <c:v>0.60070000000000001</c:v>
                </c:pt>
                <c:pt idx="584">
                  <c:v>0.60070000000000001</c:v>
                </c:pt>
                <c:pt idx="585">
                  <c:v>0.60499999999999998</c:v>
                </c:pt>
                <c:pt idx="586">
                  <c:v>0.60640000000000005</c:v>
                </c:pt>
                <c:pt idx="587">
                  <c:v>0.60360000000000003</c:v>
                </c:pt>
                <c:pt idx="588">
                  <c:v>0.6</c:v>
                </c:pt>
                <c:pt idx="589">
                  <c:v>0.59719999999999995</c:v>
                </c:pt>
                <c:pt idx="590">
                  <c:v>0.59650000000000003</c:v>
                </c:pt>
                <c:pt idx="591">
                  <c:v>0.60499999999999998</c:v>
                </c:pt>
                <c:pt idx="592">
                  <c:v>0.61709999999999998</c:v>
                </c:pt>
                <c:pt idx="593">
                  <c:v>0.62419999999999998</c:v>
                </c:pt>
                <c:pt idx="594">
                  <c:v>0.62070000000000003</c:v>
                </c:pt>
                <c:pt idx="595">
                  <c:v>0.61850000000000005</c:v>
                </c:pt>
                <c:pt idx="596">
                  <c:v>0.61919999999999997</c:v>
                </c:pt>
                <c:pt idx="597">
                  <c:v>0.61780000000000002</c:v>
                </c:pt>
                <c:pt idx="598">
                  <c:v>0.62070000000000003</c:v>
                </c:pt>
                <c:pt idx="599">
                  <c:v>0.62070000000000003</c:v>
                </c:pt>
                <c:pt idx="600">
                  <c:v>0.61570000000000003</c:v>
                </c:pt>
                <c:pt idx="601">
                  <c:v>0.61499999999999999</c:v>
                </c:pt>
                <c:pt idx="602">
                  <c:v>0.61429999999999996</c:v>
                </c:pt>
                <c:pt idx="603">
                  <c:v>0.61780000000000002</c:v>
                </c:pt>
                <c:pt idx="604">
                  <c:v>0.62490000000000001</c:v>
                </c:pt>
                <c:pt idx="605">
                  <c:v>0.62629999999999997</c:v>
                </c:pt>
                <c:pt idx="606">
                  <c:v>0.62560000000000004</c:v>
                </c:pt>
                <c:pt idx="607">
                  <c:v>0.64790000000000003</c:v>
                </c:pt>
                <c:pt idx="608">
                  <c:v>0.65</c:v>
                </c:pt>
                <c:pt idx="609">
                  <c:v>0.64859999999999995</c:v>
                </c:pt>
                <c:pt idx="610">
                  <c:v>0.64859999999999995</c:v>
                </c:pt>
                <c:pt idx="611">
                  <c:v>0.63629999999999998</c:v>
                </c:pt>
                <c:pt idx="612">
                  <c:v>0.64639999999999997</c:v>
                </c:pt>
                <c:pt idx="613">
                  <c:v>0.65</c:v>
                </c:pt>
                <c:pt idx="614">
                  <c:v>0.64929999999999999</c:v>
                </c:pt>
                <c:pt idx="615">
                  <c:v>0.64929999999999999</c:v>
                </c:pt>
                <c:pt idx="616">
                  <c:v>0.64929999999999999</c:v>
                </c:pt>
                <c:pt idx="617">
                  <c:v>0.65359999999999996</c:v>
                </c:pt>
                <c:pt idx="618">
                  <c:v>0.66010000000000002</c:v>
                </c:pt>
                <c:pt idx="619">
                  <c:v>0.6573</c:v>
                </c:pt>
                <c:pt idx="620">
                  <c:v>0.65439999999999998</c:v>
                </c:pt>
                <c:pt idx="621">
                  <c:v>0.64929999999999999</c:v>
                </c:pt>
                <c:pt idx="622">
                  <c:v>0.66010000000000002</c:v>
                </c:pt>
                <c:pt idx="623">
                  <c:v>0.66159999999999997</c:v>
                </c:pt>
                <c:pt idx="624">
                  <c:v>0.65</c:v>
                </c:pt>
                <c:pt idx="625">
                  <c:v>0.64070000000000005</c:v>
                </c:pt>
                <c:pt idx="626">
                  <c:v>0.64500000000000002</c:v>
                </c:pt>
                <c:pt idx="627">
                  <c:v>0.62770000000000004</c:v>
                </c:pt>
                <c:pt idx="628">
                  <c:v>0.6169</c:v>
                </c:pt>
                <c:pt idx="629">
                  <c:v>0.61040000000000005</c:v>
                </c:pt>
                <c:pt idx="630">
                  <c:v>0.5988</c:v>
                </c:pt>
                <c:pt idx="631">
                  <c:v>0.5988</c:v>
                </c:pt>
                <c:pt idx="632">
                  <c:v>0.60099999999999998</c:v>
                </c:pt>
                <c:pt idx="633">
                  <c:v>0.61250000000000004</c:v>
                </c:pt>
                <c:pt idx="634">
                  <c:v>0.6089</c:v>
                </c:pt>
                <c:pt idx="635">
                  <c:v>0.60460000000000003</c:v>
                </c:pt>
                <c:pt idx="636">
                  <c:v>0.59089999999999998</c:v>
                </c:pt>
                <c:pt idx="637">
                  <c:v>0.58150000000000002</c:v>
                </c:pt>
                <c:pt idx="638">
                  <c:v>0.58150000000000002</c:v>
                </c:pt>
                <c:pt idx="639">
                  <c:v>0.58009999999999995</c:v>
                </c:pt>
                <c:pt idx="640">
                  <c:v>0.57789999999999997</c:v>
                </c:pt>
                <c:pt idx="641">
                  <c:v>0.57430000000000003</c:v>
                </c:pt>
                <c:pt idx="642">
                  <c:v>0.57720000000000005</c:v>
                </c:pt>
                <c:pt idx="643">
                  <c:v>0.57210000000000005</c:v>
                </c:pt>
                <c:pt idx="644">
                  <c:v>0.5736</c:v>
                </c:pt>
                <c:pt idx="645">
                  <c:v>0.58220000000000005</c:v>
                </c:pt>
                <c:pt idx="646">
                  <c:v>0.57720000000000005</c:v>
                </c:pt>
                <c:pt idx="647">
                  <c:v>0.5837</c:v>
                </c:pt>
                <c:pt idx="648">
                  <c:v>0.57210000000000005</c:v>
                </c:pt>
                <c:pt idx="649">
                  <c:v>0.59299999999999997</c:v>
                </c:pt>
                <c:pt idx="650">
                  <c:v>0.60529999999999995</c:v>
                </c:pt>
                <c:pt idx="651">
                  <c:v>0.61250000000000004</c:v>
                </c:pt>
                <c:pt idx="652">
                  <c:v>0.61539999999999995</c:v>
                </c:pt>
                <c:pt idx="653">
                  <c:v>0.62260000000000004</c:v>
                </c:pt>
                <c:pt idx="654">
                  <c:v>0.62619999999999998</c:v>
                </c:pt>
                <c:pt idx="655">
                  <c:v>0.62770000000000004</c:v>
                </c:pt>
                <c:pt idx="656">
                  <c:v>0.62770000000000004</c:v>
                </c:pt>
                <c:pt idx="657">
                  <c:v>0.62119999999999997</c:v>
                </c:pt>
                <c:pt idx="658">
                  <c:v>0.61829999999999996</c:v>
                </c:pt>
                <c:pt idx="659">
                  <c:v>0.61760000000000004</c:v>
                </c:pt>
                <c:pt idx="660">
                  <c:v>0.61829999999999996</c:v>
                </c:pt>
                <c:pt idx="661">
                  <c:v>0.61109999999999998</c:v>
                </c:pt>
                <c:pt idx="662">
                  <c:v>0.61760000000000004</c:v>
                </c:pt>
                <c:pt idx="663">
                  <c:v>0.6169</c:v>
                </c:pt>
                <c:pt idx="664">
                  <c:v>0.66120000000000001</c:v>
                </c:pt>
                <c:pt idx="665">
                  <c:v>0.66559999999999997</c:v>
                </c:pt>
                <c:pt idx="666">
                  <c:v>0.64949999999999997</c:v>
                </c:pt>
                <c:pt idx="667">
                  <c:v>0.65310000000000001</c:v>
                </c:pt>
                <c:pt idx="668">
                  <c:v>0.65680000000000005</c:v>
                </c:pt>
                <c:pt idx="669">
                  <c:v>0.63919999999999999</c:v>
                </c:pt>
                <c:pt idx="670">
                  <c:v>0.63329999999999997</c:v>
                </c:pt>
                <c:pt idx="671">
                  <c:v>0.6341</c:v>
                </c:pt>
                <c:pt idx="672">
                  <c:v>0.62890000000000001</c:v>
                </c:pt>
                <c:pt idx="673">
                  <c:v>0.63039999999999996</c:v>
                </c:pt>
                <c:pt idx="674">
                  <c:v>0.63919999999999999</c:v>
                </c:pt>
                <c:pt idx="675">
                  <c:v>0.64290000000000003</c:v>
                </c:pt>
                <c:pt idx="676">
                  <c:v>0.63700000000000001</c:v>
                </c:pt>
                <c:pt idx="677">
                  <c:v>0.63109999999999999</c:v>
                </c:pt>
                <c:pt idx="678">
                  <c:v>0.64580000000000004</c:v>
                </c:pt>
                <c:pt idx="679">
                  <c:v>0.63190000000000002</c:v>
                </c:pt>
                <c:pt idx="680">
                  <c:v>0.62229999999999996</c:v>
                </c:pt>
                <c:pt idx="681">
                  <c:v>0.61939999999999995</c:v>
                </c:pt>
                <c:pt idx="682">
                  <c:v>0.62890000000000001</c:v>
                </c:pt>
                <c:pt idx="683">
                  <c:v>0.63629999999999998</c:v>
                </c:pt>
                <c:pt idx="684">
                  <c:v>0.64729999999999999</c:v>
                </c:pt>
                <c:pt idx="685">
                  <c:v>0.65090000000000003</c:v>
                </c:pt>
                <c:pt idx="686">
                  <c:v>0.62309999999999999</c:v>
                </c:pt>
                <c:pt idx="687">
                  <c:v>0.63039999999999996</c:v>
                </c:pt>
                <c:pt idx="688">
                  <c:v>0.65239999999999998</c:v>
                </c:pt>
                <c:pt idx="689">
                  <c:v>0.65969999999999995</c:v>
                </c:pt>
                <c:pt idx="690">
                  <c:v>0.64649999999999996</c:v>
                </c:pt>
                <c:pt idx="691">
                  <c:v>0.64649999999999996</c:v>
                </c:pt>
                <c:pt idx="692">
                  <c:v>0.64290000000000003</c:v>
                </c:pt>
                <c:pt idx="693">
                  <c:v>0.66190000000000004</c:v>
                </c:pt>
                <c:pt idx="694">
                  <c:v>0.64580000000000004</c:v>
                </c:pt>
                <c:pt idx="695">
                  <c:v>0.62890000000000001</c:v>
                </c:pt>
                <c:pt idx="696">
                  <c:v>0.64139999999999997</c:v>
                </c:pt>
                <c:pt idx="697">
                  <c:v>0.64359999999999995</c:v>
                </c:pt>
                <c:pt idx="698">
                  <c:v>0.65969999999999995</c:v>
                </c:pt>
                <c:pt idx="699">
                  <c:v>0.67949999999999999</c:v>
                </c:pt>
                <c:pt idx="700">
                  <c:v>0.68169999999999997</c:v>
                </c:pt>
                <c:pt idx="701">
                  <c:v>0.65900000000000003</c:v>
                </c:pt>
                <c:pt idx="702">
                  <c:v>0.70589999999999997</c:v>
                </c:pt>
                <c:pt idx="703">
                  <c:v>0.73080000000000001</c:v>
                </c:pt>
                <c:pt idx="704">
                  <c:v>0.73150000000000004</c:v>
                </c:pt>
                <c:pt idx="705">
                  <c:v>0.73670000000000002</c:v>
                </c:pt>
                <c:pt idx="706">
                  <c:v>0.73850000000000005</c:v>
                </c:pt>
                <c:pt idx="707">
                  <c:v>0.72709999999999997</c:v>
                </c:pt>
                <c:pt idx="708">
                  <c:v>0.68679999999999997</c:v>
                </c:pt>
                <c:pt idx="709">
                  <c:v>0.70879999999999999</c:v>
                </c:pt>
                <c:pt idx="710">
                  <c:v>0.70520000000000005</c:v>
                </c:pt>
                <c:pt idx="711">
                  <c:v>0.6502</c:v>
                </c:pt>
                <c:pt idx="712">
                  <c:v>0.6179</c:v>
                </c:pt>
                <c:pt idx="713">
                  <c:v>0.60109999999999997</c:v>
                </c:pt>
                <c:pt idx="714">
                  <c:v>0.60109999999999997</c:v>
                </c:pt>
                <c:pt idx="715">
                  <c:v>0.60329999999999995</c:v>
                </c:pt>
                <c:pt idx="716">
                  <c:v>0.60399999999999998</c:v>
                </c:pt>
                <c:pt idx="717">
                  <c:v>0.60619999999999996</c:v>
                </c:pt>
                <c:pt idx="718">
                  <c:v>0.60840000000000005</c:v>
                </c:pt>
                <c:pt idx="719">
                  <c:v>0.6099</c:v>
                </c:pt>
                <c:pt idx="720">
                  <c:v>0.61060000000000003</c:v>
                </c:pt>
                <c:pt idx="721">
                  <c:v>0.59299999999999997</c:v>
                </c:pt>
                <c:pt idx="722">
                  <c:v>0.58750000000000002</c:v>
                </c:pt>
                <c:pt idx="723">
                  <c:v>0.58450000000000002</c:v>
                </c:pt>
                <c:pt idx="724">
                  <c:v>0.57720000000000005</c:v>
                </c:pt>
                <c:pt idx="725">
                  <c:v>0.57650000000000001</c:v>
                </c:pt>
                <c:pt idx="726">
                  <c:v>0.58020000000000005</c:v>
                </c:pt>
                <c:pt idx="727">
                  <c:v>0.57940000000000003</c:v>
                </c:pt>
                <c:pt idx="728">
                  <c:v>0.58379999999999999</c:v>
                </c:pt>
                <c:pt idx="729">
                  <c:v>0.58750000000000002</c:v>
                </c:pt>
                <c:pt idx="730">
                  <c:v>0.59109999999999996</c:v>
                </c:pt>
                <c:pt idx="731">
                  <c:v>0.59109999999999996</c:v>
                </c:pt>
                <c:pt idx="732">
                  <c:v>0.59909999999999997</c:v>
                </c:pt>
                <c:pt idx="733">
                  <c:v>0.60570000000000002</c:v>
                </c:pt>
                <c:pt idx="734">
                  <c:v>0.60499999999999998</c:v>
                </c:pt>
                <c:pt idx="735">
                  <c:v>0.60719999999999996</c:v>
                </c:pt>
                <c:pt idx="736">
                  <c:v>0.61670000000000003</c:v>
                </c:pt>
                <c:pt idx="737">
                  <c:v>0.60860000000000003</c:v>
                </c:pt>
                <c:pt idx="738">
                  <c:v>0.59699999999999998</c:v>
                </c:pt>
                <c:pt idx="739">
                  <c:v>0.58819999999999995</c:v>
                </c:pt>
                <c:pt idx="740">
                  <c:v>0.58750000000000002</c:v>
                </c:pt>
                <c:pt idx="741">
                  <c:v>0.58599999999999997</c:v>
                </c:pt>
                <c:pt idx="742">
                  <c:v>0.57509999999999994</c:v>
                </c:pt>
                <c:pt idx="743">
                  <c:v>0.55830000000000002</c:v>
                </c:pt>
                <c:pt idx="744">
                  <c:v>0.55830000000000002</c:v>
                </c:pt>
                <c:pt idx="745">
                  <c:v>0.55679999999999996</c:v>
                </c:pt>
                <c:pt idx="746">
                  <c:v>0.55900000000000005</c:v>
                </c:pt>
                <c:pt idx="747">
                  <c:v>0.55830000000000002</c:v>
                </c:pt>
                <c:pt idx="748">
                  <c:v>0.5554</c:v>
                </c:pt>
                <c:pt idx="749">
                  <c:v>0.55459999999999998</c:v>
                </c:pt>
                <c:pt idx="750">
                  <c:v>0.5554</c:v>
                </c:pt>
                <c:pt idx="751">
                  <c:v>0.55100000000000005</c:v>
                </c:pt>
                <c:pt idx="752">
                  <c:v>0.5554</c:v>
                </c:pt>
                <c:pt idx="753">
                  <c:v>0.56189999999999996</c:v>
                </c:pt>
                <c:pt idx="754">
                  <c:v>0.56189999999999996</c:v>
                </c:pt>
                <c:pt idx="755">
                  <c:v>0.57650000000000001</c:v>
                </c:pt>
                <c:pt idx="756">
                  <c:v>0.56999999999999995</c:v>
                </c:pt>
                <c:pt idx="757">
                  <c:v>0.54810000000000003</c:v>
                </c:pt>
                <c:pt idx="758">
                  <c:v>0.54810000000000003</c:v>
                </c:pt>
                <c:pt idx="759">
                  <c:v>0.54369999999999996</c:v>
                </c:pt>
                <c:pt idx="760">
                  <c:v>0.54369999999999996</c:v>
                </c:pt>
                <c:pt idx="761">
                  <c:v>0.53639999999999999</c:v>
                </c:pt>
                <c:pt idx="762">
                  <c:v>0.53269999999999995</c:v>
                </c:pt>
                <c:pt idx="763">
                  <c:v>0.54220000000000002</c:v>
                </c:pt>
                <c:pt idx="764">
                  <c:v>0.53269999999999995</c:v>
                </c:pt>
                <c:pt idx="765">
                  <c:v>0.53859999999999997</c:v>
                </c:pt>
                <c:pt idx="766">
                  <c:v>0.5393</c:v>
                </c:pt>
                <c:pt idx="767">
                  <c:v>0.54369999999999996</c:v>
                </c:pt>
                <c:pt idx="768">
                  <c:v>0.54369999999999996</c:v>
                </c:pt>
                <c:pt idx="769">
                  <c:v>0.53859999999999997</c:v>
                </c:pt>
                <c:pt idx="770">
                  <c:v>0.55969999999999998</c:v>
                </c:pt>
                <c:pt idx="771">
                  <c:v>0.56479999999999997</c:v>
                </c:pt>
                <c:pt idx="772">
                  <c:v>0.56410000000000005</c:v>
                </c:pt>
                <c:pt idx="773">
                  <c:v>0.56559999999999999</c:v>
                </c:pt>
                <c:pt idx="774">
                  <c:v>0.56630000000000003</c:v>
                </c:pt>
                <c:pt idx="775">
                  <c:v>0.54369999999999996</c:v>
                </c:pt>
                <c:pt idx="776">
                  <c:v>0.54949999999999999</c:v>
                </c:pt>
                <c:pt idx="777">
                  <c:v>0.56189999999999996</c:v>
                </c:pt>
                <c:pt idx="778">
                  <c:v>0.5524</c:v>
                </c:pt>
                <c:pt idx="779">
                  <c:v>0.54290000000000005</c:v>
                </c:pt>
                <c:pt idx="780">
                  <c:v>0.54290000000000005</c:v>
                </c:pt>
                <c:pt idx="781">
                  <c:v>0.54510000000000003</c:v>
                </c:pt>
                <c:pt idx="782">
                  <c:v>0.57799999999999996</c:v>
                </c:pt>
                <c:pt idx="783">
                  <c:v>0.58309999999999995</c:v>
                </c:pt>
                <c:pt idx="784">
                  <c:v>0.57540000000000002</c:v>
                </c:pt>
                <c:pt idx="785">
                  <c:v>0.58189999999999997</c:v>
                </c:pt>
                <c:pt idx="786">
                  <c:v>0.58260000000000001</c:v>
                </c:pt>
                <c:pt idx="787">
                  <c:v>0.58040000000000003</c:v>
                </c:pt>
                <c:pt idx="788">
                  <c:v>0.58189999999999997</c:v>
                </c:pt>
                <c:pt idx="789">
                  <c:v>0.58189999999999997</c:v>
                </c:pt>
                <c:pt idx="790">
                  <c:v>0.59050000000000002</c:v>
                </c:pt>
                <c:pt idx="791">
                  <c:v>0.59560000000000002</c:v>
                </c:pt>
                <c:pt idx="792">
                  <c:v>0.5927</c:v>
                </c:pt>
                <c:pt idx="793">
                  <c:v>0.56820000000000004</c:v>
                </c:pt>
                <c:pt idx="794">
                  <c:v>0.56530000000000002</c:v>
                </c:pt>
                <c:pt idx="795">
                  <c:v>0.57040000000000002</c:v>
                </c:pt>
                <c:pt idx="796">
                  <c:v>0.57179999999999997</c:v>
                </c:pt>
                <c:pt idx="797">
                  <c:v>0.56820000000000004</c:v>
                </c:pt>
                <c:pt idx="798">
                  <c:v>0.56820000000000004</c:v>
                </c:pt>
                <c:pt idx="799">
                  <c:v>0.55810000000000004</c:v>
                </c:pt>
                <c:pt idx="800">
                  <c:v>0.56100000000000005</c:v>
                </c:pt>
                <c:pt idx="801">
                  <c:v>0.56530000000000002</c:v>
                </c:pt>
                <c:pt idx="802">
                  <c:v>0.57250000000000001</c:v>
                </c:pt>
                <c:pt idx="803">
                  <c:v>0.57540000000000002</c:v>
                </c:pt>
                <c:pt idx="804">
                  <c:v>0.58189999999999997</c:v>
                </c:pt>
                <c:pt idx="805">
                  <c:v>0.58620000000000005</c:v>
                </c:pt>
                <c:pt idx="806">
                  <c:v>0.57609999999999995</c:v>
                </c:pt>
                <c:pt idx="807">
                  <c:v>0.58689999999999998</c:v>
                </c:pt>
                <c:pt idx="808">
                  <c:v>0.59119999999999995</c:v>
                </c:pt>
                <c:pt idx="809">
                  <c:v>0.60129999999999995</c:v>
                </c:pt>
                <c:pt idx="810">
                  <c:v>0.59770000000000001</c:v>
                </c:pt>
                <c:pt idx="811">
                  <c:v>0.59699999999999998</c:v>
                </c:pt>
                <c:pt idx="812">
                  <c:v>0.59770000000000001</c:v>
                </c:pt>
                <c:pt idx="813">
                  <c:v>0.59340000000000004</c:v>
                </c:pt>
                <c:pt idx="814">
                  <c:v>0.58979999999999999</c:v>
                </c:pt>
                <c:pt idx="815">
                  <c:v>0.59340000000000004</c:v>
                </c:pt>
                <c:pt idx="816">
                  <c:v>0.59989999999999999</c:v>
                </c:pt>
                <c:pt idx="817">
                  <c:v>0.58260000000000001</c:v>
                </c:pt>
                <c:pt idx="818">
                  <c:v>0.55100000000000005</c:v>
                </c:pt>
                <c:pt idx="819">
                  <c:v>0.54810000000000003</c:v>
                </c:pt>
                <c:pt idx="820">
                  <c:v>0.55310000000000004</c:v>
                </c:pt>
                <c:pt idx="821">
                  <c:v>0.55379999999999996</c:v>
                </c:pt>
                <c:pt idx="822">
                  <c:v>0.55379999999999996</c:v>
                </c:pt>
                <c:pt idx="823">
                  <c:v>0.5524</c:v>
                </c:pt>
                <c:pt idx="824">
                  <c:v>0.53939999999999999</c:v>
                </c:pt>
                <c:pt idx="825">
                  <c:v>0.52070000000000005</c:v>
                </c:pt>
                <c:pt idx="826">
                  <c:v>0.52869999999999995</c:v>
                </c:pt>
                <c:pt idx="827">
                  <c:v>0.5323</c:v>
                </c:pt>
                <c:pt idx="828">
                  <c:v>0.53800000000000003</c:v>
                </c:pt>
                <c:pt idx="829">
                  <c:v>0.53590000000000004</c:v>
                </c:pt>
                <c:pt idx="830">
                  <c:v>0.53510000000000002</c:v>
                </c:pt>
                <c:pt idx="831">
                  <c:v>0.53590000000000004</c:v>
                </c:pt>
                <c:pt idx="832">
                  <c:v>0.5373</c:v>
                </c:pt>
                <c:pt idx="833">
                  <c:v>0.53869999999999996</c:v>
                </c:pt>
                <c:pt idx="834">
                  <c:v>0.5323</c:v>
                </c:pt>
                <c:pt idx="835">
                  <c:v>0.5323</c:v>
                </c:pt>
                <c:pt idx="836">
                  <c:v>0.5222</c:v>
                </c:pt>
                <c:pt idx="837">
                  <c:v>0.52580000000000005</c:v>
                </c:pt>
                <c:pt idx="838">
                  <c:v>0.50919999999999999</c:v>
                </c:pt>
                <c:pt idx="839">
                  <c:v>0.53149999999999997</c:v>
                </c:pt>
                <c:pt idx="840">
                  <c:v>0.55100000000000005</c:v>
                </c:pt>
                <c:pt idx="841">
                  <c:v>0.55100000000000005</c:v>
                </c:pt>
                <c:pt idx="842">
                  <c:v>0.55020000000000002</c:v>
                </c:pt>
                <c:pt idx="843">
                  <c:v>0.54520000000000002</c:v>
                </c:pt>
                <c:pt idx="844">
                  <c:v>0.55020000000000002</c:v>
                </c:pt>
                <c:pt idx="845">
                  <c:v>0.55459999999999998</c:v>
                </c:pt>
                <c:pt idx="846">
                  <c:v>0.56100000000000005</c:v>
                </c:pt>
                <c:pt idx="847">
                  <c:v>0.56679999999999997</c:v>
                </c:pt>
                <c:pt idx="848">
                  <c:v>0.59809999999999997</c:v>
                </c:pt>
                <c:pt idx="849">
                  <c:v>0.5958</c:v>
                </c:pt>
                <c:pt idx="850">
                  <c:v>0.5837</c:v>
                </c:pt>
                <c:pt idx="851">
                  <c:v>0.57679999999999998</c:v>
                </c:pt>
                <c:pt idx="852">
                  <c:v>0.57609999999999995</c:v>
                </c:pt>
                <c:pt idx="853">
                  <c:v>0.56240000000000001</c:v>
                </c:pt>
                <c:pt idx="854">
                  <c:v>0.53890000000000005</c:v>
                </c:pt>
                <c:pt idx="855">
                  <c:v>0.52980000000000005</c:v>
                </c:pt>
                <c:pt idx="856">
                  <c:v>0.53049999999999997</c:v>
                </c:pt>
                <c:pt idx="857">
                  <c:v>0.5222</c:v>
                </c:pt>
                <c:pt idx="858">
                  <c:v>0.5161</c:v>
                </c:pt>
                <c:pt idx="859">
                  <c:v>0.5222</c:v>
                </c:pt>
                <c:pt idx="860">
                  <c:v>0.51160000000000005</c:v>
                </c:pt>
                <c:pt idx="861">
                  <c:v>0.49709999999999999</c:v>
                </c:pt>
                <c:pt idx="862">
                  <c:v>0.49490000000000001</c:v>
                </c:pt>
                <c:pt idx="863">
                  <c:v>0.48199999999999998</c:v>
                </c:pt>
                <c:pt idx="864">
                  <c:v>0.47589999999999999</c:v>
                </c:pt>
                <c:pt idx="865">
                  <c:v>0.47820000000000001</c:v>
                </c:pt>
                <c:pt idx="866">
                  <c:v>0.47289999999999999</c:v>
                </c:pt>
                <c:pt idx="867">
                  <c:v>0.46750000000000003</c:v>
                </c:pt>
                <c:pt idx="868">
                  <c:v>0.47820000000000001</c:v>
                </c:pt>
                <c:pt idx="869">
                  <c:v>0.49180000000000001</c:v>
                </c:pt>
                <c:pt idx="870">
                  <c:v>0.48580000000000001</c:v>
                </c:pt>
                <c:pt idx="871">
                  <c:v>0.48499999999999999</c:v>
                </c:pt>
                <c:pt idx="872">
                  <c:v>0.51690000000000003</c:v>
                </c:pt>
                <c:pt idx="873">
                  <c:v>0.53280000000000005</c:v>
                </c:pt>
                <c:pt idx="874">
                  <c:v>0.4713</c:v>
                </c:pt>
                <c:pt idx="875">
                  <c:v>0.43719999999999998</c:v>
                </c:pt>
                <c:pt idx="876">
                  <c:v>0.42580000000000001</c:v>
                </c:pt>
                <c:pt idx="877">
                  <c:v>0.41589999999999999</c:v>
                </c:pt>
                <c:pt idx="878">
                  <c:v>0.38030000000000003</c:v>
                </c:pt>
                <c:pt idx="879">
                  <c:v>0.42049999999999998</c:v>
                </c:pt>
                <c:pt idx="880">
                  <c:v>0.41820000000000002</c:v>
                </c:pt>
                <c:pt idx="881">
                  <c:v>0.41739999999999999</c:v>
                </c:pt>
                <c:pt idx="882">
                  <c:v>0.45619999999999999</c:v>
                </c:pt>
                <c:pt idx="883">
                  <c:v>0.55110000000000003</c:v>
                </c:pt>
                <c:pt idx="884">
                  <c:v>0.57330000000000003</c:v>
                </c:pt>
                <c:pt idx="885">
                  <c:v>0.59619999999999995</c:v>
                </c:pt>
                <c:pt idx="886">
                  <c:v>0.59009999999999996</c:v>
                </c:pt>
                <c:pt idx="887">
                  <c:v>0.60919999999999996</c:v>
                </c:pt>
                <c:pt idx="888">
                  <c:v>0.61909999999999998</c:v>
                </c:pt>
                <c:pt idx="889">
                  <c:v>0.64590000000000003</c:v>
                </c:pt>
                <c:pt idx="890">
                  <c:v>0.65580000000000005</c:v>
                </c:pt>
                <c:pt idx="891">
                  <c:v>0.65739999999999998</c:v>
                </c:pt>
                <c:pt idx="892">
                  <c:v>0.65349999999999997</c:v>
                </c:pt>
                <c:pt idx="893">
                  <c:v>0.66879999999999995</c:v>
                </c:pt>
                <c:pt idx="894">
                  <c:v>0.66500000000000004</c:v>
                </c:pt>
                <c:pt idx="895">
                  <c:v>0.68030000000000002</c:v>
                </c:pt>
                <c:pt idx="896">
                  <c:v>0.68640000000000001</c:v>
                </c:pt>
                <c:pt idx="897">
                  <c:v>0.68789999999999996</c:v>
                </c:pt>
                <c:pt idx="898">
                  <c:v>0.68720000000000003</c:v>
                </c:pt>
                <c:pt idx="899">
                  <c:v>0.6734</c:v>
                </c:pt>
                <c:pt idx="900">
                  <c:v>0.65349999999999997</c:v>
                </c:pt>
                <c:pt idx="901">
                  <c:v>0.65349999999999997</c:v>
                </c:pt>
                <c:pt idx="902">
                  <c:v>0.66649999999999998</c:v>
                </c:pt>
                <c:pt idx="903">
                  <c:v>0.67949999999999999</c:v>
                </c:pt>
                <c:pt idx="904">
                  <c:v>0.70320000000000005</c:v>
                </c:pt>
                <c:pt idx="905">
                  <c:v>0.70699999999999996</c:v>
                </c:pt>
                <c:pt idx="906">
                  <c:v>0.70479999999999998</c:v>
                </c:pt>
                <c:pt idx="907">
                  <c:v>0.70479999999999998</c:v>
                </c:pt>
                <c:pt idx="908">
                  <c:v>0.71089999999999998</c:v>
                </c:pt>
                <c:pt idx="909">
                  <c:v>0.70630000000000004</c:v>
                </c:pt>
                <c:pt idx="910">
                  <c:v>0.70320000000000005</c:v>
                </c:pt>
                <c:pt idx="911">
                  <c:v>0.70320000000000005</c:v>
                </c:pt>
                <c:pt idx="912">
                  <c:v>0.70320000000000005</c:v>
                </c:pt>
                <c:pt idx="913">
                  <c:v>0.71089999999999998</c:v>
                </c:pt>
                <c:pt idx="914">
                  <c:v>0.71089999999999998</c:v>
                </c:pt>
                <c:pt idx="915">
                  <c:v>0.7147</c:v>
                </c:pt>
                <c:pt idx="916">
                  <c:v>0.7147</c:v>
                </c:pt>
                <c:pt idx="917">
                  <c:v>0.70320000000000005</c:v>
                </c:pt>
                <c:pt idx="918">
                  <c:v>0.70320000000000005</c:v>
                </c:pt>
                <c:pt idx="919">
                  <c:v>0.68789999999999996</c:v>
                </c:pt>
                <c:pt idx="920">
                  <c:v>0.68720000000000003</c:v>
                </c:pt>
                <c:pt idx="921">
                  <c:v>0.70320000000000005</c:v>
                </c:pt>
                <c:pt idx="922">
                  <c:v>0.70169999999999999</c:v>
                </c:pt>
                <c:pt idx="923">
                  <c:v>0.69410000000000005</c:v>
                </c:pt>
                <c:pt idx="924">
                  <c:v>0.70930000000000004</c:v>
                </c:pt>
                <c:pt idx="925">
                  <c:v>0.70320000000000005</c:v>
                </c:pt>
                <c:pt idx="926">
                  <c:v>0.71699999999999997</c:v>
                </c:pt>
                <c:pt idx="927">
                  <c:v>0.71850000000000003</c:v>
                </c:pt>
                <c:pt idx="928">
                  <c:v>0.72619999999999996</c:v>
                </c:pt>
                <c:pt idx="929">
                  <c:v>0.72619999999999996</c:v>
                </c:pt>
                <c:pt idx="930">
                  <c:v>0.72619999999999996</c:v>
                </c:pt>
                <c:pt idx="931">
                  <c:v>0.75519999999999998</c:v>
                </c:pt>
                <c:pt idx="932">
                  <c:v>0.76390000000000002</c:v>
                </c:pt>
                <c:pt idx="933">
                  <c:v>0.7631</c:v>
                </c:pt>
                <c:pt idx="934">
                  <c:v>0.75600000000000001</c:v>
                </c:pt>
                <c:pt idx="935">
                  <c:v>0.75600000000000001</c:v>
                </c:pt>
                <c:pt idx="936">
                  <c:v>0.76070000000000004</c:v>
                </c:pt>
                <c:pt idx="937">
                  <c:v>0.76390000000000002</c:v>
                </c:pt>
                <c:pt idx="938">
                  <c:v>0.76390000000000002</c:v>
                </c:pt>
                <c:pt idx="939">
                  <c:v>0.76390000000000002</c:v>
                </c:pt>
                <c:pt idx="940">
                  <c:v>0.76</c:v>
                </c:pt>
                <c:pt idx="941">
                  <c:v>0.76</c:v>
                </c:pt>
                <c:pt idx="942">
                  <c:v>0.75919999999999999</c:v>
                </c:pt>
                <c:pt idx="943">
                  <c:v>0.76700000000000002</c:v>
                </c:pt>
                <c:pt idx="944">
                  <c:v>0.76390000000000002</c:v>
                </c:pt>
                <c:pt idx="945">
                  <c:v>0.77180000000000004</c:v>
                </c:pt>
                <c:pt idx="946">
                  <c:v>0.77100000000000002</c:v>
                </c:pt>
                <c:pt idx="947">
                  <c:v>0.77180000000000004</c:v>
                </c:pt>
                <c:pt idx="948">
                  <c:v>0.77959999999999996</c:v>
                </c:pt>
                <c:pt idx="949">
                  <c:v>0.77810000000000001</c:v>
                </c:pt>
                <c:pt idx="950">
                  <c:v>0.7883</c:v>
                </c:pt>
                <c:pt idx="951">
                  <c:v>0.7954</c:v>
                </c:pt>
                <c:pt idx="952">
                  <c:v>0.78749999999999998</c:v>
                </c:pt>
                <c:pt idx="953">
                  <c:v>0.79069999999999996</c:v>
                </c:pt>
                <c:pt idx="954">
                  <c:v>0.79300000000000004</c:v>
                </c:pt>
                <c:pt idx="955">
                  <c:v>0.79779999999999995</c:v>
                </c:pt>
                <c:pt idx="956">
                  <c:v>0.79930000000000001</c:v>
                </c:pt>
                <c:pt idx="957">
                  <c:v>0.80479999999999996</c:v>
                </c:pt>
                <c:pt idx="958">
                  <c:v>0.81510000000000005</c:v>
                </c:pt>
                <c:pt idx="959">
                  <c:v>0.80169999999999997</c:v>
                </c:pt>
                <c:pt idx="960">
                  <c:v>0.77959999999999996</c:v>
                </c:pt>
                <c:pt idx="961">
                  <c:v>0.77959999999999996</c:v>
                </c:pt>
                <c:pt idx="962">
                  <c:v>0.77649999999999997</c:v>
                </c:pt>
                <c:pt idx="963">
                  <c:v>0.77810000000000001</c:v>
                </c:pt>
                <c:pt idx="964">
                  <c:v>0.76549999999999996</c:v>
                </c:pt>
                <c:pt idx="965">
                  <c:v>0.76780000000000004</c:v>
                </c:pt>
                <c:pt idx="966">
                  <c:v>0.77100000000000002</c:v>
                </c:pt>
                <c:pt idx="967">
                  <c:v>0.77890000000000004</c:v>
                </c:pt>
                <c:pt idx="968">
                  <c:v>0.77180000000000004</c:v>
                </c:pt>
                <c:pt idx="969">
                  <c:v>0.7631</c:v>
                </c:pt>
                <c:pt idx="970">
                  <c:v>0.76390000000000002</c:v>
                </c:pt>
                <c:pt idx="971">
                  <c:v>0.7702</c:v>
                </c:pt>
                <c:pt idx="972">
                  <c:v>0.77180000000000004</c:v>
                </c:pt>
                <c:pt idx="973">
                  <c:v>0.77569999999999995</c:v>
                </c:pt>
                <c:pt idx="974">
                  <c:v>0.77259999999999995</c:v>
                </c:pt>
                <c:pt idx="975">
                  <c:v>0.77959999999999996</c:v>
                </c:pt>
                <c:pt idx="976">
                  <c:v>0.77959999999999996</c:v>
                </c:pt>
                <c:pt idx="977">
                  <c:v>0.77959999999999996</c:v>
                </c:pt>
                <c:pt idx="978">
                  <c:v>0.77890000000000004</c:v>
                </c:pt>
                <c:pt idx="979">
                  <c:v>0.77810000000000001</c:v>
                </c:pt>
                <c:pt idx="980">
                  <c:v>0.77180000000000004</c:v>
                </c:pt>
                <c:pt idx="981">
                  <c:v>0.77180000000000004</c:v>
                </c:pt>
                <c:pt idx="982">
                  <c:v>0.77959999999999996</c:v>
                </c:pt>
                <c:pt idx="983">
                  <c:v>0.77959999999999996</c:v>
                </c:pt>
                <c:pt idx="984">
                  <c:v>0.78039999999999998</c:v>
                </c:pt>
                <c:pt idx="985">
                  <c:v>0.77959999999999996</c:v>
                </c:pt>
                <c:pt idx="986">
                  <c:v>0.78669999999999995</c:v>
                </c:pt>
                <c:pt idx="987">
                  <c:v>0.77959999999999996</c:v>
                </c:pt>
                <c:pt idx="988">
                  <c:v>0.78039999999999998</c:v>
                </c:pt>
                <c:pt idx="989">
                  <c:v>0.77490000000000003</c:v>
                </c:pt>
                <c:pt idx="990">
                  <c:v>0.77180000000000004</c:v>
                </c:pt>
                <c:pt idx="991">
                  <c:v>0.77180000000000004</c:v>
                </c:pt>
                <c:pt idx="992">
                  <c:v>0.77259999999999995</c:v>
                </c:pt>
                <c:pt idx="993">
                  <c:v>0.81269999999999998</c:v>
                </c:pt>
                <c:pt idx="994">
                  <c:v>0.81189999999999996</c:v>
                </c:pt>
                <c:pt idx="995">
                  <c:v>0.80449999999999999</c:v>
                </c:pt>
                <c:pt idx="996">
                  <c:v>0.80530000000000002</c:v>
                </c:pt>
                <c:pt idx="997">
                  <c:v>0.81599999999999995</c:v>
                </c:pt>
                <c:pt idx="998">
                  <c:v>0.82089999999999996</c:v>
                </c:pt>
                <c:pt idx="999">
                  <c:v>0.82089999999999996</c:v>
                </c:pt>
                <c:pt idx="1000">
                  <c:v>0.83650000000000002</c:v>
                </c:pt>
                <c:pt idx="1001">
                  <c:v>0.83730000000000004</c:v>
                </c:pt>
                <c:pt idx="1002">
                  <c:v>0.84550000000000003</c:v>
                </c:pt>
                <c:pt idx="1003">
                  <c:v>0.84960000000000002</c:v>
                </c:pt>
                <c:pt idx="1004">
                  <c:v>0.84140000000000004</c:v>
                </c:pt>
                <c:pt idx="1005">
                  <c:v>0.83979999999999999</c:v>
                </c:pt>
                <c:pt idx="1006">
                  <c:v>0.84219999999999995</c:v>
                </c:pt>
                <c:pt idx="1007">
                  <c:v>0.85129999999999995</c:v>
                </c:pt>
                <c:pt idx="1008">
                  <c:v>0.87009999999999998</c:v>
                </c:pt>
                <c:pt idx="1009">
                  <c:v>0.87419999999999998</c:v>
                </c:pt>
                <c:pt idx="1010">
                  <c:v>0.87829999999999997</c:v>
                </c:pt>
                <c:pt idx="1011">
                  <c:v>0.88329999999999997</c:v>
                </c:pt>
                <c:pt idx="1012">
                  <c:v>0.8841</c:v>
                </c:pt>
                <c:pt idx="1013">
                  <c:v>0.88660000000000005</c:v>
                </c:pt>
                <c:pt idx="1014">
                  <c:v>0.87829999999999997</c:v>
                </c:pt>
                <c:pt idx="1015">
                  <c:v>0.87829999999999997</c:v>
                </c:pt>
                <c:pt idx="1016">
                  <c:v>0.87009999999999998</c:v>
                </c:pt>
                <c:pt idx="1017">
                  <c:v>0.87009999999999998</c:v>
                </c:pt>
                <c:pt idx="1018">
                  <c:v>0.86850000000000005</c:v>
                </c:pt>
                <c:pt idx="1019">
                  <c:v>0.87829999999999997</c:v>
                </c:pt>
                <c:pt idx="1020">
                  <c:v>0.871</c:v>
                </c:pt>
                <c:pt idx="1021">
                  <c:v>0.86270000000000002</c:v>
                </c:pt>
                <c:pt idx="1022">
                  <c:v>0.87009999999999998</c:v>
                </c:pt>
                <c:pt idx="1023">
                  <c:v>0.87009999999999998</c:v>
                </c:pt>
                <c:pt idx="1024">
                  <c:v>0.89559999999999995</c:v>
                </c:pt>
                <c:pt idx="1025">
                  <c:v>0.88570000000000004</c:v>
                </c:pt>
                <c:pt idx="1026">
                  <c:v>0.86270000000000002</c:v>
                </c:pt>
                <c:pt idx="1027">
                  <c:v>0.87829999999999997</c:v>
                </c:pt>
                <c:pt idx="1028">
                  <c:v>0.85370000000000001</c:v>
                </c:pt>
                <c:pt idx="1029">
                  <c:v>0.86360000000000003</c:v>
                </c:pt>
                <c:pt idx="1030">
                  <c:v>0.86109999999999998</c:v>
                </c:pt>
                <c:pt idx="1031">
                  <c:v>0.87419999999999998</c:v>
                </c:pt>
                <c:pt idx="1032">
                  <c:v>0.90129999999999999</c:v>
                </c:pt>
                <c:pt idx="1033">
                  <c:v>0.91120000000000001</c:v>
                </c:pt>
                <c:pt idx="1034">
                  <c:v>0.9284</c:v>
                </c:pt>
                <c:pt idx="1035">
                  <c:v>0.89800000000000002</c:v>
                </c:pt>
                <c:pt idx="1036">
                  <c:v>0.89480000000000004</c:v>
                </c:pt>
                <c:pt idx="1037">
                  <c:v>0.85289999999999999</c:v>
                </c:pt>
                <c:pt idx="1038">
                  <c:v>0.83240000000000003</c:v>
                </c:pt>
                <c:pt idx="1039">
                  <c:v>0.82420000000000004</c:v>
                </c:pt>
                <c:pt idx="1040">
                  <c:v>0.83160000000000001</c:v>
                </c:pt>
                <c:pt idx="1041">
                  <c:v>0.80859999999999999</c:v>
                </c:pt>
                <c:pt idx="1042">
                  <c:v>0.79710000000000003</c:v>
                </c:pt>
                <c:pt idx="1043">
                  <c:v>0.77329999999999999</c:v>
                </c:pt>
                <c:pt idx="1044">
                  <c:v>0.77080000000000004</c:v>
                </c:pt>
                <c:pt idx="1045">
                  <c:v>0.77490000000000003</c:v>
                </c:pt>
                <c:pt idx="1046">
                  <c:v>0.7651</c:v>
                </c:pt>
                <c:pt idx="1047">
                  <c:v>0.77659999999999996</c:v>
                </c:pt>
                <c:pt idx="1048">
                  <c:v>0.78390000000000004</c:v>
                </c:pt>
                <c:pt idx="1049">
                  <c:v>0.7954</c:v>
                </c:pt>
                <c:pt idx="1050">
                  <c:v>0.78480000000000005</c:v>
                </c:pt>
                <c:pt idx="1051">
                  <c:v>0.77739999999999998</c:v>
                </c:pt>
                <c:pt idx="1052">
                  <c:v>0.77410000000000001</c:v>
                </c:pt>
                <c:pt idx="1053">
                  <c:v>0.76339999999999997</c:v>
                </c:pt>
                <c:pt idx="1054">
                  <c:v>0.75439999999999996</c:v>
                </c:pt>
                <c:pt idx="1055">
                  <c:v>0.78600000000000003</c:v>
                </c:pt>
                <c:pt idx="1056">
                  <c:v>0.78180000000000005</c:v>
                </c:pt>
                <c:pt idx="1057">
                  <c:v>0.78090000000000004</c:v>
                </c:pt>
                <c:pt idx="1058">
                  <c:v>0.78600000000000003</c:v>
                </c:pt>
                <c:pt idx="1059">
                  <c:v>0.79120000000000001</c:v>
                </c:pt>
                <c:pt idx="1060">
                  <c:v>0.79890000000000005</c:v>
                </c:pt>
                <c:pt idx="1061">
                  <c:v>0.79969999999999997</c:v>
                </c:pt>
                <c:pt idx="1062">
                  <c:v>0.80310000000000004</c:v>
                </c:pt>
                <c:pt idx="1063">
                  <c:v>0.79890000000000005</c:v>
                </c:pt>
                <c:pt idx="1064">
                  <c:v>0.7954</c:v>
                </c:pt>
                <c:pt idx="1065">
                  <c:v>0.79710000000000003</c:v>
                </c:pt>
                <c:pt idx="1066">
                  <c:v>0.80910000000000004</c:v>
                </c:pt>
                <c:pt idx="1067">
                  <c:v>0.8014</c:v>
                </c:pt>
                <c:pt idx="1068">
                  <c:v>0.78769999999999996</c:v>
                </c:pt>
                <c:pt idx="1069">
                  <c:v>0.78180000000000005</c:v>
                </c:pt>
                <c:pt idx="1070">
                  <c:v>0.76890000000000003</c:v>
                </c:pt>
                <c:pt idx="1071">
                  <c:v>0.76890000000000003</c:v>
                </c:pt>
                <c:pt idx="1072">
                  <c:v>0.77749999999999997</c:v>
                </c:pt>
                <c:pt idx="1073">
                  <c:v>0.78259999999999996</c:v>
                </c:pt>
                <c:pt idx="1074">
                  <c:v>0.78949999999999998</c:v>
                </c:pt>
                <c:pt idx="1075">
                  <c:v>0.78690000000000004</c:v>
                </c:pt>
                <c:pt idx="1076">
                  <c:v>0.78520000000000001</c:v>
                </c:pt>
                <c:pt idx="1077">
                  <c:v>0.7732</c:v>
                </c:pt>
                <c:pt idx="1078">
                  <c:v>0.76980000000000004</c:v>
                </c:pt>
                <c:pt idx="1079">
                  <c:v>0.7732</c:v>
                </c:pt>
                <c:pt idx="1080">
                  <c:v>0.76890000000000003</c:v>
                </c:pt>
                <c:pt idx="1081">
                  <c:v>0.76890000000000003</c:v>
                </c:pt>
                <c:pt idx="1082">
                  <c:v>0.76039999999999996</c:v>
                </c:pt>
                <c:pt idx="1083">
                  <c:v>0.75960000000000005</c:v>
                </c:pt>
                <c:pt idx="1084">
                  <c:v>0.76470000000000005</c:v>
                </c:pt>
                <c:pt idx="1085">
                  <c:v>0.7681</c:v>
                </c:pt>
                <c:pt idx="1086">
                  <c:v>0.76890000000000003</c:v>
                </c:pt>
                <c:pt idx="1087">
                  <c:v>0.76890000000000003</c:v>
                </c:pt>
                <c:pt idx="1088">
                  <c:v>0.76890000000000003</c:v>
                </c:pt>
                <c:pt idx="1089">
                  <c:v>0.77580000000000005</c:v>
                </c:pt>
                <c:pt idx="1090">
                  <c:v>0.78180000000000005</c:v>
                </c:pt>
                <c:pt idx="1091">
                  <c:v>0.78520000000000001</c:v>
                </c:pt>
                <c:pt idx="1092">
                  <c:v>0.79120000000000001</c:v>
                </c:pt>
                <c:pt idx="1093">
                  <c:v>0.78259999999999996</c:v>
                </c:pt>
                <c:pt idx="1094">
                  <c:v>0.78600000000000003</c:v>
                </c:pt>
                <c:pt idx="1095">
                  <c:v>0.78090000000000004</c:v>
                </c:pt>
                <c:pt idx="1096">
                  <c:v>0.78520000000000001</c:v>
                </c:pt>
                <c:pt idx="1097">
                  <c:v>0.79369999999999996</c:v>
                </c:pt>
                <c:pt idx="1098">
                  <c:v>0.79459999999999997</c:v>
                </c:pt>
                <c:pt idx="1099">
                  <c:v>0.79290000000000005</c:v>
                </c:pt>
                <c:pt idx="1100">
                  <c:v>0.81940000000000002</c:v>
                </c:pt>
                <c:pt idx="1101">
                  <c:v>0.82879999999999998</c:v>
                </c:pt>
                <c:pt idx="1102">
                  <c:v>0.82879999999999998</c:v>
                </c:pt>
                <c:pt idx="1103">
                  <c:v>0.8347</c:v>
                </c:pt>
                <c:pt idx="1104">
                  <c:v>0.83730000000000004</c:v>
                </c:pt>
                <c:pt idx="1105">
                  <c:v>0.8407</c:v>
                </c:pt>
                <c:pt idx="1106">
                  <c:v>0.84499999999999997</c:v>
                </c:pt>
                <c:pt idx="1107">
                  <c:v>0.85270000000000001</c:v>
                </c:pt>
                <c:pt idx="1108">
                  <c:v>0.85440000000000005</c:v>
                </c:pt>
                <c:pt idx="1109">
                  <c:v>0.85440000000000005</c:v>
                </c:pt>
                <c:pt idx="1110">
                  <c:v>0.85440000000000005</c:v>
                </c:pt>
                <c:pt idx="1111">
                  <c:v>0.85099999999999998</c:v>
                </c:pt>
                <c:pt idx="1112">
                  <c:v>0.85270000000000001</c:v>
                </c:pt>
                <c:pt idx="1113">
                  <c:v>0.84330000000000005</c:v>
                </c:pt>
                <c:pt idx="1114">
                  <c:v>0.83379999999999999</c:v>
                </c:pt>
                <c:pt idx="1115">
                  <c:v>0.83379999999999999</c:v>
                </c:pt>
                <c:pt idx="1116">
                  <c:v>0.83809999999999996</c:v>
                </c:pt>
                <c:pt idx="1117">
                  <c:v>0.83299999999999996</c:v>
                </c:pt>
                <c:pt idx="1118">
                  <c:v>0.83550000000000002</c:v>
                </c:pt>
                <c:pt idx="1119">
                  <c:v>0.83379999999999999</c:v>
                </c:pt>
                <c:pt idx="1120">
                  <c:v>0.83809999999999996</c:v>
                </c:pt>
                <c:pt idx="1121">
                  <c:v>0.84650000000000003</c:v>
                </c:pt>
                <c:pt idx="1122">
                  <c:v>0.83809999999999996</c:v>
                </c:pt>
                <c:pt idx="1123">
                  <c:v>0.83809999999999996</c:v>
                </c:pt>
                <c:pt idx="1124">
                  <c:v>0.82110000000000005</c:v>
                </c:pt>
                <c:pt idx="1125">
                  <c:v>0.84650000000000003</c:v>
                </c:pt>
                <c:pt idx="1126">
                  <c:v>0.85160000000000002</c:v>
                </c:pt>
                <c:pt idx="1127">
                  <c:v>0.86339999999999995</c:v>
                </c:pt>
                <c:pt idx="1128">
                  <c:v>0.87870000000000004</c:v>
                </c:pt>
                <c:pt idx="1129">
                  <c:v>0.87190000000000001</c:v>
                </c:pt>
                <c:pt idx="1130">
                  <c:v>0.87190000000000001</c:v>
                </c:pt>
                <c:pt idx="1131">
                  <c:v>0.87190000000000001</c:v>
                </c:pt>
                <c:pt idx="1132">
                  <c:v>0.89219999999999999</c:v>
                </c:pt>
                <c:pt idx="1133">
                  <c:v>0.90490000000000004</c:v>
                </c:pt>
                <c:pt idx="1134">
                  <c:v>0.91339999999999999</c:v>
                </c:pt>
                <c:pt idx="1135">
                  <c:v>0.89729999999999999</c:v>
                </c:pt>
                <c:pt idx="1136">
                  <c:v>0.90659999999999996</c:v>
                </c:pt>
                <c:pt idx="1137">
                  <c:v>0.9032</c:v>
                </c:pt>
                <c:pt idx="1138">
                  <c:v>0.91510000000000002</c:v>
                </c:pt>
                <c:pt idx="1139">
                  <c:v>0.92689999999999995</c:v>
                </c:pt>
                <c:pt idx="1140">
                  <c:v>0.92949999999999999</c:v>
                </c:pt>
                <c:pt idx="1141">
                  <c:v>0.93959999999999999</c:v>
                </c:pt>
                <c:pt idx="1142">
                  <c:v>0.93959999999999999</c:v>
                </c:pt>
                <c:pt idx="1143">
                  <c:v>0.9405</c:v>
                </c:pt>
                <c:pt idx="1144">
                  <c:v>0.94299999999999995</c:v>
                </c:pt>
                <c:pt idx="1145">
                  <c:v>0.94299999999999995</c:v>
                </c:pt>
                <c:pt idx="1146">
                  <c:v>0.94640000000000002</c:v>
                </c:pt>
                <c:pt idx="1147">
                  <c:v>0.9506</c:v>
                </c:pt>
                <c:pt idx="1148">
                  <c:v>0.96499999999999997</c:v>
                </c:pt>
                <c:pt idx="1149">
                  <c:v>0.96499999999999997</c:v>
                </c:pt>
                <c:pt idx="1150">
                  <c:v>0.96499999999999997</c:v>
                </c:pt>
                <c:pt idx="1151">
                  <c:v>0.96499999999999997</c:v>
                </c:pt>
                <c:pt idx="1152">
                  <c:v>0.9667</c:v>
                </c:pt>
                <c:pt idx="1153">
                  <c:v>0.96589999999999998</c:v>
                </c:pt>
                <c:pt idx="1154">
                  <c:v>0.96079999999999999</c:v>
                </c:pt>
                <c:pt idx="1155">
                  <c:v>0.95660000000000001</c:v>
                </c:pt>
                <c:pt idx="1156">
                  <c:v>0.95740000000000003</c:v>
                </c:pt>
                <c:pt idx="1157">
                  <c:v>0.96330000000000005</c:v>
                </c:pt>
                <c:pt idx="1158">
                  <c:v>0.96499999999999997</c:v>
                </c:pt>
                <c:pt idx="1159">
                  <c:v>0.96930000000000005</c:v>
                </c:pt>
                <c:pt idx="1160">
                  <c:v>0.9718</c:v>
                </c:pt>
                <c:pt idx="1161">
                  <c:v>0.97350000000000003</c:v>
                </c:pt>
                <c:pt idx="1162">
                  <c:v>0.9667</c:v>
                </c:pt>
                <c:pt idx="1163">
                  <c:v>0.96499999999999997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6-4E11-A0C2-9A05E31F7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3968"/>
        <c:axId val="147159504"/>
      </c:areaChart>
      <c:dateAx>
        <c:axId val="194339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59504"/>
        <c:crosses val="autoZero"/>
        <c:auto val="1"/>
        <c:lblOffset val="100"/>
        <c:baseTimeUnit val="days"/>
      </c:dateAx>
      <c:valAx>
        <c:axId val="14715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Growth in Loan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2'!$C$5</c:f>
              <c:strCache>
                <c:ptCount val="1"/>
                <c:pt idx="0">
                  <c:v>Loans and advanves to customers (LHS) (LKR Bn)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'chart 2'!$D$4:$J$4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2023F</c:v>
                </c:pt>
                <c:pt idx="5">
                  <c:v>2024F</c:v>
                </c:pt>
                <c:pt idx="6">
                  <c:v>2025F</c:v>
                </c:pt>
              </c:strCache>
            </c:strRef>
          </c:cat>
          <c:val>
            <c:numRef>
              <c:f>'chart 2'!$D$5:$J$5</c:f>
              <c:numCache>
                <c:formatCode>_(* #,##0_);_(* \(#,##0\);_(* "-"??_);_(@_)</c:formatCode>
                <c:ptCount val="7"/>
                <c:pt idx="0">
                  <c:v>893.91931099999999</c:v>
                </c:pt>
                <c:pt idx="1">
                  <c:v>909.82917199999997</c:v>
                </c:pt>
                <c:pt idx="2">
                  <c:v>1029.584075</c:v>
                </c:pt>
                <c:pt idx="3">
                  <c:v>1155.4925270000001</c:v>
                </c:pt>
                <c:pt idx="4">
                  <c:v>1214.9486664333899</c:v>
                </c:pt>
                <c:pt idx="5">
                  <c:v>1426.3530317591888</c:v>
                </c:pt>
                <c:pt idx="6">
                  <c:v>1651.2079041463344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7-4B2D-8884-F05720BF3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5866591"/>
        <c:axId val="1202450928"/>
      </c:barChart>
      <c:lineChart>
        <c:grouping val="standard"/>
        <c:varyColors val="0"/>
        <c:ser>
          <c:idx val="1"/>
          <c:order val="1"/>
          <c:tx>
            <c:strRef>
              <c:f>'chart 2'!$C$6</c:f>
              <c:strCache>
                <c:ptCount val="1"/>
                <c:pt idx="0">
                  <c:v>Growth YoY (%) (RHS)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'chart 2'!$D$4:$J$4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2023F</c:v>
                </c:pt>
                <c:pt idx="5">
                  <c:v>2024F</c:v>
                </c:pt>
                <c:pt idx="6">
                  <c:v>2025F</c:v>
                </c:pt>
              </c:strCache>
            </c:strRef>
          </c:cat>
          <c:val>
            <c:numRef>
              <c:f>'chart 2'!$D$6:$J$6</c:f>
              <c:numCache>
                <c:formatCode>0%</c:formatCode>
                <c:ptCount val="7"/>
                <c:pt idx="0">
                  <c:v>3.0321544339770634E-2</c:v>
                </c:pt>
                <c:pt idx="1">
                  <c:v>1.7797871468065773E-2</c:v>
                </c:pt>
                <c:pt idx="2">
                  <c:v>0.13162350327452454</c:v>
                </c:pt>
                <c:pt idx="3">
                  <c:v>0.12229059778338169</c:v>
                </c:pt>
                <c:pt idx="4">
                  <c:v>5.1455234927183513E-2</c:v>
                </c:pt>
                <c:pt idx="5">
                  <c:v>0.1740027139964675</c:v>
                </c:pt>
                <c:pt idx="6">
                  <c:v>0.15764321130920966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77-4B2D-8884-F05720BF3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6101952"/>
        <c:axId val="67786815"/>
      </c:lineChart>
      <c:catAx>
        <c:axId val="658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450928"/>
        <c:crosses val="autoZero"/>
        <c:auto val="1"/>
        <c:lblAlgn val="ctr"/>
        <c:lblOffset val="100"/>
        <c:noMultiLvlLbl val="0"/>
      </c:catAx>
      <c:valAx>
        <c:axId val="12024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66591"/>
        <c:crosses val="autoZero"/>
        <c:crossBetween val="between"/>
      </c:valAx>
      <c:valAx>
        <c:axId val="6778681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101952"/>
        <c:crosses val="max"/>
        <c:crossBetween val="between"/>
      </c:valAx>
      <c:catAx>
        <c:axId val="2126101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786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Movement of interest rates and spreads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2'!$L$26</c:f>
              <c:strCache>
                <c:ptCount val="1"/>
                <c:pt idx="0">
                  <c:v>AWPR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 2'!$K$27:$K$87</c:f>
              <c:numCache>
                <c:formatCode>mmm\-yy</c:formatCode>
                <c:ptCount val="6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</c:numCache>
            </c:numRef>
          </c:cat>
          <c:val>
            <c:numRef>
              <c:f>'chart 2'!$L$27:$L$87</c:f>
              <c:numCache>
                <c:formatCode>0.00%</c:formatCode>
                <c:ptCount val="61"/>
                <c:pt idx="0">
                  <c:v>0.12050000000000001</c:v>
                </c:pt>
                <c:pt idx="1">
                  <c:v>0.12300000000000001</c:v>
                </c:pt>
                <c:pt idx="2">
                  <c:v>0.12230000000000001</c:v>
                </c:pt>
                <c:pt idx="3">
                  <c:v>0.1207</c:v>
                </c:pt>
                <c:pt idx="4">
                  <c:v>0.1201</c:v>
                </c:pt>
                <c:pt idx="5">
                  <c:v>0.11449999999999999</c:v>
                </c:pt>
                <c:pt idx="6">
                  <c:v>0.10929999999999999</c:v>
                </c:pt>
                <c:pt idx="7">
                  <c:v>0.1069</c:v>
                </c:pt>
                <c:pt idx="8">
                  <c:v>0.1057</c:v>
                </c:pt>
                <c:pt idx="9">
                  <c:v>0.1042</c:v>
                </c:pt>
                <c:pt idx="10">
                  <c:v>0.10210000000000001</c:v>
                </c:pt>
                <c:pt idx="11">
                  <c:v>0.1</c:v>
                </c:pt>
                <c:pt idx="12">
                  <c:v>9.6799999999999997E-2</c:v>
                </c:pt>
                <c:pt idx="13">
                  <c:v>9.5100000000000004E-2</c:v>
                </c:pt>
                <c:pt idx="14">
                  <c:v>9.35E-2</c:v>
                </c:pt>
                <c:pt idx="15">
                  <c:v>9.3800000000000008E-2</c:v>
                </c:pt>
                <c:pt idx="16">
                  <c:v>9.2799999999999994E-2</c:v>
                </c:pt>
                <c:pt idx="17">
                  <c:v>8.7799999999999989E-2</c:v>
                </c:pt>
                <c:pt idx="18">
                  <c:v>7.7899999999999997E-2</c:v>
                </c:pt>
                <c:pt idx="19">
                  <c:v>7.0099999999999996E-2</c:v>
                </c:pt>
                <c:pt idx="20">
                  <c:v>6.4199999999999993E-2</c:v>
                </c:pt>
                <c:pt idx="21">
                  <c:v>6.0999999999999999E-2</c:v>
                </c:pt>
                <c:pt idx="22">
                  <c:v>5.9500000000000004E-2</c:v>
                </c:pt>
                <c:pt idx="23">
                  <c:v>5.74E-2</c:v>
                </c:pt>
                <c:pt idx="24">
                  <c:v>5.8200000000000002E-2</c:v>
                </c:pt>
                <c:pt idx="25">
                  <c:v>5.7200000000000001E-2</c:v>
                </c:pt>
                <c:pt idx="26">
                  <c:v>5.67E-2</c:v>
                </c:pt>
                <c:pt idx="27">
                  <c:v>5.6500000000000002E-2</c:v>
                </c:pt>
                <c:pt idx="28">
                  <c:v>5.6900000000000006E-2</c:v>
                </c:pt>
                <c:pt idx="29">
                  <c:v>5.67E-2</c:v>
                </c:pt>
                <c:pt idx="30">
                  <c:v>5.6950000000000001E-2</c:v>
                </c:pt>
                <c:pt idx="31">
                  <c:v>5.8499999999999996E-2</c:v>
                </c:pt>
                <c:pt idx="32">
                  <c:v>6.3899999999999998E-2</c:v>
                </c:pt>
                <c:pt idx="33">
                  <c:v>7.1800000000000003E-2</c:v>
                </c:pt>
                <c:pt idx="34">
                  <c:v>7.8899999999999998E-2</c:v>
                </c:pt>
                <c:pt idx="35">
                  <c:v>8.3299999999999999E-2</c:v>
                </c:pt>
                <c:pt idx="36">
                  <c:v>8.4199999999999997E-2</c:v>
                </c:pt>
                <c:pt idx="37">
                  <c:v>8.9499999999999996E-2</c:v>
                </c:pt>
                <c:pt idx="38">
                  <c:v>9.4700000000000006E-2</c:v>
                </c:pt>
                <c:pt idx="39">
                  <c:v>0.13019999999999998</c:v>
                </c:pt>
                <c:pt idx="40">
                  <c:v>0.20489999999999997</c:v>
                </c:pt>
                <c:pt idx="41">
                  <c:v>0.21940000000000001</c:v>
                </c:pt>
                <c:pt idx="42">
                  <c:v>0.23230000000000001</c:v>
                </c:pt>
                <c:pt idx="43">
                  <c:v>0.25258000000000003</c:v>
                </c:pt>
                <c:pt idx="44">
                  <c:v>0.2616</c:v>
                </c:pt>
                <c:pt idx="45">
                  <c:v>0.28100000000000003</c:v>
                </c:pt>
                <c:pt idx="46">
                  <c:v>0.28249999999999997</c:v>
                </c:pt>
                <c:pt idx="47">
                  <c:v>0.28190000000000004</c:v>
                </c:pt>
                <c:pt idx="48">
                  <c:v>0.26729999999999998</c:v>
                </c:pt>
                <c:pt idx="49">
                  <c:v>0.24710000000000001</c:v>
                </c:pt>
                <c:pt idx="50">
                  <c:v>0.22420000000000001</c:v>
                </c:pt>
                <c:pt idx="51">
                  <c:v>0.218</c:v>
                </c:pt>
                <c:pt idx="52">
                  <c:v>0.20809999999999998</c:v>
                </c:pt>
                <c:pt idx="53">
                  <c:v>0.20039999999999999</c:v>
                </c:pt>
                <c:pt idx="54">
                  <c:v>0.182</c:v>
                </c:pt>
                <c:pt idx="55">
                  <c:v>0.16109999999999999</c:v>
                </c:pt>
                <c:pt idx="56">
                  <c:v>0.14960000000000001</c:v>
                </c:pt>
                <c:pt idx="57">
                  <c:v>0.1386</c:v>
                </c:pt>
                <c:pt idx="58">
                  <c:v>0.1305</c:v>
                </c:pt>
                <c:pt idx="59">
                  <c:v>0.12130000000000001</c:v>
                </c:pt>
                <c:pt idx="60">
                  <c:v>0.11869999999999999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8-49F4-AA53-F4E74CF41D5E}"/>
            </c:ext>
          </c:extLst>
        </c:ser>
        <c:ser>
          <c:idx val="1"/>
          <c:order val="1"/>
          <c:tx>
            <c:strRef>
              <c:f>'chart 2'!$M$26</c:f>
              <c:strCache>
                <c:ptCount val="1"/>
                <c:pt idx="0">
                  <c:v>AWDR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2'!$K$27:$K$87</c:f>
              <c:numCache>
                <c:formatCode>mmm\-yy</c:formatCode>
                <c:ptCount val="6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</c:numCache>
            </c:numRef>
          </c:cat>
          <c:val>
            <c:numRef>
              <c:f>'chart 2'!$M$27:$M$87</c:f>
              <c:numCache>
                <c:formatCode>0.00%</c:formatCode>
                <c:ptCount val="61"/>
                <c:pt idx="0">
                  <c:v>8.8499999999999995E-2</c:v>
                </c:pt>
                <c:pt idx="1">
                  <c:v>8.8800000000000004E-2</c:v>
                </c:pt>
                <c:pt idx="2">
                  <c:v>8.9800000000000005E-2</c:v>
                </c:pt>
                <c:pt idx="3">
                  <c:v>8.9700000000000002E-2</c:v>
                </c:pt>
                <c:pt idx="4">
                  <c:v>0.09</c:v>
                </c:pt>
                <c:pt idx="5">
                  <c:v>8.9399999999999993E-2</c:v>
                </c:pt>
                <c:pt idx="6">
                  <c:v>8.8800000000000004E-2</c:v>
                </c:pt>
                <c:pt idx="7">
                  <c:v>8.7300000000000003E-2</c:v>
                </c:pt>
                <c:pt idx="8">
                  <c:v>8.5099999999999995E-2</c:v>
                </c:pt>
                <c:pt idx="9">
                  <c:v>8.3699999999999997E-2</c:v>
                </c:pt>
                <c:pt idx="10">
                  <c:v>8.2699999999999996E-2</c:v>
                </c:pt>
                <c:pt idx="11">
                  <c:v>8.199999999999999E-2</c:v>
                </c:pt>
                <c:pt idx="12">
                  <c:v>8.14E-2</c:v>
                </c:pt>
                <c:pt idx="13">
                  <c:v>8.0600000000000005E-2</c:v>
                </c:pt>
                <c:pt idx="14">
                  <c:v>7.9000000000000001E-2</c:v>
                </c:pt>
                <c:pt idx="15">
                  <c:v>7.7699999999999991E-2</c:v>
                </c:pt>
                <c:pt idx="16">
                  <c:v>7.5700000000000003E-2</c:v>
                </c:pt>
                <c:pt idx="17">
                  <c:v>7.3800000000000004E-2</c:v>
                </c:pt>
                <c:pt idx="18">
                  <c:v>7.1599999999999997E-2</c:v>
                </c:pt>
                <c:pt idx="19">
                  <c:v>6.7400000000000002E-2</c:v>
                </c:pt>
                <c:pt idx="20">
                  <c:v>6.4399999999999999E-2</c:v>
                </c:pt>
                <c:pt idx="21">
                  <c:v>6.2300000000000001E-2</c:v>
                </c:pt>
                <c:pt idx="22">
                  <c:v>6.0100000000000001E-2</c:v>
                </c:pt>
                <c:pt idx="23">
                  <c:v>5.7999999999999996E-2</c:v>
                </c:pt>
                <c:pt idx="24">
                  <c:v>5.5800000000000002E-2</c:v>
                </c:pt>
                <c:pt idx="25">
                  <c:v>5.3600000000000002E-2</c:v>
                </c:pt>
                <c:pt idx="26">
                  <c:v>5.2000000000000005E-2</c:v>
                </c:pt>
                <c:pt idx="27">
                  <c:v>5.0700000000000002E-2</c:v>
                </c:pt>
                <c:pt idx="28">
                  <c:v>4.9699999999999994E-2</c:v>
                </c:pt>
                <c:pt idx="29">
                  <c:v>4.87E-2</c:v>
                </c:pt>
                <c:pt idx="30">
                  <c:v>4.7699999999999992E-2</c:v>
                </c:pt>
                <c:pt idx="31">
                  <c:v>4.7500000000000001E-2</c:v>
                </c:pt>
                <c:pt idx="32">
                  <c:v>4.7500000000000001E-2</c:v>
                </c:pt>
                <c:pt idx="33">
                  <c:v>4.7899999999999998E-2</c:v>
                </c:pt>
                <c:pt idx="34">
                  <c:v>4.82E-2</c:v>
                </c:pt>
                <c:pt idx="35">
                  <c:v>4.9400000000000006E-2</c:v>
                </c:pt>
                <c:pt idx="36">
                  <c:v>5.0099999999999999E-2</c:v>
                </c:pt>
                <c:pt idx="37">
                  <c:v>5.0700000000000002E-2</c:v>
                </c:pt>
                <c:pt idx="38">
                  <c:v>5.1699999999999996E-2</c:v>
                </c:pt>
                <c:pt idx="39">
                  <c:v>5.5199999999999999E-2</c:v>
                </c:pt>
                <c:pt idx="40">
                  <c:v>6.9900000000000004E-2</c:v>
                </c:pt>
                <c:pt idx="41">
                  <c:v>8.4100000000000008E-2</c:v>
                </c:pt>
                <c:pt idx="42">
                  <c:v>9.5600000000000004E-2</c:v>
                </c:pt>
                <c:pt idx="43">
                  <c:v>0.10490000000000001</c:v>
                </c:pt>
                <c:pt idx="44">
                  <c:v>0.11630000000000001</c:v>
                </c:pt>
                <c:pt idx="45">
                  <c:v>0.126</c:v>
                </c:pt>
                <c:pt idx="46">
                  <c:v>0.13369999999999999</c:v>
                </c:pt>
                <c:pt idx="47">
                  <c:v>0.1406</c:v>
                </c:pt>
                <c:pt idx="48">
                  <c:v>0.14630000000000001</c:v>
                </c:pt>
                <c:pt idx="49">
                  <c:v>0.1474</c:v>
                </c:pt>
                <c:pt idx="50">
                  <c:v>0.15060000000000001</c:v>
                </c:pt>
                <c:pt idx="51">
                  <c:v>0.1512</c:v>
                </c:pt>
                <c:pt idx="52">
                  <c:v>0.15229999999999999</c:v>
                </c:pt>
                <c:pt idx="53">
                  <c:v>0.15090000000000001</c:v>
                </c:pt>
                <c:pt idx="54">
                  <c:v>0.14760000000000001</c:v>
                </c:pt>
                <c:pt idx="55">
                  <c:v>0.14150000000000001</c:v>
                </c:pt>
                <c:pt idx="56">
                  <c:v>0.13390000000000002</c:v>
                </c:pt>
                <c:pt idx="57">
                  <c:v>0.1275</c:v>
                </c:pt>
                <c:pt idx="58">
                  <c:v>0.1211</c:v>
                </c:pt>
                <c:pt idx="59">
                  <c:v>0.1164</c:v>
                </c:pt>
                <c:pt idx="60">
                  <c:v>0.1164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08-49F4-AA53-F4E74CF41D5E}"/>
            </c:ext>
          </c:extLst>
        </c:ser>
        <c:ser>
          <c:idx val="2"/>
          <c:order val="2"/>
          <c:tx>
            <c:strRef>
              <c:f>'chart 2'!$N$26</c:f>
              <c:strCache>
                <c:ptCount val="1"/>
                <c:pt idx="0">
                  <c:v>Spread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'chart 2'!$K$27:$K$87</c:f>
              <c:numCache>
                <c:formatCode>mmm\-yy</c:formatCode>
                <c:ptCount val="6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</c:numCache>
            </c:numRef>
          </c:cat>
          <c:val>
            <c:numRef>
              <c:f>'chart 2'!$N$27:$N$87</c:f>
              <c:numCache>
                <c:formatCode>0.00%</c:formatCode>
                <c:ptCount val="61"/>
                <c:pt idx="0">
                  <c:v>3.2000000000000015E-2</c:v>
                </c:pt>
                <c:pt idx="1">
                  <c:v>3.4200000000000008E-2</c:v>
                </c:pt>
                <c:pt idx="2">
                  <c:v>3.2500000000000001E-2</c:v>
                </c:pt>
                <c:pt idx="3">
                  <c:v>3.1E-2</c:v>
                </c:pt>
                <c:pt idx="4">
                  <c:v>3.0100000000000002E-2</c:v>
                </c:pt>
                <c:pt idx="5">
                  <c:v>2.5099999999999997E-2</c:v>
                </c:pt>
                <c:pt idx="6">
                  <c:v>2.049999999999999E-2</c:v>
                </c:pt>
                <c:pt idx="7">
                  <c:v>1.9599999999999992E-2</c:v>
                </c:pt>
                <c:pt idx="8">
                  <c:v>2.0600000000000007E-2</c:v>
                </c:pt>
                <c:pt idx="9">
                  <c:v>2.0500000000000004E-2</c:v>
                </c:pt>
                <c:pt idx="10">
                  <c:v>1.9400000000000014E-2</c:v>
                </c:pt>
                <c:pt idx="11">
                  <c:v>1.8000000000000016E-2</c:v>
                </c:pt>
                <c:pt idx="12">
                  <c:v>1.5399999999999997E-2</c:v>
                </c:pt>
                <c:pt idx="13">
                  <c:v>1.4499999999999999E-2</c:v>
                </c:pt>
                <c:pt idx="14">
                  <c:v>1.4499999999999999E-2</c:v>
                </c:pt>
                <c:pt idx="15">
                  <c:v>1.6100000000000017E-2</c:v>
                </c:pt>
                <c:pt idx="16">
                  <c:v>1.709999999999999E-2</c:v>
                </c:pt>
                <c:pt idx="17">
                  <c:v>1.3999999999999985E-2</c:v>
                </c:pt>
                <c:pt idx="18">
                  <c:v>6.3E-3</c:v>
                </c:pt>
                <c:pt idx="19">
                  <c:v>2.6999999999999941E-3</c:v>
                </c:pt>
                <c:pt idx="20">
                  <c:v>-2.0000000000000573E-4</c:v>
                </c:pt>
                <c:pt idx="21">
                  <c:v>-1.3000000000000025E-3</c:v>
                </c:pt>
                <c:pt idx="22">
                  <c:v>-5.9999999999999637E-4</c:v>
                </c:pt>
                <c:pt idx="23">
                  <c:v>-5.9999999999999637E-4</c:v>
                </c:pt>
                <c:pt idx="24">
                  <c:v>2.3999999999999994E-3</c:v>
                </c:pt>
                <c:pt idx="25">
                  <c:v>3.599999999999999E-3</c:v>
                </c:pt>
                <c:pt idx="26">
                  <c:v>4.6999999999999958E-3</c:v>
                </c:pt>
                <c:pt idx="27">
                  <c:v>5.7999999999999996E-3</c:v>
                </c:pt>
                <c:pt idx="28">
                  <c:v>7.2000000000000119E-3</c:v>
                </c:pt>
                <c:pt idx="29">
                  <c:v>8.0000000000000002E-3</c:v>
                </c:pt>
                <c:pt idx="30">
                  <c:v>9.2500000000000082E-3</c:v>
                </c:pt>
                <c:pt idx="31">
                  <c:v>1.0999999999999996E-2</c:v>
                </c:pt>
                <c:pt idx="32">
                  <c:v>1.6399999999999998E-2</c:v>
                </c:pt>
                <c:pt idx="33">
                  <c:v>2.3900000000000005E-2</c:v>
                </c:pt>
                <c:pt idx="34">
                  <c:v>3.0699999999999998E-2</c:v>
                </c:pt>
                <c:pt idx="35">
                  <c:v>3.3899999999999993E-2</c:v>
                </c:pt>
                <c:pt idx="36">
                  <c:v>3.4099999999999998E-2</c:v>
                </c:pt>
                <c:pt idx="37">
                  <c:v>3.8799999999999994E-2</c:v>
                </c:pt>
                <c:pt idx="38">
                  <c:v>4.300000000000001E-2</c:v>
                </c:pt>
                <c:pt idx="39">
                  <c:v>7.4999999999999983E-2</c:v>
                </c:pt>
                <c:pt idx="40">
                  <c:v>0.13499999999999995</c:v>
                </c:pt>
                <c:pt idx="41">
                  <c:v>0.1353</c:v>
                </c:pt>
                <c:pt idx="42">
                  <c:v>0.13669999999999999</c:v>
                </c:pt>
                <c:pt idx="43">
                  <c:v>0.14768000000000003</c:v>
                </c:pt>
                <c:pt idx="44">
                  <c:v>0.14529999999999998</c:v>
                </c:pt>
                <c:pt idx="45">
                  <c:v>0.15500000000000003</c:v>
                </c:pt>
                <c:pt idx="46">
                  <c:v>0.14879999999999999</c:v>
                </c:pt>
                <c:pt idx="47">
                  <c:v>0.14130000000000004</c:v>
                </c:pt>
                <c:pt idx="48">
                  <c:v>0.12099999999999997</c:v>
                </c:pt>
                <c:pt idx="49">
                  <c:v>9.9700000000000011E-2</c:v>
                </c:pt>
                <c:pt idx="50">
                  <c:v>7.3599999999999999E-2</c:v>
                </c:pt>
                <c:pt idx="51">
                  <c:v>6.6799999999999998E-2</c:v>
                </c:pt>
                <c:pt idx="52">
                  <c:v>5.5799999999999988E-2</c:v>
                </c:pt>
                <c:pt idx="53">
                  <c:v>4.9499999999999988E-2</c:v>
                </c:pt>
                <c:pt idx="54">
                  <c:v>3.4399999999999986E-2</c:v>
                </c:pt>
                <c:pt idx="55">
                  <c:v>1.9599999999999979E-2</c:v>
                </c:pt>
                <c:pt idx="56">
                  <c:v>1.5699999999999992E-2</c:v>
                </c:pt>
                <c:pt idx="57">
                  <c:v>1.1099999999999999E-2</c:v>
                </c:pt>
                <c:pt idx="58">
                  <c:v>9.4000000000000056E-3</c:v>
                </c:pt>
                <c:pt idx="59">
                  <c:v>4.9000000000000016E-3</c:v>
                </c:pt>
                <c:pt idx="60">
                  <c:v>2.2999999999999826E-3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08-49F4-AA53-F4E74CF41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21055"/>
        <c:axId val="1202721472"/>
      </c:lineChart>
      <c:dateAx>
        <c:axId val="12362105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721472"/>
        <c:crosses val="autoZero"/>
        <c:auto val="1"/>
        <c:lblOffset val="100"/>
        <c:baseTimeUnit val="months"/>
      </c:dateAx>
      <c:valAx>
        <c:axId val="120272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SDFR and SLFR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2'!$E$26</c:f>
              <c:strCache>
                <c:ptCount val="1"/>
                <c:pt idx="0">
                  <c:v>SDFR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2'!$D$27:$D$87</c:f>
              <c:numCache>
                <c:formatCode>mmm\-yy</c:formatCode>
                <c:ptCount val="6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</c:numCache>
            </c:numRef>
          </c:cat>
          <c:val>
            <c:numRef>
              <c:f>'chart 2'!$E$27:$E$87</c:f>
              <c:numCache>
                <c:formatCode>0.00%</c:formatCode>
                <c:ptCount val="61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7.4999999999999997E-2</c:v>
                </c:pt>
                <c:pt idx="5">
                  <c:v>7.4999999999999997E-2</c:v>
                </c:pt>
                <c:pt idx="6">
                  <c:v>7.4999999999999997E-2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6.25E-2</c:v>
                </c:pt>
                <c:pt idx="15">
                  <c:v>0.06</c:v>
                </c:pt>
                <c:pt idx="16">
                  <c:v>5.5E-2</c:v>
                </c:pt>
                <c:pt idx="17">
                  <c:v>5.5E-2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5.5E-2</c:v>
                </c:pt>
                <c:pt idx="37">
                  <c:v>5.5E-2</c:v>
                </c:pt>
                <c:pt idx="38">
                  <c:v>6.5000000000000002E-2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0.14499999999999999</c:v>
                </c:pt>
                <c:pt idx="45">
                  <c:v>0.14499999999999999</c:v>
                </c:pt>
                <c:pt idx="46">
                  <c:v>0.14499999999999999</c:v>
                </c:pt>
                <c:pt idx="47">
                  <c:v>0.14499999999999999</c:v>
                </c:pt>
                <c:pt idx="48">
                  <c:v>0.14499999999999999</c:v>
                </c:pt>
                <c:pt idx="49">
                  <c:v>0.14499999999999999</c:v>
                </c:pt>
                <c:pt idx="50">
                  <c:v>0.155</c:v>
                </c:pt>
                <c:pt idx="51">
                  <c:v>0.155</c:v>
                </c:pt>
                <c:pt idx="52">
                  <c:v>0.155</c:v>
                </c:pt>
                <c:pt idx="53">
                  <c:v>0.13</c:v>
                </c:pt>
                <c:pt idx="54">
                  <c:v>0.11</c:v>
                </c:pt>
                <c:pt idx="55">
                  <c:v>0.11</c:v>
                </c:pt>
                <c:pt idx="56">
                  <c:v>0.11</c:v>
                </c:pt>
                <c:pt idx="57">
                  <c:v>0.1</c:v>
                </c:pt>
                <c:pt idx="58">
                  <c:v>0.09</c:v>
                </c:pt>
                <c:pt idx="59">
                  <c:v>0.09</c:v>
                </c:pt>
                <c:pt idx="60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8A-48CC-958A-019E3D9CBA92}"/>
            </c:ext>
          </c:extLst>
        </c:ser>
        <c:ser>
          <c:idx val="1"/>
          <c:order val="1"/>
          <c:tx>
            <c:strRef>
              <c:f>'chart 2'!$F$26</c:f>
              <c:strCache>
                <c:ptCount val="1"/>
                <c:pt idx="0">
                  <c:v>SLFR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2'!$D$27:$D$87</c:f>
              <c:numCache>
                <c:formatCode>mmm\-yy</c:formatCode>
                <c:ptCount val="6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</c:numCache>
            </c:numRef>
          </c:cat>
          <c:val>
            <c:numRef>
              <c:f>'chart 2'!$F$27:$F$87</c:f>
              <c:numCache>
                <c:formatCode>0.00%</c:formatCode>
                <c:ptCount val="61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8.5000000000000006E-2</c:v>
                </c:pt>
                <c:pt idx="5">
                  <c:v>8.5000000000000006E-2</c:v>
                </c:pt>
                <c:pt idx="6">
                  <c:v>8.5000000000000006E-2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7.4999999999999997E-2</c:v>
                </c:pt>
                <c:pt idx="13">
                  <c:v>7.4999999999999997E-2</c:v>
                </c:pt>
                <c:pt idx="14">
                  <c:v>7.2499999999999995E-2</c:v>
                </c:pt>
                <c:pt idx="15">
                  <c:v>7.0000000000000007E-2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5.5E-2</c:v>
                </c:pt>
                <c:pt idx="19">
                  <c:v>5.5E-2</c:v>
                </c:pt>
                <c:pt idx="20">
                  <c:v>5.5E-2</c:v>
                </c:pt>
                <c:pt idx="21">
                  <c:v>5.5E-2</c:v>
                </c:pt>
                <c:pt idx="22">
                  <c:v>5.5E-2</c:v>
                </c:pt>
                <c:pt idx="23">
                  <c:v>5.5E-2</c:v>
                </c:pt>
                <c:pt idx="24">
                  <c:v>5.5E-2</c:v>
                </c:pt>
                <c:pt idx="25">
                  <c:v>5.5E-2</c:v>
                </c:pt>
                <c:pt idx="26">
                  <c:v>5.5E-2</c:v>
                </c:pt>
                <c:pt idx="27">
                  <c:v>5.5E-2</c:v>
                </c:pt>
                <c:pt idx="28">
                  <c:v>5.5E-2</c:v>
                </c:pt>
                <c:pt idx="29">
                  <c:v>5.5E-2</c:v>
                </c:pt>
                <c:pt idx="30">
                  <c:v>5.5E-2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7.4999999999999997E-2</c:v>
                </c:pt>
                <c:pt idx="39">
                  <c:v>0.14499999999999999</c:v>
                </c:pt>
                <c:pt idx="40">
                  <c:v>0.14499999999999999</c:v>
                </c:pt>
                <c:pt idx="41">
                  <c:v>0.14499999999999999</c:v>
                </c:pt>
                <c:pt idx="42">
                  <c:v>0.155</c:v>
                </c:pt>
                <c:pt idx="43">
                  <c:v>0.155</c:v>
                </c:pt>
                <c:pt idx="44">
                  <c:v>0.155</c:v>
                </c:pt>
                <c:pt idx="45">
                  <c:v>0.155</c:v>
                </c:pt>
                <c:pt idx="46">
                  <c:v>0.155</c:v>
                </c:pt>
                <c:pt idx="47">
                  <c:v>0.155</c:v>
                </c:pt>
                <c:pt idx="48">
                  <c:v>0.155</c:v>
                </c:pt>
                <c:pt idx="49">
                  <c:v>0.155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0.16500000000000001</c:v>
                </c:pt>
                <c:pt idx="53">
                  <c:v>0.14000000000000001</c:v>
                </c:pt>
                <c:pt idx="54">
                  <c:v>0.12</c:v>
                </c:pt>
                <c:pt idx="55">
                  <c:v>0.12</c:v>
                </c:pt>
                <c:pt idx="56">
                  <c:v>0.12</c:v>
                </c:pt>
                <c:pt idx="57">
                  <c:v>0.11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8A-48CC-958A-019E3D9CB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21055"/>
        <c:axId val="1202721472"/>
      </c:lineChart>
      <c:dateAx>
        <c:axId val="12362105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721472"/>
        <c:crosses val="autoZero"/>
        <c:auto val="1"/>
        <c:lblOffset val="100"/>
        <c:baseTimeUnit val="months"/>
      </c:dateAx>
      <c:valAx>
        <c:axId val="120272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Loan exposure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014238845144356"/>
          <c:y val="0.11021398366870808"/>
          <c:w val="0.46249300087489065"/>
          <c:h val="0.7708216681248177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4A-4E4D-9B7B-EE76F38ED3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0C-4193-99BF-C9569E893B4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4A-4E4D-9B7B-EE76F38ED3D1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4A-4E4D-9B7B-EE76F38ED3D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04A-4E4D-9B7B-EE76F38ED3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2'!$E$91:$E$94</c:f>
              <c:strCache>
                <c:ptCount val="4"/>
                <c:pt idx="0">
                  <c:v>LKR</c:v>
                </c:pt>
                <c:pt idx="1">
                  <c:v>USD</c:v>
                </c:pt>
                <c:pt idx="2">
                  <c:v>Bangladeshi Taka</c:v>
                </c:pt>
                <c:pt idx="3">
                  <c:v>Other</c:v>
                </c:pt>
              </c:strCache>
            </c:strRef>
          </c:cat>
          <c:val>
            <c:numRef>
              <c:f>'chart 2'!$F$91:$F$94</c:f>
              <c:numCache>
                <c:formatCode>_(* #,##0_);_(* \(#,##0\);_(* "-"??_);_(@_)</c:formatCode>
                <c:ptCount val="4"/>
                <c:pt idx="0">
                  <c:v>842120414</c:v>
                </c:pt>
                <c:pt idx="1">
                  <c:v>228254025</c:v>
                </c:pt>
                <c:pt idx="2">
                  <c:v>157652152</c:v>
                </c:pt>
                <c:pt idx="3">
                  <c:v>18143624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A-4E4D-9B7B-EE76F38ED3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Loan exposure by economic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125349956255469"/>
          <c:y val="0.10558435403907845"/>
          <c:w val="0.42915966754155727"/>
          <c:h val="0.7152661125692620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B8-40D5-AD37-3537C536AE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B8-40D5-AD37-3537C536AE75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B8-40D5-AD37-3537C536AE7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B8-40D5-AD37-3537C536AE75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B8-40D5-AD37-3537C536AE75}"/>
              </c:ext>
            </c:extLst>
          </c:dPt>
          <c:dPt>
            <c:idx val="5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1B8-40D5-AD37-3537C536AE7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1B8-40D5-AD37-3537C536AE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2'!$E$109:$E$114</c:f>
              <c:strCache>
                <c:ptCount val="6"/>
                <c:pt idx="0">
                  <c:v>Wholesale/ retail trade</c:v>
                </c:pt>
                <c:pt idx="1">
                  <c:v>Overseas entities</c:v>
                </c:pt>
                <c:pt idx="2">
                  <c:v>Manufacturing</c:v>
                </c:pt>
                <c:pt idx="3">
                  <c:v>Consumption</c:v>
                </c:pt>
                <c:pt idx="4">
                  <c:v>Agriculture</c:v>
                </c:pt>
                <c:pt idx="5">
                  <c:v>Other</c:v>
                </c:pt>
              </c:strCache>
            </c:strRef>
          </c:cat>
          <c:val>
            <c:numRef>
              <c:f>'chart 2'!$F$109:$F$114</c:f>
              <c:numCache>
                <c:formatCode>_(* #,##0_);_(* \(#,##0\);_(* "-"??_);_(@_)</c:formatCode>
                <c:ptCount val="6"/>
                <c:pt idx="0">
                  <c:v>261759920</c:v>
                </c:pt>
                <c:pt idx="1">
                  <c:v>208063238</c:v>
                </c:pt>
                <c:pt idx="2">
                  <c:v>152676544</c:v>
                </c:pt>
                <c:pt idx="3">
                  <c:v>129274363</c:v>
                </c:pt>
                <c:pt idx="4">
                  <c:v>126475449</c:v>
                </c:pt>
                <c:pt idx="5">
                  <c:v>367920701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B8-40D5-AD37-3537C536AE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924168853893263"/>
          <c:y val="0.81828594342373873"/>
          <c:w val="0.56873862642169726"/>
          <c:h val="0.177084426946631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Impairments/ Gross loans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2'!$C$130</c:f>
              <c:strCache>
                <c:ptCount val="1"/>
                <c:pt idx="0">
                  <c:v>Impairment/ Gross loans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'chart 2'!$D$129:$J$129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2023F</c:v>
                </c:pt>
                <c:pt idx="5">
                  <c:v>2024F</c:v>
                </c:pt>
                <c:pt idx="6">
                  <c:v>2025F</c:v>
                </c:pt>
              </c:strCache>
            </c:strRef>
          </c:cat>
          <c:val>
            <c:numRef>
              <c:f>'chart 2'!$D$130:$J$130</c:f>
              <c:numCache>
                <c:formatCode>0.00%</c:formatCode>
                <c:ptCount val="7"/>
                <c:pt idx="0">
                  <c:v>3.9557968075658839E-2</c:v>
                </c:pt>
                <c:pt idx="1">
                  <c:v>5.4093104724303294E-2</c:v>
                </c:pt>
                <c:pt idx="2">
                  <c:v>5.9681216480658182E-2</c:v>
                </c:pt>
                <c:pt idx="3">
                  <c:v>7.276509012053381E-2</c:v>
                </c:pt>
                <c:pt idx="4">
                  <c:v>7.1480000000000002E-2</c:v>
                </c:pt>
                <c:pt idx="5">
                  <c:v>5.2099999999999994E-2</c:v>
                </c:pt>
                <c:pt idx="6">
                  <c:v>4.5800000000000007E-2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A-4FB7-A07D-AA90B5987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479967"/>
        <c:axId val="1026886544"/>
      </c:lineChart>
      <c:catAx>
        <c:axId val="159147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886544"/>
        <c:crosses val="autoZero"/>
        <c:auto val="1"/>
        <c:lblAlgn val="ctr"/>
        <c:lblOffset val="100"/>
        <c:noMultiLvlLbl val="0"/>
      </c:catAx>
      <c:valAx>
        <c:axId val="102688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7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Liquidity coverage</a:t>
            </a:r>
            <a:r>
              <a:rPr lang="en-US" sz="900" b="1" baseline="0"/>
              <a:t> and Net Stable Funding Ratio</a:t>
            </a:r>
            <a:endParaRPr lang="en-US" sz="9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2'!$E$140</c:f>
              <c:strCache>
                <c:ptCount val="1"/>
                <c:pt idx="0">
                  <c:v>Liquidity coverage ratio (all currency)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2'!$D$141:$D$148</c:f>
              <c:strCache>
                <c:ptCount val="8"/>
                <c:pt idx="0">
                  <c:v>COMB</c:v>
                </c:pt>
                <c:pt idx="1">
                  <c:v>HNB</c:v>
                </c:pt>
                <c:pt idx="2">
                  <c:v>DFCC</c:v>
                </c:pt>
                <c:pt idx="3">
                  <c:v>PABC</c:v>
                </c:pt>
                <c:pt idx="4">
                  <c:v>NTB</c:v>
                </c:pt>
                <c:pt idx="5">
                  <c:v>SEYB</c:v>
                </c:pt>
                <c:pt idx="6">
                  <c:v>SAMP</c:v>
                </c:pt>
                <c:pt idx="7">
                  <c:v>NDB</c:v>
                </c:pt>
              </c:strCache>
            </c:strRef>
          </c:cat>
          <c:val>
            <c:numRef>
              <c:f>'chart 2'!$E$141:$E$148</c:f>
              <c:numCache>
                <c:formatCode>General</c:formatCode>
                <c:ptCount val="8"/>
                <c:pt idx="0">
                  <c:v>518.33000000000004</c:v>
                </c:pt>
                <c:pt idx="1">
                  <c:v>509.01</c:v>
                </c:pt>
                <c:pt idx="2">
                  <c:v>463.22</c:v>
                </c:pt>
                <c:pt idx="3">
                  <c:v>442.74</c:v>
                </c:pt>
                <c:pt idx="4">
                  <c:v>354.56</c:v>
                </c:pt>
                <c:pt idx="5">
                  <c:v>308.27</c:v>
                </c:pt>
                <c:pt idx="6">
                  <c:v>299.36</c:v>
                </c:pt>
                <c:pt idx="7">
                  <c:v>269.95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E-4C18-83DB-6E71203DDB45}"/>
            </c:ext>
          </c:extLst>
        </c:ser>
        <c:ser>
          <c:idx val="1"/>
          <c:order val="1"/>
          <c:tx>
            <c:strRef>
              <c:f>'chart 2'!$F$140</c:f>
              <c:strCache>
                <c:ptCount val="1"/>
                <c:pt idx="0">
                  <c:v>Net Stable Funding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2'!$D$141:$D$148</c:f>
              <c:strCache>
                <c:ptCount val="8"/>
                <c:pt idx="0">
                  <c:v>COMB</c:v>
                </c:pt>
                <c:pt idx="1">
                  <c:v>HNB</c:v>
                </c:pt>
                <c:pt idx="2">
                  <c:v>DFCC</c:v>
                </c:pt>
                <c:pt idx="3">
                  <c:v>PABC</c:v>
                </c:pt>
                <c:pt idx="4">
                  <c:v>NTB</c:v>
                </c:pt>
                <c:pt idx="5">
                  <c:v>SEYB</c:v>
                </c:pt>
                <c:pt idx="6">
                  <c:v>SAMP</c:v>
                </c:pt>
                <c:pt idx="7">
                  <c:v>NDB</c:v>
                </c:pt>
              </c:strCache>
            </c:strRef>
          </c:cat>
          <c:val>
            <c:numRef>
              <c:f>'chart 2'!$F$141:$F$148</c:f>
              <c:numCache>
                <c:formatCode>General</c:formatCode>
                <c:ptCount val="8"/>
                <c:pt idx="0">
                  <c:v>193.13</c:v>
                </c:pt>
                <c:pt idx="1">
                  <c:v>148.66999999999999</c:v>
                </c:pt>
                <c:pt idx="2">
                  <c:v>135.63</c:v>
                </c:pt>
                <c:pt idx="3">
                  <c:v>154.24</c:v>
                </c:pt>
                <c:pt idx="4">
                  <c:v>150.27000000000001</c:v>
                </c:pt>
                <c:pt idx="5">
                  <c:v>130.15</c:v>
                </c:pt>
                <c:pt idx="6">
                  <c:v>172.91</c:v>
                </c:pt>
                <c:pt idx="7">
                  <c:v>141.66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E-4C18-83DB-6E71203DD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798962143"/>
        <c:axId val="1794404191"/>
      </c:barChart>
      <c:catAx>
        <c:axId val="179896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04191"/>
        <c:crosses val="autoZero"/>
        <c:auto val="1"/>
        <c:lblAlgn val="ctr"/>
        <c:lblOffset val="100"/>
        <c:noMultiLvlLbl val="0"/>
      </c:catAx>
      <c:valAx>
        <c:axId val="179440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96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Segmental Operating</a:t>
            </a:r>
            <a:r>
              <a:rPr lang="en-US" sz="900" b="1" baseline="0"/>
              <a:t> income</a:t>
            </a:r>
            <a:endParaRPr lang="en-US" sz="9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8A-4437-90D4-86065D9C1C7E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68A-4437-90D4-86065D9C1C7E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8A-4437-90D4-86065D9C1C7E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68A-4437-90D4-86065D9C1C7E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8A-4437-90D4-86065D9C1C7E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68A-4437-90D4-86065D9C1C7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68A-4437-90D4-86065D9C1C7E}"/>
                </c:ext>
              </c:extLst>
            </c:dLbl>
            <c:dLbl>
              <c:idx val="3"/>
              <c:layout>
                <c:manualLayout>
                  <c:x val="-4.4444444444444495E-2"/>
                  <c:y val="2.31481481481480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8A-4437-90D4-86065D9C1C7E}"/>
                </c:ext>
              </c:extLst>
            </c:dLbl>
            <c:dLbl>
              <c:idx val="4"/>
              <c:layout>
                <c:manualLayout>
                  <c:x val="-6.3888888888888884E-2"/>
                  <c:y val="-4.629629629629629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8A-4437-90D4-86065D9C1C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2'!$C$167:$C$172</c:f>
              <c:strCache>
                <c:ptCount val="6"/>
                <c:pt idx="0">
                  <c:v>Personal Banking</c:v>
                </c:pt>
                <c:pt idx="1">
                  <c:v>Corporate Banking</c:v>
                </c:pt>
                <c:pt idx="2">
                  <c:v>International Ops</c:v>
                </c:pt>
                <c:pt idx="3">
                  <c:v>Dealing/ Treasury</c:v>
                </c:pt>
                <c:pt idx="4">
                  <c:v>NBFI/ Real Estate</c:v>
                </c:pt>
                <c:pt idx="5">
                  <c:v>Unalocated</c:v>
                </c:pt>
              </c:strCache>
            </c:strRef>
          </c:cat>
          <c:val>
            <c:numRef>
              <c:f>'chart 2'!$D$167:$D$172</c:f>
              <c:numCache>
                <c:formatCode>_(* #,##0_);_(* \(#,##0\);_(* "-"??_);_(@_)</c:formatCode>
                <c:ptCount val="6"/>
                <c:pt idx="0">
                  <c:v>47315764</c:v>
                </c:pt>
                <c:pt idx="1">
                  <c:v>28738618</c:v>
                </c:pt>
                <c:pt idx="2">
                  <c:v>25339166</c:v>
                </c:pt>
                <c:pt idx="3">
                  <c:v>-5943545</c:v>
                </c:pt>
                <c:pt idx="4">
                  <c:v>2229973</c:v>
                </c:pt>
                <c:pt idx="5">
                  <c:v>38956671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A-4437-90D4-86065D9C1C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Segmental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47-4623-9A54-B40861B8691B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47-4623-9A54-B40861B8691B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47-4623-9A54-B40861B8691B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47-4623-9A54-B40861B8691B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47-4623-9A54-B40861B8691B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A47-4623-9A54-B40861B8691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A47-4623-9A54-B40861B8691B}"/>
                </c:ext>
              </c:extLst>
            </c:dLbl>
            <c:dLbl>
              <c:idx val="1"/>
              <c:layout>
                <c:manualLayout>
                  <c:x val="3.0553443812719856E-2"/>
                  <c:y val="-5.100427676519704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47-4623-9A54-B40861B8691B}"/>
                </c:ext>
              </c:extLst>
            </c:dLbl>
            <c:dLbl>
              <c:idx val="4"/>
              <c:layout>
                <c:manualLayout>
                  <c:x val="-5.534573324707534E-2"/>
                  <c:y val="1.378787730743383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47-4623-9A54-B40861B869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2'!$C$176:$C$181</c:f>
              <c:strCache>
                <c:ptCount val="6"/>
                <c:pt idx="0">
                  <c:v>Personal Banking</c:v>
                </c:pt>
                <c:pt idx="1">
                  <c:v>Corporate Banking</c:v>
                </c:pt>
                <c:pt idx="2">
                  <c:v>International Ops</c:v>
                </c:pt>
                <c:pt idx="3">
                  <c:v>Dealing/ Treasury</c:v>
                </c:pt>
                <c:pt idx="4">
                  <c:v>NBFI/ Real Estate</c:v>
                </c:pt>
                <c:pt idx="5">
                  <c:v>Unalocated</c:v>
                </c:pt>
              </c:strCache>
            </c:strRef>
          </c:cat>
          <c:val>
            <c:numRef>
              <c:f>'chart 2'!$D$176:$D$181</c:f>
              <c:numCache>
                <c:formatCode>_(* #,##0_);_(* \(#,##0\);_(* "-"??_);_(@_)</c:formatCode>
                <c:ptCount val="6"/>
                <c:pt idx="0">
                  <c:v>16427308</c:v>
                </c:pt>
                <c:pt idx="1">
                  <c:v>1097633</c:v>
                </c:pt>
                <c:pt idx="2">
                  <c:v>17424026</c:v>
                </c:pt>
                <c:pt idx="3">
                  <c:v>-44857143</c:v>
                </c:pt>
                <c:pt idx="4">
                  <c:v>541888</c:v>
                </c:pt>
                <c:pt idx="5">
                  <c:v>33875053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47-4623-9A54-B40861B869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Segmental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69-42DB-97E7-FD0584A742BB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69-42DB-97E7-FD0584A742BB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69-42DB-97E7-FD0584A742BB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69-42DB-97E7-FD0584A742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69-42DB-97E7-FD0584A742B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69-42DB-97E7-FD0584A742B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D69-42DB-97E7-FD0584A742BB}"/>
                </c:ext>
              </c:extLst>
            </c:dLbl>
            <c:dLbl>
              <c:idx val="4"/>
              <c:layout>
                <c:manualLayout>
                  <c:x val="-2.49055799611839E-2"/>
                  <c:y val="-6.893938653716920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69-42DB-97E7-FD0584A742BB}"/>
                </c:ext>
              </c:extLst>
            </c:dLbl>
            <c:dLbl>
              <c:idx val="5"/>
              <c:layout>
                <c:manualLayout>
                  <c:x val="1.1069146649414966E-2"/>
                  <c:y val="-9.19191820495589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69-42DB-97E7-FD0584A742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2'!$C$185:$C$190</c:f>
              <c:strCache>
                <c:ptCount val="6"/>
                <c:pt idx="0">
                  <c:v>Personal Banking</c:v>
                </c:pt>
                <c:pt idx="1">
                  <c:v>Corporate Banking</c:v>
                </c:pt>
                <c:pt idx="2">
                  <c:v>International Ops</c:v>
                </c:pt>
                <c:pt idx="3">
                  <c:v>Dealing/ Treasury</c:v>
                </c:pt>
                <c:pt idx="4">
                  <c:v>NBFI/ Real Estate</c:v>
                </c:pt>
                <c:pt idx="5">
                  <c:v>Unalocated</c:v>
                </c:pt>
              </c:strCache>
            </c:strRef>
          </c:cat>
          <c:val>
            <c:numRef>
              <c:f>'chart 2'!$D$185:$D$190</c:f>
              <c:numCache>
                <c:formatCode>_(* #,##0_);_(* \(#,##0\);_(* "-"??_);_(@_)</c:formatCode>
                <c:ptCount val="6"/>
                <c:pt idx="0">
                  <c:v>620049967</c:v>
                </c:pt>
                <c:pt idx="1">
                  <c:v>498406103</c:v>
                </c:pt>
                <c:pt idx="2">
                  <c:v>422835358</c:v>
                </c:pt>
                <c:pt idx="3">
                  <c:v>945053191</c:v>
                </c:pt>
                <c:pt idx="4">
                  <c:v>14566106</c:v>
                </c:pt>
                <c:pt idx="5">
                  <c:v>-1356821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D69-42DB-97E7-FD0584A742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Loans and advanced to custoemr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D6-4B65-B8EB-425036A977F0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7D6-4B65-B8EB-425036A977F0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D6-4B65-B8EB-425036A977F0}"/>
              </c:ext>
            </c:extLst>
          </c:dPt>
          <c:dPt>
            <c:idx val="3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7D6-4B65-B8EB-425036A977F0}"/>
              </c:ext>
            </c:extLst>
          </c:dPt>
          <c:dPt>
            <c:idx val="4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7D6-4B65-B8EB-425036A977F0}"/>
              </c:ext>
            </c:extLst>
          </c:dPt>
          <c:dPt>
            <c:idx val="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D6-4B65-B8EB-425036A977F0}"/>
              </c:ext>
            </c:extLst>
          </c:dPt>
          <c:dPt>
            <c:idx val="6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D6-4B65-B8EB-425036A977F0}"/>
              </c:ext>
            </c:extLst>
          </c:dPt>
          <c:dPt>
            <c:idx val="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7D6-4B65-B8EB-425036A977F0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D6-4B65-B8EB-425036A977F0}"/>
              </c:ext>
            </c:extLst>
          </c:dPt>
          <c:cat>
            <c:strRef>
              <c:f>'chart 2'!$B$222:$B$230</c:f>
              <c:strCache>
                <c:ptCount val="9"/>
                <c:pt idx="0">
                  <c:v>Term loans</c:v>
                </c:pt>
                <c:pt idx="1">
                  <c:v>Overdrafts</c:v>
                </c:pt>
                <c:pt idx="2">
                  <c:v>Trade finance</c:v>
                </c:pt>
                <c:pt idx="3">
                  <c:v>Lease/hire purchase receivable</c:v>
                </c:pt>
                <c:pt idx="4">
                  <c:v>Credit cards</c:v>
                </c:pt>
                <c:pt idx="5">
                  <c:v>Pawning</c:v>
                </c:pt>
                <c:pt idx="6">
                  <c:v>Staff loans</c:v>
                </c:pt>
                <c:pt idx="7">
                  <c:v>Housing loans</c:v>
                </c:pt>
                <c:pt idx="8">
                  <c:v>Personal loans</c:v>
                </c:pt>
              </c:strCache>
            </c:strRef>
          </c:cat>
          <c:val>
            <c:numRef>
              <c:f>'chart 2'!$C$222:$C$230</c:f>
              <c:numCache>
                <c:formatCode>_(* #,##0_);_(* \(#,##0\);_(* "-"??_);_(@_)</c:formatCode>
                <c:ptCount val="9"/>
                <c:pt idx="0">
                  <c:v>779098551</c:v>
                </c:pt>
                <c:pt idx="1">
                  <c:v>143318360</c:v>
                </c:pt>
                <c:pt idx="2">
                  <c:v>119167451</c:v>
                </c:pt>
                <c:pt idx="3">
                  <c:v>35722265</c:v>
                </c:pt>
                <c:pt idx="4">
                  <c:v>17961272</c:v>
                </c:pt>
                <c:pt idx="5">
                  <c:v>16389557</c:v>
                </c:pt>
                <c:pt idx="6">
                  <c:v>13651705</c:v>
                </c:pt>
                <c:pt idx="7">
                  <c:v>76697598</c:v>
                </c:pt>
                <c:pt idx="8">
                  <c:v>44163456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6-4B65-B8EB-425036A97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6666666666666666E-2"/>
          <c:y val="0.13793635170603674"/>
          <c:w val="0.36619925634295714"/>
          <c:h val="0.807876932050160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Deposit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65-4DEA-910A-CD8FBFCA57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65-4DEA-910A-CD8FBFCA57A1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65-4DEA-910A-CD8FBFCA57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65-4DEA-910A-CD8FBFCA57A1}"/>
              </c:ext>
            </c:extLst>
          </c:dPt>
          <c:cat>
            <c:strRef>
              <c:f>'chart 2'!$B$244:$B$247</c:f>
              <c:strCache>
                <c:ptCount val="4"/>
                <c:pt idx="0">
                  <c:v>Current accounts</c:v>
                </c:pt>
                <c:pt idx="1">
                  <c:v>Savings deposits</c:v>
                </c:pt>
                <c:pt idx="2">
                  <c:v>Time deposits</c:v>
                </c:pt>
                <c:pt idx="3">
                  <c:v>Other deposits</c:v>
                </c:pt>
              </c:strCache>
            </c:strRef>
          </c:cat>
          <c:val>
            <c:numRef>
              <c:f>'chart 2'!$C$244:$C$247</c:f>
              <c:numCache>
                <c:formatCode>_(* #,##0_);_(* \(#,##0\);_(* "-"??_);_(@_)</c:formatCode>
                <c:ptCount val="4"/>
                <c:pt idx="0">
                  <c:v>218230151</c:v>
                </c:pt>
                <c:pt idx="1">
                  <c:v>553915250</c:v>
                </c:pt>
                <c:pt idx="2">
                  <c:v>1205575958</c:v>
                </c:pt>
                <c:pt idx="3">
                  <c:v>22302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A65-4DEA-910A-CD8FBFCA5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Deposit mix by</a:t>
            </a:r>
            <a:r>
              <a:rPr lang="en-US" sz="900" b="1" baseline="0"/>
              <a:t> currency</a:t>
            </a:r>
            <a:endParaRPr lang="en-US" sz="9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94-4881-810B-29B482FF39B9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94-4881-810B-29B482FF39B9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94-4881-810B-29B482FF39B9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94-4881-810B-29B482FF39B9}"/>
              </c:ext>
            </c:extLst>
          </c:dPt>
          <c:cat>
            <c:strRef>
              <c:f>'chart 2'!$B$263:$B$266</c:f>
              <c:strCache>
                <c:ptCount val="4"/>
                <c:pt idx="0">
                  <c:v>Sri Lanka Rupee</c:v>
                </c:pt>
                <c:pt idx="1">
                  <c:v>United States Dollar</c:v>
                </c:pt>
                <c:pt idx="2">
                  <c:v>Bangladesh Taka</c:v>
                </c:pt>
                <c:pt idx="3">
                  <c:v>Other</c:v>
                </c:pt>
              </c:strCache>
            </c:strRef>
          </c:cat>
          <c:val>
            <c:numRef>
              <c:f>'chart 2'!$C$263:$C$266</c:f>
              <c:numCache>
                <c:formatCode>_(* #,##0_);_(* \(#,##0\);_(* "-"??_);_(@_)</c:formatCode>
                <c:ptCount val="4"/>
                <c:pt idx="0">
                  <c:v>1243427990</c:v>
                </c:pt>
                <c:pt idx="1">
                  <c:v>473669803</c:v>
                </c:pt>
                <c:pt idx="2">
                  <c:v>190211877</c:v>
                </c:pt>
                <c:pt idx="3">
                  <c:v>70433991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94-4881-810B-29B482FF3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Loan exposure by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D0-4C11-B29B-D3D7D0437E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D0-4C11-B29B-D3D7D0437EFD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D0-4C11-B29B-D3D7D0437E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D0-4C11-B29B-D3D7D0437E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31-4016-9CCD-93AEA9824A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2'!$B$282:$B$286</c:f>
              <c:strCache>
                <c:ptCount val="5"/>
                <c:pt idx="0">
                  <c:v>Western province</c:v>
                </c:pt>
                <c:pt idx="1">
                  <c:v>Bangladesh</c:v>
                </c:pt>
                <c:pt idx="2">
                  <c:v>Central province</c:v>
                </c:pt>
                <c:pt idx="3">
                  <c:v>Southern province</c:v>
                </c:pt>
                <c:pt idx="4">
                  <c:v>Other</c:v>
                </c:pt>
              </c:strCache>
            </c:strRef>
          </c:cat>
          <c:val>
            <c:numRef>
              <c:f>'chart 2'!$C$282:$C$286</c:f>
              <c:numCache>
                <c:formatCode>General</c:formatCode>
                <c:ptCount val="5"/>
                <c:pt idx="0">
                  <c:v>744.4</c:v>
                </c:pt>
                <c:pt idx="1">
                  <c:v>187.1</c:v>
                </c:pt>
                <c:pt idx="2">
                  <c:v>43.3</c:v>
                </c:pt>
                <c:pt idx="3">
                  <c:v>42.7</c:v>
                </c:pt>
                <c:pt idx="4">
                  <c:v>112.90000000000013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D0-4C11-B29B-D3D7D0437E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LCBs - Net</a:t>
            </a:r>
            <a:r>
              <a:rPr lang="en-US" sz="900" b="1" baseline="0"/>
              <a:t> interest income and PAT</a:t>
            </a:r>
            <a:endParaRPr lang="en-US" sz="9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'chart 2'!$C$321</c:f>
              <c:strCache>
                <c:ptCount val="1"/>
                <c:pt idx="0">
                  <c:v>Profits After Tax (LKR Bn) (RHS)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'chart 2'!$D$319:$J$319</c:f>
              <c:strCache>
                <c:ptCount val="7"/>
                <c:pt idx="0">
                  <c:v>Q1-22</c:v>
                </c:pt>
                <c:pt idx="1">
                  <c:v>Q2-22</c:v>
                </c:pt>
                <c:pt idx="2">
                  <c:v>Q3-22</c:v>
                </c:pt>
                <c:pt idx="3">
                  <c:v>Q4-22</c:v>
                </c:pt>
                <c:pt idx="4">
                  <c:v>Q1-23</c:v>
                </c:pt>
                <c:pt idx="5">
                  <c:v>Q2-23</c:v>
                </c:pt>
                <c:pt idx="6">
                  <c:v>Q3-23</c:v>
                </c:pt>
              </c:strCache>
            </c:strRef>
          </c:cat>
          <c:val>
            <c:numRef>
              <c:f>'chart 2'!$D$321:$J$321</c:f>
              <c:numCache>
                <c:formatCode>#,##0</c:formatCode>
                <c:ptCount val="7"/>
                <c:pt idx="0">
                  <c:v>61790.147000000004</c:v>
                </c:pt>
                <c:pt idx="1">
                  <c:v>55558.703000000001</c:v>
                </c:pt>
                <c:pt idx="2">
                  <c:v>81739.615000000005</c:v>
                </c:pt>
                <c:pt idx="3">
                  <c:v>149554.26</c:v>
                </c:pt>
                <c:pt idx="4">
                  <c:v>38496.739000000001</c:v>
                </c:pt>
                <c:pt idx="5">
                  <c:v>77614.455999999991</c:v>
                </c:pt>
                <c:pt idx="6">
                  <c:v>139682.30499999999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4-46DF-AC91-570173FE5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020095"/>
        <c:axId val="1071440399"/>
      </c:areaChart>
      <c:barChart>
        <c:barDir val="col"/>
        <c:grouping val="clustered"/>
        <c:varyColors val="0"/>
        <c:ser>
          <c:idx val="0"/>
          <c:order val="0"/>
          <c:tx>
            <c:strRef>
              <c:f>'chart 2'!$C$320</c:f>
              <c:strCache>
                <c:ptCount val="1"/>
                <c:pt idx="0">
                  <c:v>Net Interest Income (LKR Bn) (LHS)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'chart 2'!$D$319:$J$319</c:f>
              <c:strCache>
                <c:ptCount val="7"/>
                <c:pt idx="0">
                  <c:v>Q1-22</c:v>
                </c:pt>
                <c:pt idx="1">
                  <c:v>Q2-22</c:v>
                </c:pt>
                <c:pt idx="2">
                  <c:v>Q3-22</c:v>
                </c:pt>
                <c:pt idx="3">
                  <c:v>Q4-22</c:v>
                </c:pt>
                <c:pt idx="4">
                  <c:v>Q1-23</c:v>
                </c:pt>
                <c:pt idx="5">
                  <c:v>Q2-23</c:v>
                </c:pt>
                <c:pt idx="6">
                  <c:v>Q3-23</c:v>
                </c:pt>
              </c:strCache>
            </c:strRef>
          </c:cat>
          <c:val>
            <c:numRef>
              <c:f>'chart 2'!$D$320:$J$320</c:f>
              <c:numCache>
                <c:formatCode>#,##0</c:formatCode>
                <c:ptCount val="7"/>
                <c:pt idx="0">
                  <c:v>150705.60700000002</c:v>
                </c:pt>
                <c:pt idx="1">
                  <c:v>335545.26800000004</c:v>
                </c:pt>
                <c:pt idx="2">
                  <c:v>511423.97599999991</c:v>
                </c:pt>
                <c:pt idx="3">
                  <c:v>690217.05800000008</c:v>
                </c:pt>
                <c:pt idx="4">
                  <c:v>165599.905</c:v>
                </c:pt>
                <c:pt idx="5">
                  <c:v>311029.04700000002</c:v>
                </c:pt>
                <c:pt idx="6">
                  <c:v>480273.36800000002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4-46DF-AC91-570173FE5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042396367"/>
        <c:axId val="1070206607"/>
      </c:barChart>
      <c:catAx>
        <c:axId val="104239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206607"/>
        <c:crosses val="autoZero"/>
        <c:auto val="1"/>
        <c:lblAlgn val="ctr"/>
        <c:lblOffset val="100"/>
        <c:noMultiLvlLbl val="0"/>
      </c:catAx>
      <c:valAx>
        <c:axId val="107020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396367"/>
        <c:crosses val="autoZero"/>
        <c:crossBetween val="between"/>
      </c:valAx>
      <c:valAx>
        <c:axId val="107144039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020095"/>
        <c:crosses val="max"/>
        <c:crossBetween val="between"/>
      </c:valAx>
      <c:catAx>
        <c:axId val="1278020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4403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LCBs - Loans and deposits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2'!$C$373</c:f>
              <c:strCache>
                <c:ptCount val="1"/>
                <c:pt idx="0">
                  <c:v>Net Loans (LKR Bn)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'chart 2'!$D$319:$J$319</c:f>
              <c:strCache>
                <c:ptCount val="7"/>
                <c:pt idx="0">
                  <c:v>Q1-22</c:v>
                </c:pt>
                <c:pt idx="1">
                  <c:v>Q2-22</c:v>
                </c:pt>
                <c:pt idx="2">
                  <c:v>Q3-22</c:v>
                </c:pt>
                <c:pt idx="3">
                  <c:v>Q4-22</c:v>
                </c:pt>
                <c:pt idx="4">
                  <c:v>Q1-23</c:v>
                </c:pt>
                <c:pt idx="5">
                  <c:v>Q2-23</c:v>
                </c:pt>
                <c:pt idx="6">
                  <c:v>Q3-23</c:v>
                </c:pt>
              </c:strCache>
            </c:strRef>
          </c:cat>
          <c:val>
            <c:numRef>
              <c:f>'chart 2'!$D$373:$J$373</c:f>
              <c:numCache>
                <c:formatCode>_(* #,##0_);_(* \(#,##0\);_(* "-"??_);_(@_)</c:formatCode>
                <c:ptCount val="7"/>
                <c:pt idx="0">
                  <c:v>9835.8793140000016</c:v>
                </c:pt>
                <c:pt idx="1">
                  <c:v>10018.528635000001</c:v>
                </c:pt>
                <c:pt idx="2">
                  <c:v>9664.2901889999994</c:v>
                </c:pt>
                <c:pt idx="3">
                  <c:v>9444.9057760000014</c:v>
                </c:pt>
                <c:pt idx="4">
                  <c:v>8874.1720601374473</c:v>
                </c:pt>
                <c:pt idx="5">
                  <c:v>8712.009274</c:v>
                </c:pt>
                <c:pt idx="6">
                  <c:v>8884.1405730000006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F-4B14-8ADC-ACD0172B49F8}"/>
            </c:ext>
          </c:extLst>
        </c:ser>
        <c:ser>
          <c:idx val="1"/>
          <c:order val="1"/>
          <c:tx>
            <c:strRef>
              <c:f>'chart 2'!$C$374</c:f>
              <c:strCache>
                <c:ptCount val="1"/>
                <c:pt idx="0">
                  <c:v>Deposits (LKR Bn)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'chart 2'!$D$319:$J$319</c:f>
              <c:strCache>
                <c:ptCount val="7"/>
                <c:pt idx="0">
                  <c:v>Q1-22</c:v>
                </c:pt>
                <c:pt idx="1">
                  <c:v>Q2-22</c:v>
                </c:pt>
                <c:pt idx="2">
                  <c:v>Q3-22</c:v>
                </c:pt>
                <c:pt idx="3">
                  <c:v>Q4-22</c:v>
                </c:pt>
                <c:pt idx="4">
                  <c:v>Q1-23</c:v>
                </c:pt>
                <c:pt idx="5">
                  <c:v>Q2-23</c:v>
                </c:pt>
                <c:pt idx="6">
                  <c:v>Q3-23</c:v>
                </c:pt>
              </c:strCache>
            </c:strRef>
          </c:cat>
          <c:val>
            <c:numRef>
              <c:f>'chart 2'!$D$374:$J$374</c:f>
              <c:numCache>
                <c:formatCode>_(* #,##0_);_(* \(#,##0\);_(* "-"??_);_(@_)</c:formatCode>
                <c:ptCount val="7"/>
                <c:pt idx="0">
                  <c:v>12318.447158999999</c:v>
                </c:pt>
                <c:pt idx="1">
                  <c:v>12811.244914000001</c:v>
                </c:pt>
                <c:pt idx="2">
                  <c:v>13049.890359999999</c:v>
                </c:pt>
                <c:pt idx="3">
                  <c:v>13415.885116000001</c:v>
                </c:pt>
                <c:pt idx="4">
                  <c:v>13321.337379190276</c:v>
                </c:pt>
                <c:pt idx="5">
                  <c:v>13550.119369999999</c:v>
                </c:pt>
                <c:pt idx="6">
                  <c:v>14160.452015000001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F-4B14-8ADC-ACD0172B4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042396367"/>
        <c:axId val="1070206607"/>
      </c:barChart>
      <c:catAx>
        <c:axId val="104239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206607"/>
        <c:crosses val="autoZero"/>
        <c:auto val="1"/>
        <c:lblAlgn val="ctr"/>
        <c:lblOffset val="100"/>
        <c:noMultiLvlLbl val="0"/>
      </c:catAx>
      <c:valAx>
        <c:axId val="107020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39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LCBs - Total assets and 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'chart 2'!$C$380</c:f>
              <c:strCache>
                <c:ptCount val="1"/>
                <c:pt idx="0">
                  <c:v>Cash (LKR Bn) (RHS)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'chart 2'!$D$319:$J$319</c:f>
              <c:strCache>
                <c:ptCount val="7"/>
                <c:pt idx="0">
                  <c:v>Q1-22</c:v>
                </c:pt>
                <c:pt idx="1">
                  <c:v>Q2-22</c:v>
                </c:pt>
                <c:pt idx="2">
                  <c:v>Q3-22</c:v>
                </c:pt>
                <c:pt idx="3">
                  <c:v>Q4-22</c:v>
                </c:pt>
                <c:pt idx="4">
                  <c:v>Q1-23</c:v>
                </c:pt>
                <c:pt idx="5">
                  <c:v>Q2-23</c:v>
                </c:pt>
                <c:pt idx="6">
                  <c:v>Q3-23</c:v>
                </c:pt>
              </c:strCache>
            </c:strRef>
          </c:cat>
          <c:val>
            <c:numRef>
              <c:f>'chart 2'!$D$380:$J$380</c:f>
              <c:numCache>
                <c:formatCode>_(* #,##0_);_(* \(#,##0\);_(* "-"??_);_(@_)</c:formatCode>
                <c:ptCount val="7"/>
                <c:pt idx="0">
                  <c:v>1250.8098340000001</c:v>
                </c:pt>
                <c:pt idx="1">
                  <c:v>1593.7710260000001</c:v>
                </c:pt>
                <c:pt idx="2">
                  <c:v>1871.6837209999999</c:v>
                </c:pt>
                <c:pt idx="3">
                  <c:v>2084.6495280000004</c:v>
                </c:pt>
                <c:pt idx="4">
                  <c:v>1978.4199625390199</c:v>
                </c:pt>
                <c:pt idx="5">
                  <c:v>1951.2248160000001</c:v>
                </c:pt>
                <c:pt idx="6">
                  <c:v>2056.9880910000002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85-4157-B031-87A4F83DE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026815"/>
        <c:axId val="1382128943"/>
      </c:areaChart>
      <c:barChart>
        <c:barDir val="col"/>
        <c:grouping val="clustered"/>
        <c:varyColors val="0"/>
        <c:ser>
          <c:idx val="0"/>
          <c:order val="0"/>
          <c:tx>
            <c:strRef>
              <c:f>'chart 2'!$C$379</c:f>
              <c:strCache>
                <c:ptCount val="1"/>
                <c:pt idx="0">
                  <c:v>Total Assets (LKR Bn) (LHS)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2'!$D$319:$J$319</c:f>
              <c:strCache>
                <c:ptCount val="7"/>
                <c:pt idx="0">
                  <c:v>Q1-22</c:v>
                </c:pt>
                <c:pt idx="1">
                  <c:v>Q2-22</c:v>
                </c:pt>
                <c:pt idx="2">
                  <c:v>Q3-22</c:v>
                </c:pt>
                <c:pt idx="3">
                  <c:v>Q4-22</c:v>
                </c:pt>
                <c:pt idx="4">
                  <c:v>Q1-23</c:v>
                </c:pt>
                <c:pt idx="5">
                  <c:v>Q2-23</c:v>
                </c:pt>
                <c:pt idx="6">
                  <c:v>Q3-23</c:v>
                </c:pt>
              </c:strCache>
            </c:strRef>
          </c:cat>
          <c:val>
            <c:numRef>
              <c:f>'chart 2'!$D$379:$J$379</c:f>
              <c:numCache>
                <c:formatCode>_(* #,##0_);_(* \(#,##0\);_(* "-"??_);_(@_)</c:formatCode>
                <c:ptCount val="7"/>
                <c:pt idx="0">
                  <c:v>16502.504825</c:v>
                </c:pt>
                <c:pt idx="1">
                  <c:v>17206.695284000001</c:v>
                </c:pt>
                <c:pt idx="2">
                  <c:v>17113.840317999999</c:v>
                </c:pt>
                <c:pt idx="3">
                  <c:v>17225.079020000001</c:v>
                </c:pt>
                <c:pt idx="4">
                  <c:v>16702.854079890058</c:v>
                </c:pt>
                <c:pt idx="5">
                  <c:v>16963.971054999998</c:v>
                </c:pt>
                <c:pt idx="6">
                  <c:v>17553.900212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5-4157-B031-87A4F83DE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042396367"/>
        <c:axId val="1070206607"/>
      </c:barChart>
      <c:catAx>
        <c:axId val="104239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206607"/>
        <c:crosses val="autoZero"/>
        <c:auto val="1"/>
        <c:lblAlgn val="ctr"/>
        <c:lblOffset val="100"/>
        <c:noMultiLvlLbl val="0"/>
      </c:catAx>
      <c:valAx>
        <c:axId val="107020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396367"/>
        <c:crosses val="autoZero"/>
        <c:crossBetween val="between"/>
      </c:valAx>
      <c:valAx>
        <c:axId val="1382128943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026815"/>
        <c:crosses val="max"/>
        <c:crossBetween val="between"/>
      </c:valAx>
      <c:catAx>
        <c:axId val="1278026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21289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COMB.N - Price and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'Price volume'!$F$2</c:f>
              <c:strCache>
                <c:ptCount val="1"/>
                <c:pt idx="0">
                  <c:v>Volume (RHS)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'Price volume'!$A$3:$A$725</c:f>
              <c:numCache>
                <c:formatCode>m/d/yyyy</c:formatCode>
                <c:ptCount val="723"/>
                <c:pt idx="0">
                  <c:v>45307</c:v>
                </c:pt>
                <c:pt idx="1">
                  <c:v>45302</c:v>
                </c:pt>
                <c:pt idx="2">
                  <c:v>45301</c:v>
                </c:pt>
                <c:pt idx="3">
                  <c:v>45300</c:v>
                </c:pt>
                <c:pt idx="4">
                  <c:v>45299</c:v>
                </c:pt>
                <c:pt idx="5">
                  <c:v>45296</c:v>
                </c:pt>
                <c:pt idx="6">
                  <c:v>45295</c:v>
                </c:pt>
                <c:pt idx="7">
                  <c:v>45294</c:v>
                </c:pt>
                <c:pt idx="8">
                  <c:v>45293</c:v>
                </c:pt>
                <c:pt idx="9">
                  <c:v>45289</c:v>
                </c:pt>
                <c:pt idx="10">
                  <c:v>45288</c:v>
                </c:pt>
                <c:pt idx="11">
                  <c:v>45287</c:v>
                </c:pt>
                <c:pt idx="12">
                  <c:v>45282</c:v>
                </c:pt>
                <c:pt idx="13">
                  <c:v>45281</c:v>
                </c:pt>
                <c:pt idx="14">
                  <c:v>45280</c:v>
                </c:pt>
                <c:pt idx="15">
                  <c:v>45279</c:v>
                </c:pt>
                <c:pt idx="16">
                  <c:v>45278</c:v>
                </c:pt>
                <c:pt idx="17">
                  <c:v>45275</c:v>
                </c:pt>
                <c:pt idx="18">
                  <c:v>45274</c:v>
                </c:pt>
                <c:pt idx="19">
                  <c:v>45274</c:v>
                </c:pt>
                <c:pt idx="20">
                  <c:v>45273</c:v>
                </c:pt>
                <c:pt idx="21">
                  <c:v>45272</c:v>
                </c:pt>
                <c:pt idx="22">
                  <c:v>45271</c:v>
                </c:pt>
                <c:pt idx="23">
                  <c:v>45268</c:v>
                </c:pt>
                <c:pt idx="24">
                  <c:v>45267</c:v>
                </c:pt>
                <c:pt idx="25">
                  <c:v>45266</c:v>
                </c:pt>
                <c:pt idx="26">
                  <c:v>45265</c:v>
                </c:pt>
                <c:pt idx="27">
                  <c:v>45264</c:v>
                </c:pt>
                <c:pt idx="28">
                  <c:v>45261</c:v>
                </c:pt>
                <c:pt idx="29">
                  <c:v>45260</c:v>
                </c:pt>
                <c:pt idx="30">
                  <c:v>45259</c:v>
                </c:pt>
                <c:pt idx="31">
                  <c:v>45258</c:v>
                </c:pt>
                <c:pt idx="32">
                  <c:v>45257</c:v>
                </c:pt>
                <c:pt idx="33">
                  <c:v>45254</c:v>
                </c:pt>
                <c:pt idx="34">
                  <c:v>45253</c:v>
                </c:pt>
                <c:pt idx="35">
                  <c:v>45252</c:v>
                </c:pt>
                <c:pt idx="36">
                  <c:v>45251</c:v>
                </c:pt>
                <c:pt idx="37">
                  <c:v>45250</c:v>
                </c:pt>
                <c:pt idx="38">
                  <c:v>45247</c:v>
                </c:pt>
                <c:pt idx="39">
                  <c:v>45246</c:v>
                </c:pt>
                <c:pt idx="40">
                  <c:v>45245</c:v>
                </c:pt>
                <c:pt idx="41">
                  <c:v>45244</c:v>
                </c:pt>
                <c:pt idx="42">
                  <c:v>45243</c:v>
                </c:pt>
                <c:pt idx="43">
                  <c:v>45240</c:v>
                </c:pt>
                <c:pt idx="44">
                  <c:v>45239</c:v>
                </c:pt>
                <c:pt idx="45">
                  <c:v>45238</c:v>
                </c:pt>
                <c:pt idx="46">
                  <c:v>45237</c:v>
                </c:pt>
                <c:pt idx="47">
                  <c:v>45236</c:v>
                </c:pt>
                <c:pt idx="48">
                  <c:v>45233</c:v>
                </c:pt>
                <c:pt idx="49">
                  <c:v>45232</c:v>
                </c:pt>
                <c:pt idx="50">
                  <c:v>45231</c:v>
                </c:pt>
                <c:pt idx="51">
                  <c:v>45230</c:v>
                </c:pt>
                <c:pt idx="52">
                  <c:v>45229</c:v>
                </c:pt>
                <c:pt idx="53">
                  <c:v>45226</c:v>
                </c:pt>
                <c:pt idx="54">
                  <c:v>45225</c:v>
                </c:pt>
                <c:pt idx="55">
                  <c:v>45224</c:v>
                </c:pt>
                <c:pt idx="56">
                  <c:v>45223</c:v>
                </c:pt>
                <c:pt idx="57">
                  <c:v>45222</c:v>
                </c:pt>
                <c:pt idx="58">
                  <c:v>45219</c:v>
                </c:pt>
                <c:pt idx="59">
                  <c:v>45218</c:v>
                </c:pt>
                <c:pt idx="60">
                  <c:v>45217</c:v>
                </c:pt>
                <c:pt idx="61">
                  <c:v>45216</c:v>
                </c:pt>
                <c:pt idx="62">
                  <c:v>45215</c:v>
                </c:pt>
                <c:pt idx="63">
                  <c:v>45212</c:v>
                </c:pt>
                <c:pt idx="64">
                  <c:v>45211</c:v>
                </c:pt>
                <c:pt idx="65">
                  <c:v>45210</c:v>
                </c:pt>
                <c:pt idx="66">
                  <c:v>45209</c:v>
                </c:pt>
                <c:pt idx="67">
                  <c:v>45208</c:v>
                </c:pt>
                <c:pt idx="68">
                  <c:v>45205</c:v>
                </c:pt>
                <c:pt idx="69">
                  <c:v>45204</c:v>
                </c:pt>
                <c:pt idx="70">
                  <c:v>45203</c:v>
                </c:pt>
                <c:pt idx="71">
                  <c:v>45202</c:v>
                </c:pt>
                <c:pt idx="72">
                  <c:v>45201</c:v>
                </c:pt>
                <c:pt idx="73">
                  <c:v>45196</c:v>
                </c:pt>
                <c:pt idx="74">
                  <c:v>45195</c:v>
                </c:pt>
                <c:pt idx="75">
                  <c:v>45194</c:v>
                </c:pt>
                <c:pt idx="76">
                  <c:v>45191</c:v>
                </c:pt>
                <c:pt idx="77">
                  <c:v>45190</c:v>
                </c:pt>
                <c:pt idx="78">
                  <c:v>45189</c:v>
                </c:pt>
                <c:pt idx="79">
                  <c:v>45188</c:v>
                </c:pt>
                <c:pt idx="80">
                  <c:v>45187</c:v>
                </c:pt>
                <c:pt idx="81">
                  <c:v>45184</c:v>
                </c:pt>
                <c:pt idx="82">
                  <c:v>45183</c:v>
                </c:pt>
                <c:pt idx="83">
                  <c:v>45182</c:v>
                </c:pt>
                <c:pt idx="84">
                  <c:v>45181</c:v>
                </c:pt>
                <c:pt idx="85">
                  <c:v>45180</c:v>
                </c:pt>
                <c:pt idx="86">
                  <c:v>45177</c:v>
                </c:pt>
                <c:pt idx="87">
                  <c:v>45176</c:v>
                </c:pt>
                <c:pt idx="88">
                  <c:v>45175</c:v>
                </c:pt>
                <c:pt idx="89">
                  <c:v>45174</c:v>
                </c:pt>
                <c:pt idx="90">
                  <c:v>45173</c:v>
                </c:pt>
                <c:pt idx="91">
                  <c:v>45170</c:v>
                </c:pt>
                <c:pt idx="92">
                  <c:v>45169</c:v>
                </c:pt>
                <c:pt idx="93">
                  <c:v>45167</c:v>
                </c:pt>
                <c:pt idx="94">
                  <c:v>45166</c:v>
                </c:pt>
                <c:pt idx="95">
                  <c:v>45163</c:v>
                </c:pt>
                <c:pt idx="96">
                  <c:v>45162</c:v>
                </c:pt>
                <c:pt idx="97">
                  <c:v>45161</c:v>
                </c:pt>
                <c:pt idx="98">
                  <c:v>45160</c:v>
                </c:pt>
                <c:pt idx="99">
                  <c:v>45159</c:v>
                </c:pt>
                <c:pt idx="100">
                  <c:v>45156</c:v>
                </c:pt>
                <c:pt idx="101">
                  <c:v>45155</c:v>
                </c:pt>
                <c:pt idx="102">
                  <c:v>45154</c:v>
                </c:pt>
                <c:pt idx="103">
                  <c:v>45153</c:v>
                </c:pt>
                <c:pt idx="104">
                  <c:v>45152</c:v>
                </c:pt>
                <c:pt idx="105">
                  <c:v>45149</c:v>
                </c:pt>
                <c:pt idx="106">
                  <c:v>45148</c:v>
                </c:pt>
                <c:pt idx="107">
                  <c:v>45147</c:v>
                </c:pt>
                <c:pt idx="108">
                  <c:v>45146</c:v>
                </c:pt>
                <c:pt idx="109">
                  <c:v>45145</c:v>
                </c:pt>
                <c:pt idx="110">
                  <c:v>45142</c:v>
                </c:pt>
                <c:pt idx="111">
                  <c:v>45141</c:v>
                </c:pt>
                <c:pt idx="112">
                  <c:v>45140</c:v>
                </c:pt>
                <c:pt idx="113">
                  <c:v>45138</c:v>
                </c:pt>
                <c:pt idx="114">
                  <c:v>45135</c:v>
                </c:pt>
                <c:pt idx="115">
                  <c:v>45134</c:v>
                </c:pt>
                <c:pt idx="116">
                  <c:v>45133</c:v>
                </c:pt>
                <c:pt idx="117">
                  <c:v>45132</c:v>
                </c:pt>
                <c:pt idx="118">
                  <c:v>45131</c:v>
                </c:pt>
                <c:pt idx="119">
                  <c:v>45128</c:v>
                </c:pt>
                <c:pt idx="120">
                  <c:v>45127</c:v>
                </c:pt>
                <c:pt idx="121">
                  <c:v>45126</c:v>
                </c:pt>
                <c:pt idx="122">
                  <c:v>45125</c:v>
                </c:pt>
                <c:pt idx="123">
                  <c:v>45124</c:v>
                </c:pt>
                <c:pt idx="124">
                  <c:v>45121</c:v>
                </c:pt>
                <c:pt idx="125">
                  <c:v>45120</c:v>
                </c:pt>
                <c:pt idx="126">
                  <c:v>45119</c:v>
                </c:pt>
                <c:pt idx="127">
                  <c:v>45118</c:v>
                </c:pt>
                <c:pt idx="128">
                  <c:v>45117</c:v>
                </c:pt>
                <c:pt idx="129">
                  <c:v>45114</c:v>
                </c:pt>
                <c:pt idx="130">
                  <c:v>45113</c:v>
                </c:pt>
                <c:pt idx="131">
                  <c:v>45112</c:v>
                </c:pt>
                <c:pt idx="132">
                  <c:v>45111</c:v>
                </c:pt>
                <c:pt idx="133">
                  <c:v>45105</c:v>
                </c:pt>
                <c:pt idx="134">
                  <c:v>45104</c:v>
                </c:pt>
                <c:pt idx="135">
                  <c:v>45103</c:v>
                </c:pt>
                <c:pt idx="136">
                  <c:v>45100</c:v>
                </c:pt>
                <c:pt idx="137">
                  <c:v>45099</c:v>
                </c:pt>
                <c:pt idx="138">
                  <c:v>45098</c:v>
                </c:pt>
                <c:pt idx="139">
                  <c:v>45097</c:v>
                </c:pt>
                <c:pt idx="140">
                  <c:v>45096</c:v>
                </c:pt>
                <c:pt idx="141">
                  <c:v>45093</c:v>
                </c:pt>
                <c:pt idx="142">
                  <c:v>45092</c:v>
                </c:pt>
                <c:pt idx="143">
                  <c:v>45091</c:v>
                </c:pt>
                <c:pt idx="144">
                  <c:v>45090</c:v>
                </c:pt>
                <c:pt idx="145">
                  <c:v>45089</c:v>
                </c:pt>
                <c:pt idx="146">
                  <c:v>45086</c:v>
                </c:pt>
                <c:pt idx="147">
                  <c:v>45085</c:v>
                </c:pt>
                <c:pt idx="148">
                  <c:v>45084</c:v>
                </c:pt>
                <c:pt idx="149">
                  <c:v>45083</c:v>
                </c:pt>
                <c:pt idx="150">
                  <c:v>45082</c:v>
                </c:pt>
                <c:pt idx="151">
                  <c:v>45079</c:v>
                </c:pt>
                <c:pt idx="152">
                  <c:v>45078</c:v>
                </c:pt>
                <c:pt idx="153">
                  <c:v>45077</c:v>
                </c:pt>
                <c:pt idx="154">
                  <c:v>45076</c:v>
                </c:pt>
                <c:pt idx="155">
                  <c:v>45075</c:v>
                </c:pt>
                <c:pt idx="156">
                  <c:v>45072</c:v>
                </c:pt>
                <c:pt idx="157">
                  <c:v>45071</c:v>
                </c:pt>
                <c:pt idx="158">
                  <c:v>45070</c:v>
                </c:pt>
                <c:pt idx="159">
                  <c:v>45069</c:v>
                </c:pt>
                <c:pt idx="160">
                  <c:v>45068</c:v>
                </c:pt>
                <c:pt idx="161">
                  <c:v>45065</c:v>
                </c:pt>
                <c:pt idx="162">
                  <c:v>45064</c:v>
                </c:pt>
                <c:pt idx="163">
                  <c:v>45063</c:v>
                </c:pt>
                <c:pt idx="164">
                  <c:v>45062</c:v>
                </c:pt>
                <c:pt idx="165">
                  <c:v>45061</c:v>
                </c:pt>
                <c:pt idx="166">
                  <c:v>45058</c:v>
                </c:pt>
                <c:pt idx="167">
                  <c:v>45057</c:v>
                </c:pt>
                <c:pt idx="168">
                  <c:v>45056</c:v>
                </c:pt>
                <c:pt idx="169">
                  <c:v>45055</c:v>
                </c:pt>
                <c:pt idx="170">
                  <c:v>45054</c:v>
                </c:pt>
                <c:pt idx="171">
                  <c:v>45050</c:v>
                </c:pt>
                <c:pt idx="172">
                  <c:v>45049</c:v>
                </c:pt>
                <c:pt idx="173">
                  <c:v>45048</c:v>
                </c:pt>
                <c:pt idx="174">
                  <c:v>45044</c:v>
                </c:pt>
                <c:pt idx="175">
                  <c:v>45043</c:v>
                </c:pt>
                <c:pt idx="176">
                  <c:v>45042</c:v>
                </c:pt>
                <c:pt idx="177">
                  <c:v>45041</c:v>
                </c:pt>
                <c:pt idx="178">
                  <c:v>45040</c:v>
                </c:pt>
                <c:pt idx="179">
                  <c:v>45037</c:v>
                </c:pt>
                <c:pt idx="180">
                  <c:v>45036</c:v>
                </c:pt>
                <c:pt idx="181">
                  <c:v>45035</c:v>
                </c:pt>
                <c:pt idx="182">
                  <c:v>45034</c:v>
                </c:pt>
                <c:pt idx="183">
                  <c:v>45033</c:v>
                </c:pt>
                <c:pt idx="184">
                  <c:v>45028</c:v>
                </c:pt>
                <c:pt idx="185">
                  <c:v>45027</c:v>
                </c:pt>
                <c:pt idx="186">
                  <c:v>45026</c:v>
                </c:pt>
                <c:pt idx="187">
                  <c:v>45022</c:v>
                </c:pt>
                <c:pt idx="188">
                  <c:v>45020</c:v>
                </c:pt>
                <c:pt idx="189">
                  <c:v>45019</c:v>
                </c:pt>
                <c:pt idx="190">
                  <c:v>45016</c:v>
                </c:pt>
                <c:pt idx="191">
                  <c:v>45015</c:v>
                </c:pt>
                <c:pt idx="192">
                  <c:v>45014</c:v>
                </c:pt>
                <c:pt idx="193">
                  <c:v>45013</c:v>
                </c:pt>
                <c:pt idx="194">
                  <c:v>45012</c:v>
                </c:pt>
                <c:pt idx="195">
                  <c:v>45009</c:v>
                </c:pt>
                <c:pt idx="196">
                  <c:v>45008</c:v>
                </c:pt>
                <c:pt idx="197">
                  <c:v>45007</c:v>
                </c:pt>
                <c:pt idx="198">
                  <c:v>45006</c:v>
                </c:pt>
                <c:pt idx="199">
                  <c:v>45005</c:v>
                </c:pt>
                <c:pt idx="200">
                  <c:v>45002</c:v>
                </c:pt>
                <c:pt idx="201">
                  <c:v>45001</c:v>
                </c:pt>
                <c:pt idx="202">
                  <c:v>45000</c:v>
                </c:pt>
                <c:pt idx="203">
                  <c:v>44999</c:v>
                </c:pt>
                <c:pt idx="204">
                  <c:v>44998</c:v>
                </c:pt>
                <c:pt idx="205">
                  <c:v>44995</c:v>
                </c:pt>
                <c:pt idx="206">
                  <c:v>44994</c:v>
                </c:pt>
                <c:pt idx="207">
                  <c:v>44993</c:v>
                </c:pt>
                <c:pt idx="208">
                  <c:v>44992</c:v>
                </c:pt>
                <c:pt idx="209">
                  <c:v>44988</c:v>
                </c:pt>
                <c:pt idx="210">
                  <c:v>44987</c:v>
                </c:pt>
                <c:pt idx="211">
                  <c:v>44986</c:v>
                </c:pt>
                <c:pt idx="212">
                  <c:v>44985</c:v>
                </c:pt>
                <c:pt idx="213">
                  <c:v>44984</c:v>
                </c:pt>
                <c:pt idx="214">
                  <c:v>44981</c:v>
                </c:pt>
                <c:pt idx="215">
                  <c:v>44980</c:v>
                </c:pt>
                <c:pt idx="216">
                  <c:v>44979</c:v>
                </c:pt>
                <c:pt idx="217">
                  <c:v>44978</c:v>
                </c:pt>
                <c:pt idx="218">
                  <c:v>44977</c:v>
                </c:pt>
                <c:pt idx="219">
                  <c:v>44974</c:v>
                </c:pt>
                <c:pt idx="220">
                  <c:v>44973</c:v>
                </c:pt>
                <c:pt idx="221">
                  <c:v>44972</c:v>
                </c:pt>
                <c:pt idx="222">
                  <c:v>44971</c:v>
                </c:pt>
                <c:pt idx="223">
                  <c:v>44970</c:v>
                </c:pt>
                <c:pt idx="224">
                  <c:v>44967</c:v>
                </c:pt>
                <c:pt idx="225">
                  <c:v>44966</c:v>
                </c:pt>
                <c:pt idx="226">
                  <c:v>44965</c:v>
                </c:pt>
                <c:pt idx="227">
                  <c:v>44964</c:v>
                </c:pt>
                <c:pt idx="228">
                  <c:v>44963</c:v>
                </c:pt>
                <c:pt idx="229">
                  <c:v>44960</c:v>
                </c:pt>
                <c:pt idx="230">
                  <c:v>44959</c:v>
                </c:pt>
                <c:pt idx="231">
                  <c:v>44958</c:v>
                </c:pt>
                <c:pt idx="232">
                  <c:v>44957</c:v>
                </c:pt>
                <c:pt idx="233">
                  <c:v>44956</c:v>
                </c:pt>
                <c:pt idx="234">
                  <c:v>44953</c:v>
                </c:pt>
                <c:pt idx="235">
                  <c:v>44952</c:v>
                </c:pt>
                <c:pt idx="236">
                  <c:v>44951</c:v>
                </c:pt>
                <c:pt idx="237">
                  <c:v>44950</c:v>
                </c:pt>
                <c:pt idx="238">
                  <c:v>44949</c:v>
                </c:pt>
                <c:pt idx="239">
                  <c:v>44946</c:v>
                </c:pt>
                <c:pt idx="240">
                  <c:v>44945</c:v>
                </c:pt>
                <c:pt idx="241">
                  <c:v>44944</c:v>
                </c:pt>
                <c:pt idx="242">
                  <c:v>44943</c:v>
                </c:pt>
                <c:pt idx="243">
                  <c:v>44939</c:v>
                </c:pt>
                <c:pt idx="244">
                  <c:v>44938</c:v>
                </c:pt>
                <c:pt idx="245">
                  <c:v>44937</c:v>
                </c:pt>
                <c:pt idx="246">
                  <c:v>44936</c:v>
                </c:pt>
                <c:pt idx="247">
                  <c:v>44935</c:v>
                </c:pt>
                <c:pt idx="248">
                  <c:v>44931</c:v>
                </c:pt>
                <c:pt idx="249">
                  <c:v>44930</c:v>
                </c:pt>
                <c:pt idx="250">
                  <c:v>44929</c:v>
                </c:pt>
                <c:pt idx="251">
                  <c:v>44928</c:v>
                </c:pt>
                <c:pt idx="252">
                  <c:v>44925</c:v>
                </c:pt>
                <c:pt idx="253">
                  <c:v>44924</c:v>
                </c:pt>
                <c:pt idx="254">
                  <c:v>44923</c:v>
                </c:pt>
                <c:pt idx="255">
                  <c:v>44922</c:v>
                </c:pt>
                <c:pt idx="256">
                  <c:v>44918</c:v>
                </c:pt>
                <c:pt idx="257">
                  <c:v>44917</c:v>
                </c:pt>
                <c:pt idx="258">
                  <c:v>44916</c:v>
                </c:pt>
                <c:pt idx="259">
                  <c:v>44915</c:v>
                </c:pt>
                <c:pt idx="260">
                  <c:v>44914</c:v>
                </c:pt>
                <c:pt idx="261">
                  <c:v>44911</c:v>
                </c:pt>
                <c:pt idx="262">
                  <c:v>44910</c:v>
                </c:pt>
                <c:pt idx="263">
                  <c:v>44909</c:v>
                </c:pt>
                <c:pt idx="264">
                  <c:v>44908</c:v>
                </c:pt>
                <c:pt idx="265">
                  <c:v>44907</c:v>
                </c:pt>
                <c:pt idx="266">
                  <c:v>44904</c:v>
                </c:pt>
                <c:pt idx="267">
                  <c:v>44903</c:v>
                </c:pt>
                <c:pt idx="268">
                  <c:v>44901</c:v>
                </c:pt>
                <c:pt idx="269">
                  <c:v>44900</c:v>
                </c:pt>
                <c:pt idx="270">
                  <c:v>44897</c:v>
                </c:pt>
                <c:pt idx="271">
                  <c:v>44896</c:v>
                </c:pt>
                <c:pt idx="272">
                  <c:v>44895</c:v>
                </c:pt>
                <c:pt idx="273">
                  <c:v>44894</c:v>
                </c:pt>
                <c:pt idx="274">
                  <c:v>44893</c:v>
                </c:pt>
                <c:pt idx="275">
                  <c:v>44890</c:v>
                </c:pt>
                <c:pt idx="276">
                  <c:v>44889</c:v>
                </c:pt>
                <c:pt idx="277">
                  <c:v>44888</c:v>
                </c:pt>
                <c:pt idx="278">
                  <c:v>44887</c:v>
                </c:pt>
                <c:pt idx="279">
                  <c:v>44886</c:v>
                </c:pt>
                <c:pt idx="280">
                  <c:v>44883</c:v>
                </c:pt>
                <c:pt idx="281">
                  <c:v>44882</c:v>
                </c:pt>
                <c:pt idx="282">
                  <c:v>44881</c:v>
                </c:pt>
                <c:pt idx="283">
                  <c:v>44880</c:v>
                </c:pt>
                <c:pt idx="284">
                  <c:v>44879</c:v>
                </c:pt>
                <c:pt idx="285">
                  <c:v>44876</c:v>
                </c:pt>
                <c:pt idx="286">
                  <c:v>44875</c:v>
                </c:pt>
                <c:pt idx="287">
                  <c:v>44874</c:v>
                </c:pt>
                <c:pt idx="288">
                  <c:v>44873</c:v>
                </c:pt>
                <c:pt idx="289">
                  <c:v>44869</c:v>
                </c:pt>
                <c:pt idx="290">
                  <c:v>44868</c:v>
                </c:pt>
                <c:pt idx="291">
                  <c:v>44867</c:v>
                </c:pt>
                <c:pt idx="292">
                  <c:v>44866</c:v>
                </c:pt>
                <c:pt idx="293">
                  <c:v>44865</c:v>
                </c:pt>
                <c:pt idx="294">
                  <c:v>44862</c:v>
                </c:pt>
                <c:pt idx="295">
                  <c:v>44861</c:v>
                </c:pt>
                <c:pt idx="296">
                  <c:v>44860</c:v>
                </c:pt>
                <c:pt idx="297">
                  <c:v>44859</c:v>
                </c:pt>
                <c:pt idx="298">
                  <c:v>44855</c:v>
                </c:pt>
                <c:pt idx="299">
                  <c:v>44854</c:v>
                </c:pt>
                <c:pt idx="300">
                  <c:v>44853</c:v>
                </c:pt>
                <c:pt idx="301">
                  <c:v>44852</c:v>
                </c:pt>
                <c:pt idx="302">
                  <c:v>44851</c:v>
                </c:pt>
                <c:pt idx="303">
                  <c:v>44848</c:v>
                </c:pt>
                <c:pt idx="304">
                  <c:v>44847</c:v>
                </c:pt>
                <c:pt idx="305">
                  <c:v>44846</c:v>
                </c:pt>
                <c:pt idx="306">
                  <c:v>44845</c:v>
                </c:pt>
                <c:pt idx="307">
                  <c:v>44841</c:v>
                </c:pt>
                <c:pt idx="308">
                  <c:v>44840</c:v>
                </c:pt>
                <c:pt idx="309">
                  <c:v>44839</c:v>
                </c:pt>
                <c:pt idx="310">
                  <c:v>44838</c:v>
                </c:pt>
                <c:pt idx="311">
                  <c:v>44837</c:v>
                </c:pt>
                <c:pt idx="312">
                  <c:v>44834</c:v>
                </c:pt>
                <c:pt idx="313">
                  <c:v>44833</c:v>
                </c:pt>
                <c:pt idx="314">
                  <c:v>44832</c:v>
                </c:pt>
                <c:pt idx="315">
                  <c:v>44831</c:v>
                </c:pt>
                <c:pt idx="316">
                  <c:v>44830</c:v>
                </c:pt>
                <c:pt idx="317">
                  <c:v>44827</c:v>
                </c:pt>
                <c:pt idx="318">
                  <c:v>44826</c:v>
                </c:pt>
                <c:pt idx="319">
                  <c:v>44825</c:v>
                </c:pt>
                <c:pt idx="320">
                  <c:v>44824</c:v>
                </c:pt>
                <c:pt idx="321">
                  <c:v>44823</c:v>
                </c:pt>
                <c:pt idx="322">
                  <c:v>44820</c:v>
                </c:pt>
                <c:pt idx="323">
                  <c:v>44819</c:v>
                </c:pt>
                <c:pt idx="324">
                  <c:v>44818</c:v>
                </c:pt>
                <c:pt idx="325">
                  <c:v>44817</c:v>
                </c:pt>
                <c:pt idx="326">
                  <c:v>44816</c:v>
                </c:pt>
                <c:pt idx="327">
                  <c:v>44813</c:v>
                </c:pt>
                <c:pt idx="328">
                  <c:v>44812</c:v>
                </c:pt>
                <c:pt idx="329">
                  <c:v>44811</c:v>
                </c:pt>
                <c:pt idx="330">
                  <c:v>44810</c:v>
                </c:pt>
                <c:pt idx="331">
                  <c:v>44809</c:v>
                </c:pt>
                <c:pt idx="332">
                  <c:v>44806</c:v>
                </c:pt>
                <c:pt idx="333">
                  <c:v>44805</c:v>
                </c:pt>
                <c:pt idx="334">
                  <c:v>44804</c:v>
                </c:pt>
                <c:pt idx="335">
                  <c:v>44803</c:v>
                </c:pt>
                <c:pt idx="336">
                  <c:v>44802</c:v>
                </c:pt>
                <c:pt idx="337">
                  <c:v>44799</c:v>
                </c:pt>
                <c:pt idx="338">
                  <c:v>44798</c:v>
                </c:pt>
                <c:pt idx="339">
                  <c:v>44797</c:v>
                </c:pt>
                <c:pt idx="340">
                  <c:v>44796</c:v>
                </c:pt>
                <c:pt idx="341">
                  <c:v>44795</c:v>
                </c:pt>
                <c:pt idx="342">
                  <c:v>44792</c:v>
                </c:pt>
                <c:pt idx="343">
                  <c:v>44791</c:v>
                </c:pt>
                <c:pt idx="344">
                  <c:v>44790</c:v>
                </c:pt>
                <c:pt idx="345">
                  <c:v>44789</c:v>
                </c:pt>
                <c:pt idx="346">
                  <c:v>44788</c:v>
                </c:pt>
                <c:pt idx="347">
                  <c:v>44785</c:v>
                </c:pt>
                <c:pt idx="348">
                  <c:v>44783</c:v>
                </c:pt>
                <c:pt idx="349">
                  <c:v>44782</c:v>
                </c:pt>
                <c:pt idx="350">
                  <c:v>44781</c:v>
                </c:pt>
                <c:pt idx="351">
                  <c:v>44778</c:v>
                </c:pt>
                <c:pt idx="352">
                  <c:v>44777</c:v>
                </c:pt>
                <c:pt idx="353">
                  <c:v>44776</c:v>
                </c:pt>
                <c:pt idx="354">
                  <c:v>44775</c:v>
                </c:pt>
                <c:pt idx="355">
                  <c:v>44774</c:v>
                </c:pt>
                <c:pt idx="356">
                  <c:v>44771</c:v>
                </c:pt>
                <c:pt idx="357">
                  <c:v>44770</c:v>
                </c:pt>
                <c:pt idx="358">
                  <c:v>44769</c:v>
                </c:pt>
                <c:pt idx="359">
                  <c:v>44768</c:v>
                </c:pt>
                <c:pt idx="360">
                  <c:v>44767</c:v>
                </c:pt>
                <c:pt idx="361">
                  <c:v>44764</c:v>
                </c:pt>
                <c:pt idx="362">
                  <c:v>44763</c:v>
                </c:pt>
                <c:pt idx="363">
                  <c:v>44762</c:v>
                </c:pt>
                <c:pt idx="364">
                  <c:v>44761</c:v>
                </c:pt>
                <c:pt idx="365">
                  <c:v>44760</c:v>
                </c:pt>
                <c:pt idx="366">
                  <c:v>44757</c:v>
                </c:pt>
                <c:pt idx="367">
                  <c:v>44756</c:v>
                </c:pt>
                <c:pt idx="368">
                  <c:v>44754</c:v>
                </c:pt>
                <c:pt idx="369">
                  <c:v>44753</c:v>
                </c:pt>
                <c:pt idx="370">
                  <c:v>44750</c:v>
                </c:pt>
                <c:pt idx="371">
                  <c:v>44749</c:v>
                </c:pt>
                <c:pt idx="372">
                  <c:v>44748</c:v>
                </c:pt>
                <c:pt idx="373">
                  <c:v>44747</c:v>
                </c:pt>
                <c:pt idx="374">
                  <c:v>44746</c:v>
                </c:pt>
                <c:pt idx="375">
                  <c:v>44743</c:v>
                </c:pt>
                <c:pt idx="376">
                  <c:v>44742</c:v>
                </c:pt>
                <c:pt idx="377">
                  <c:v>44741</c:v>
                </c:pt>
                <c:pt idx="378">
                  <c:v>44740</c:v>
                </c:pt>
                <c:pt idx="379">
                  <c:v>44739</c:v>
                </c:pt>
                <c:pt idx="380">
                  <c:v>44736</c:v>
                </c:pt>
                <c:pt idx="381">
                  <c:v>44735</c:v>
                </c:pt>
                <c:pt idx="382">
                  <c:v>44734</c:v>
                </c:pt>
                <c:pt idx="383">
                  <c:v>44733</c:v>
                </c:pt>
                <c:pt idx="384">
                  <c:v>44732</c:v>
                </c:pt>
                <c:pt idx="385">
                  <c:v>44729</c:v>
                </c:pt>
                <c:pt idx="386">
                  <c:v>44728</c:v>
                </c:pt>
                <c:pt idx="387">
                  <c:v>44727</c:v>
                </c:pt>
                <c:pt idx="388">
                  <c:v>44725</c:v>
                </c:pt>
                <c:pt idx="389">
                  <c:v>44722</c:v>
                </c:pt>
                <c:pt idx="390">
                  <c:v>44721</c:v>
                </c:pt>
                <c:pt idx="391">
                  <c:v>44720</c:v>
                </c:pt>
                <c:pt idx="392">
                  <c:v>44719</c:v>
                </c:pt>
                <c:pt idx="393">
                  <c:v>44718</c:v>
                </c:pt>
                <c:pt idx="394">
                  <c:v>44715</c:v>
                </c:pt>
                <c:pt idx="395">
                  <c:v>44714</c:v>
                </c:pt>
                <c:pt idx="396">
                  <c:v>44713</c:v>
                </c:pt>
                <c:pt idx="397">
                  <c:v>44712</c:v>
                </c:pt>
                <c:pt idx="398">
                  <c:v>44711</c:v>
                </c:pt>
                <c:pt idx="399">
                  <c:v>44708</c:v>
                </c:pt>
                <c:pt idx="400">
                  <c:v>44707</c:v>
                </c:pt>
                <c:pt idx="401">
                  <c:v>44706</c:v>
                </c:pt>
                <c:pt idx="402">
                  <c:v>44705</c:v>
                </c:pt>
                <c:pt idx="403">
                  <c:v>44704</c:v>
                </c:pt>
                <c:pt idx="404">
                  <c:v>44701</c:v>
                </c:pt>
                <c:pt idx="405">
                  <c:v>44700</c:v>
                </c:pt>
                <c:pt idx="406">
                  <c:v>44699</c:v>
                </c:pt>
                <c:pt idx="407">
                  <c:v>44698</c:v>
                </c:pt>
                <c:pt idx="408">
                  <c:v>44694</c:v>
                </c:pt>
                <c:pt idx="409">
                  <c:v>44693</c:v>
                </c:pt>
                <c:pt idx="410">
                  <c:v>44690</c:v>
                </c:pt>
                <c:pt idx="411">
                  <c:v>44687</c:v>
                </c:pt>
                <c:pt idx="412">
                  <c:v>44686</c:v>
                </c:pt>
                <c:pt idx="413">
                  <c:v>44685</c:v>
                </c:pt>
                <c:pt idx="414">
                  <c:v>44680</c:v>
                </c:pt>
                <c:pt idx="415">
                  <c:v>44679</c:v>
                </c:pt>
                <c:pt idx="416">
                  <c:v>44678</c:v>
                </c:pt>
                <c:pt idx="417">
                  <c:v>44677</c:v>
                </c:pt>
                <c:pt idx="418">
                  <c:v>44676</c:v>
                </c:pt>
                <c:pt idx="419">
                  <c:v>44659</c:v>
                </c:pt>
                <c:pt idx="420">
                  <c:v>44658</c:v>
                </c:pt>
                <c:pt idx="421">
                  <c:v>44657</c:v>
                </c:pt>
                <c:pt idx="422">
                  <c:v>44656</c:v>
                </c:pt>
                <c:pt idx="423">
                  <c:v>44655</c:v>
                </c:pt>
                <c:pt idx="424">
                  <c:v>44652</c:v>
                </c:pt>
                <c:pt idx="425">
                  <c:v>44651</c:v>
                </c:pt>
                <c:pt idx="426">
                  <c:v>44650</c:v>
                </c:pt>
                <c:pt idx="427">
                  <c:v>44649</c:v>
                </c:pt>
                <c:pt idx="428">
                  <c:v>44648</c:v>
                </c:pt>
                <c:pt idx="429">
                  <c:v>44645</c:v>
                </c:pt>
                <c:pt idx="430">
                  <c:v>44644</c:v>
                </c:pt>
                <c:pt idx="431">
                  <c:v>44643</c:v>
                </c:pt>
                <c:pt idx="432">
                  <c:v>44642</c:v>
                </c:pt>
                <c:pt idx="433">
                  <c:v>44641</c:v>
                </c:pt>
                <c:pt idx="434">
                  <c:v>44638</c:v>
                </c:pt>
                <c:pt idx="435">
                  <c:v>44636</c:v>
                </c:pt>
                <c:pt idx="436">
                  <c:v>44635</c:v>
                </c:pt>
                <c:pt idx="437">
                  <c:v>44634</c:v>
                </c:pt>
                <c:pt idx="438">
                  <c:v>44631</c:v>
                </c:pt>
                <c:pt idx="439">
                  <c:v>44630</c:v>
                </c:pt>
                <c:pt idx="440">
                  <c:v>44629</c:v>
                </c:pt>
                <c:pt idx="441">
                  <c:v>44628</c:v>
                </c:pt>
                <c:pt idx="442">
                  <c:v>44627</c:v>
                </c:pt>
                <c:pt idx="443">
                  <c:v>44624</c:v>
                </c:pt>
                <c:pt idx="444">
                  <c:v>44623</c:v>
                </c:pt>
                <c:pt idx="445">
                  <c:v>44622</c:v>
                </c:pt>
                <c:pt idx="446">
                  <c:v>44620</c:v>
                </c:pt>
                <c:pt idx="447">
                  <c:v>44617</c:v>
                </c:pt>
                <c:pt idx="448">
                  <c:v>44616</c:v>
                </c:pt>
                <c:pt idx="449">
                  <c:v>44615</c:v>
                </c:pt>
                <c:pt idx="450">
                  <c:v>44614</c:v>
                </c:pt>
                <c:pt idx="451">
                  <c:v>44613</c:v>
                </c:pt>
                <c:pt idx="452">
                  <c:v>44610</c:v>
                </c:pt>
                <c:pt idx="453">
                  <c:v>44609</c:v>
                </c:pt>
                <c:pt idx="454">
                  <c:v>44607</c:v>
                </c:pt>
                <c:pt idx="455">
                  <c:v>44606</c:v>
                </c:pt>
                <c:pt idx="456">
                  <c:v>44603</c:v>
                </c:pt>
                <c:pt idx="457">
                  <c:v>44602</c:v>
                </c:pt>
                <c:pt idx="458">
                  <c:v>44601</c:v>
                </c:pt>
                <c:pt idx="459">
                  <c:v>44600</c:v>
                </c:pt>
                <c:pt idx="460">
                  <c:v>44599</c:v>
                </c:pt>
                <c:pt idx="461">
                  <c:v>44595</c:v>
                </c:pt>
                <c:pt idx="462">
                  <c:v>44594</c:v>
                </c:pt>
                <c:pt idx="463">
                  <c:v>44593</c:v>
                </c:pt>
                <c:pt idx="464">
                  <c:v>44592</c:v>
                </c:pt>
                <c:pt idx="465">
                  <c:v>44589</c:v>
                </c:pt>
                <c:pt idx="466">
                  <c:v>44588</c:v>
                </c:pt>
                <c:pt idx="467">
                  <c:v>44587</c:v>
                </c:pt>
                <c:pt idx="468">
                  <c:v>44586</c:v>
                </c:pt>
                <c:pt idx="469">
                  <c:v>44585</c:v>
                </c:pt>
                <c:pt idx="470">
                  <c:v>44582</c:v>
                </c:pt>
                <c:pt idx="471">
                  <c:v>44581</c:v>
                </c:pt>
                <c:pt idx="472">
                  <c:v>44580</c:v>
                </c:pt>
                <c:pt idx="473">
                  <c:v>44579</c:v>
                </c:pt>
                <c:pt idx="474">
                  <c:v>44574</c:v>
                </c:pt>
                <c:pt idx="475">
                  <c:v>44573</c:v>
                </c:pt>
                <c:pt idx="476">
                  <c:v>44572</c:v>
                </c:pt>
                <c:pt idx="477">
                  <c:v>44571</c:v>
                </c:pt>
                <c:pt idx="478">
                  <c:v>44568</c:v>
                </c:pt>
                <c:pt idx="479">
                  <c:v>44567</c:v>
                </c:pt>
                <c:pt idx="480">
                  <c:v>44566</c:v>
                </c:pt>
                <c:pt idx="481">
                  <c:v>44565</c:v>
                </c:pt>
                <c:pt idx="482">
                  <c:v>44564</c:v>
                </c:pt>
                <c:pt idx="483">
                  <c:v>44561</c:v>
                </c:pt>
                <c:pt idx="484">
                  <c:v>44560</c:v>
                </c:pt>
                <c:pt idx="485">
                  <c:v>44559</c:v>
                </c:pt>
                <c:pt idx="486">
                  <c:v>44558</c:v>
                </c:pt>
                <c:pt idx="487">
                  <c:v>44557</c:v>
                </c:pt>
                <c:pt idx="488">
                  <c:v>44554</c:v>
                </c:pt>
                <c:pt idx="489">
                  <c:v>44553</c:v>
                </c:pt>
                <c:pt idx="490">
                  <c:v>44552</c:v>
                </c:pt>
                <c:pt idx="491">
                  <c:v>44551</c:v>
                </c:pt>
                <c:pt idx="492">
                  <c:v>44550</c:v>
                </c:pt>
                <c:pt idx="493">
                  <c:v>44547</c:v>
                </c:pt>
                <c:pt idx="494">
                  <c:v>44546</c:v>
                </c:pt>
                <c:pt idx="495">
                  <c:v>44545</c:v>
                </c:pt>
                <c:pt idx="496">
                  <c:v>44544</c:v>
                </c:pt>
                <c:pt idx="497">
                  <c:v>44543</c:v>
                </c:pt>
                <c:pt idx="498">
                  <c:v>44540</c:v>
                </c:pt>
                <c:pt idx="499">
                  <c:v>44539</c:v>
                </c:pt>
                <c:pt idx="500">
                  <c:v>44538</c:v>
                </c:pt>
                <c:pt idx="501">
                  <c:v>44537</c:v>
                </c:pt>
                <c:pt idx="502">
                  <c:v>44536</c:v>
                </c:pt>
                <c:pt idx="503">
                  <c:v>44533</c:v>
                </c:pt>
                <c:pt idx="504">
                  <c:v>44532</c:v>
                </c:pt>
                <c:pt idx="505">
                  <c:v>44531</c:v>
                </c:pt>
                <c:pt idx="506">
                  <c:v>44530</c:v>
                </c:pt>
                <c:pt idx="507">
                  <c:v>44529</c:v>
                </c:pt>
                <c:pt idx="508">
                  <c:v>44526</c:v>
                </c:pt>
                <c:pt idx="509">
                  <c:v>44525</c:v>
                </c:pt>
                <c:pt idx="510">
                  <c:v>44524</c:v>
                </c:pt>
                <c:pt idx="511">
                  <c:v>44523</c:v>
                </c:pt>
                <c:pt idx="512">
                  <c:v>44522</c:v>
                </c:pt>
                <c:pt idx="513">
                  <c:v>44519</c:v>
                </c:pt>
                <c:pt idx="514">
                  <c:v>44517</c:v>
                </c:pt>
                <c:pt idx="515">
                  <c:v>44516</c:v>
                </c:pt>
                <c:pt idx="516">
                  <c:v>44515</c:v>
                </c:pt>
                <c:pt idx="517">
                  <c:v>44512</c:v>
                </c:pt>
                <c:pt idx="518">
                  <c:v>44511</c:v>
                </c:pt>
                <c:pt idx="519">
                  <c:v>44510</c:v>
                </c:pt>
                <c:pt idx="520">
                  <c:v>44509</c:v>
                </c:pt>
                <c:pt idx="521">
                  <c:v>44508</c:v>
                </c:pt>
                <c:pt idx="522">
                  <c:v>44505</c:v>
                </c:pt>
                <c:pt idx="523">
                  <c:v>44503</c:v>
                </c:pt>
                <c:pt idx="524">
                  <c:v>44502</c:v>
                </c:pt>
                <c:pt idx="525">
                  <c:v>44501</c:v>
                </c:pt>
                <c:pt idx="526">
                  <c:v>44498</c:v>
                </c:pt>
                <c:pt idx="527">
                  <c:v>44497</c:v>
                </c:pt>
                <c:pt idx="528">
                  <c:v>44496</c:v>
                </c:pt>
                <c:pt idx="529">
                  <c:v>44495</c:v>
                </c:pt>
                <c:pt idx="530">
                  <c:v>44494</c:v>
                </c:pt>
                <c:pt idx="531">
                  <c:v>44491</c:v>
                </c:pt>
                <c:pt idx="532">
                  <c:v>44490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44477</c:v>
                </c:pt>
                <c:pt idx="540">
                  <c:v>44476</c:v>
                </c:pt>
                <c:pt idx="541">
                  <c:v>44475</c:v>
                </c:pt>
                <c:pt idx="542">
                  <c:v>44474</c:v>
                </c:pt>
                <c:pt idx="543">
                  <c:v>44473</c:v>
                </c:pt>
                <c:pt idx="544">
                  <c:v>44470</c:v>
                </c:pt>
                <c:pt idx="545">
                  <c:v>44469</c:v>
                </c:pt>
                <c:pt idx="546">
                  <c:v>44468</c:v>
                </c:pt>
                <c:pt idx="547">
                  <c:v>44467</c:v>
                </c:pt>
                <c:pt idx="548">
                  <c:v>44466</c:v>
                </c:pt>
                <c:pt idx="549">
                  <c:v>44463</c:v>
                </c:pt>
                <c:pt idx="550">
                  <c:v>44462</c:v>
                </c:pt>
                <c:pt idx="551">
                  <c:v>44461</c:v>
                </c:pt>
                <c:pt idx="552">
                  <c:v>44460</c:v>
                </c:pt>
                <c:pt idx="553">
                  <c:v>44456</c:v>
                </c:pt>
                <c:pt idx="554">
                  <c:v>44455</c:v>
                </c:pt>
                <c:pt idx="555">
                  <c:v>44454</c:v>
                </c:pt>
                <c:pt idx="556">
                  <c:v>44453</c:v>
                </c:pt>
                <c:pt idx="557">
                  <c:v>44452</c:v>
                </c:pt>
                <c:pt idx="558">
                  <c:v>44449</c:v>
                </c:pt>
                <c:pt idx="559">
                  <c:v>44448</c:v>
                </c:pt>
                <c:pt idx="560">
                  <c:v>44447</c:v>
                </c:pt>
                <c:pt idx="561">
                  <c:v>44446</c:v>
                </c:pt>
                <c:pt idx="562">
                  <c:v>44445</c:v>
                </c:pt>
                <c:pt idx="563">
                  <c:v>44442</c:v>
                </c:pt>
                <c:pt idx="564">
                  <c:v>44441</c:v>
                </c:pt>
                <c:pt idx="565">
                  <c:v>44440</c:v>
                </c:pt>
                <c:pt idx="566">
                  <c:v>44439</c:v>
                </c:pt>
                <c:pt idx="567">
                  <c:v>44438</c:v>
                </c:pt>
                <c:pt idx="568">
                  <c:v>44435</c:v>
                </c:pt>
                <c:pt idx="569">
                  <c:v>44434</c:v>
                </c:pt>
                <c:pt idx="570">
                  <c:v>44433</c:v>
                </c:pt>
                <c:pt idx="571">
                  <c:v>44432</c:v>
                </c:pt>
                <c:pt idx="572">
                  <c:v>44431</c:v>
                </c:pt>
                <c:pt idx="573">
                  <c:v>44428</c:v>
                </c:pt>
                <c:pt idx="574">
                  <c:v>44427</c:v>
                </c:pt>
                <c:pt idx="575">
                  <c:v>44426</c:v>
                </c:pt>
                <c:pt idx="576">
                  <c:v>44425</c:v>
                </c:pt>
                <c:pt idx="577">
                  <c:v>44424</c:v>
                </c:pt>
                <c:pt idx="578">
                  <c:v>44421</c:v>
                </c:pt>
                <c:pt idx="579">
                  <c:v>44420</c:v>
                </c:pt>
                <c:pt idx="580">
                  <c:v>44419</c:v>
                </c:pt>
                <c:pt idx="581">
                  <c:v>44418</c:v>
                </c:pt>
                <c:pt idx="582">
                  <c:v>44417</c:v>
                </c:pt>
                <c:pt idx="583">
                  <c:v>44414</c:v>
                </c:pt>
                <c:pt idx="584">
                  <c:v>44413</c:v>
                </c:pt>
                <c:pt idx="585">
                  <c:v>44412</c:v>
                </c:pt>
                <c:pt idx="586">
                  <c:v>44411</c:v>
                </c:pt>
                <c:pt idx="587">
                  <c:v>44410</c:v>
                </c:pt>
                <c:pt idx="588">
                  <c:v>44407</c:v>
                </c:pt>
                <c:pt idx="589">
                  <c:v>44406</c:v>
                </c:pt>
                <c:pt idx="590">
                  <c:v>44405</c:v>
                </c:pt>
                <c:pt idx="591">
                  <c:v>44404</c:v>
                </c:pt>
                <c:pt idx="592">
                  <c:v>44403</c:v>
                </c:pt>
                <c:pt idx="593">
                  <c:v>44399</c:v>
                </c:pt>
                <c:pt idx="594">
                  <c:v>44397</c:v>
                </c:pt>
                <c:pt idx="595">
                  <c:v>44396</c:v>
                </c:pt>
                <c:pt idx="596">
                  <c:v>44393</c:v>
                </c:pt>
                <c:pt idx="597">
                  <c:v>44392</c:v>
                </c:pt>
                <c:pt idx="598">
                  <c:v>44391</c:v>
                </c:pt>
                <c:pt idx="599">
                  <c:v>44390</c:v>
                </c:pt>
                <c:pt idx="600">
                  <c:v>44389</c:v>
                </c:pt>
                <c:pt idx="601">
                  <c:v>44386</c:v>
                </c:pt>
                <c:pt idx="602">
                  <c:v>44385</c:v>
                </c:pt>
                <c:pt idx="603">
                  <c:v>44384</c:v>
                </c:pt>
                <c:pt idx="604">
                  <c:v>44383</c:v>
                </c:pt>
                <c:pt idx="605">
                  <c:v>44382</c:v>
                </c:pt>
                <c:pt idx="606">
                  <c:v>44379</c:v>
                </c:pt>
                <c:pt idx="607">
                  <c:v>44378</c:v>
                </c:pt>
                <c:pt idx="608">
                  <c:v>44377</c:v>
                </c:pt>
                <c:pt idx="609">
                  <c:v>44376</c:v>
                </c:pt>
                <c:pt idx="610">
                  <c:v>44375</c:v>
                </c:pt>
                <c:pt idx="611">
                  <c:v>44372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44361</c:v>
                </c:pt>
                <c:pt idx="620">
                  <c:v>44358</c:v>
                </c:pt>
                <c:pt idx="621">
                  <c:v>44357</c:v>
                </c:pt>
                <c:pt idx="622">
                  <c:v>44356</c:v>
                </c:pt>
                <c:pt idx="623">
                  <c:v>44355</c:v>
                </c:pt>
                <c:pt idx="624">
                  <c:v>44354</c:v>
                </c:pt>
                <c:pt idx="625">
                  <c:v>44351</c:v>
                </c:pt>
                <c:pt idx="626">
                  <c:v>44350</c:v>
                </c:pt>
                <c:pt idx="627">
                  <c:v>44349</c:v>
                </c:pt>
                <c:pt idx="628">
                  <c:v>44348</c:v>
                </c:pt>
                <c:pt idx="629">
                  <c:v>44347</c:v>
                </c:pt>
                <c:pt idx="630">
                  <c:v>44344</c:v>
                </c:pt>
                <c:pt idx="631">
                  <c:v>44341</c:v>
                </c:pt>
                <c:pt idx="632">
                  <c:v>44340</c:v>
                </c:pt>
                <c:pt idx="633">
                  <c:v>44337</c:v>
                </c:pt>
                <c:pt idx="634">
                  <c:v>44336</c:v>
                </c:pt>
                <c:pt idx="635">
                  <c:v>44335</c:v>
                </c:pt>
                <c:pt idx="636">
                  <c:v>44334</c:v>
                </c:pt>
                <c:pt idx="637">
                  <c:v>44333</c:v>
                </c:pt>
                <c:pt idx="638">
                  <c:v>44329</c:v>
                </c:pt>
                <c:pt idx="639">
                  <c:v>44328</c:v>
                </c:pt>
                <c:pt idx="640">
                  <c:v>44327</c:v>
                </c:pt>
                <c:pt idx="641">
                  <c:v>44326</c:v>
                </c:pt>
                <c:pt idx="642">
                  <c:v>44323</c:v>
                </c:pt>
                <c:pt idx="643">
                  <c:v>44322</c:v>
                </c:pt>
                <c:pt idx="644">
                  <c:v>44321</c:v>
                </c:pt>
                <c:pt idx="645">
                  <c:v>44320</c:v>
                </c:pt>
                <c:pt idx="646">
                  <c:v>44319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44309</c:v>
                </c:pt>
                <c:pt idx="652">
                  <c:v>44308</c:v>
                </c:pt>
                <c:pt idx="653">
                  <c:v>44307</c:v>
                </c:pt>
                <c:pt idx="654">
                  <c:v>44306</c:v>
                </c:pt>
                <c:pt idx="655">
                  <c:v>44305</c:v>
                </c:pt>
                <c:pt idx="656">
                  <c:v>44302</c:v>
                </c:pt>
                <c:pt idx="657">
                  <c:v>44301</c:v>
                </c:pt>
                <c:pt idx="658">
                  <c:v>44298</c:v>
                </c:pt>
                <c:pt idx="659">
                  <c:v>44295</c:v>
                </c:pt>
                <c:pt idx="660">
                  <c:v>44294</c:v>
                </c:pt>
                <c:pt idx="661">
                  <c:v>44293</c:v>
                </c:pt>
                <c:pt idx="662">
                  <c:v>44292</c:v>
                </c:pt>
                <c:pt idx="663">
                  <c:v>44291</c:v>
                </c:pt>
                <c:pt idx="664">
                  <c:v>44287</c:v>
                </c:pt>
                <c:pt idx="665">
                  <c:v>44286</c:v>
                </c:pt>
                <c:pt idx="666">
                  <c:v>44285</c:v>
                </c:pt>
                <c:pt idx="667">
                  <c:v>44284</c:v>
                </c:pt>
                <c:pt idx="668">
                  <c:v>44281</c:v>
                </c:pt>
                <c:pt idx="669">
                  <c:v>44280</c:v>
                </c:pt>
                <c:pt idx="670">
                  <c:v>44279</c:v>
                </c:pt>
                <c:pt idx="671">
                  <c:v>44278</c:v>
                </c:pt>
                <c:pt idx="672">
                  <c:v>44277</c:v>
                </c:pt>
                <c:pt idx="673">
                  <c:v>44274</c:v>
                </c:pt>
                <c:pt idx="674">
                  <c:v>44273</c:v>
                </c:pt>
                <c:pt idx="675">
                  <c:v>44272</c:v>
                </c:pt>
                <c:pt idx="676">
                  <c:v>44271</c:v>
                </c:pt>
                <c:pt idx="677">
                  <c:v>44270</c:v>
                </c:pt>
                <c:pt idx="678">
                  <c:v>44267</c:v>
                </c:pt>
                <c:pt idx="679">
                  <c:v>44265</c:v>
                </c:pt>
                <c:pt idx="680">
                  <c:v>44264</c:v>
                </c:pt>
                <c:pt idx="681">
                  <c:v>44263</c:v>
                </c:pt>
                <c:pt idx="682">
                  <c:v>44260</c:v>
                </c:pt>
                <c:pt idx="683">
                  <c:v>44259</c:v>
                </c:pt>
                <c:pt idx="684">
                  <c:v>44258</c:v>
                </c:pt>
                <c:pt idx="685">
                  <c:v>44257</c:v>
                </c:pt>
                <c:pt idx="686">
                  <c:v>44256</c:v>
                </c:pt>
                <c:pt idx="687">
                  <c:v>44252</c:v>
                </c:pt>
                <c:pt idx="688">
                  <c:v>44251</c:v>
                </c:pt>
                <c:pt idx="689">
                  <c:v>44250</c:v>
                </c:pt>
                <c:pt idx="690">
                  <c:v>44249</c:v>
                </c:pt>
                <c:pt idx="691">
                  <c:v>44246</c:v>
                </c:pt>
                <c:pt idx="692">
                  <c:v>44245</c:v>
                </c:pt>
                <c:pt idx="693">
                  <c:v>44244</c:v>
                </c:pt>
                <c:pt idx="694">
                  <c:v>44243</c:v>
                </c:pt>
                <c:pt idx="695">
                  <c:v>44242</c:v>
                </c:pt>
                <c:pt idx="696">
                  <c:v>44239</c:v>
                </c:pt>
                <c:pt idx="697">
                  <c:v>44238</c:v>
                </c:pt>
                <c:pt idx="698">
                  <c:v>44237</c:v>
                </c:pt>
                <c:pt idx="699">
                  <c:v>44236</c:v>
                </c:pt>
                <c:pt idx="700">
                  <c:v>44235</c:v>
                </c:pt>
                <c:pt idx="701">
                  <c:v>44232</c:v>
                </c:pt>
                <c:pt idx="702">
                  <c:v>44230</c:v>
                </c:pt>
                <c:pt idx="703">
                  <c:v>44229</c:v>
                </c:pt>
                <c:pt idx="704">
                  <c:v>44228</c:v>
                </c:pt>
                <c:pt idx="705">
                  <c:v>44225</c:v>
                </c:pt>
                <c:pt idx="706">
                  <c:v>44223</c:v>
                </c:pt>
                <c:pt idx="707">
                  <c:v>44222</c:v>
                </c:pt>
                <c:pt idx="708">
                  <c:v>44221</c:v>
                </c:pt>
                <c:pt idx="709">
                  <c:v>44218</c:v>
                </c:pt>
                <c:pt idx="710">
                  <c:v>44217</c:v>
                </c:pt>
                <c:pt idx="711">
                  <c:v>44216</c:v>
                </c:pt>
                <c:pt idx="712">
                  <c:v>44215</c:v>
                </c:pt>
                <c:pt idx="713">
                  <c:v>44214</c:v>
                </c:pt>
                <c:pt idx="714">
                  <c:v>44211</c:v>
                </c:pt>
                <c:pt idx="715">
                  <c:v>44209</c:v>
                </c:pt>
                <c:pt idx="716">
                  <c:v>44208</c:v>
                </c:pt>
                <c:pt idx="717">
                  <c:v>44207</c:v>
                </c:pt>
                <c:pt idx="718">
                  <c:v>44204</c:v>
                </c:pt>
                <c:pt idx="719">
                  <c:v>44203</c:v>
                </c:pt>
                <c:pt idx="720">
                  <c:v>44202</c:v>
                </c:pt>
                <c:pt idx="721">
                  <c:v>44201</c:v>
                </c:pt>
                <c:pt idx="722">
                  <c:v>44200</c:v>
                </c:pt>
              </c:numCache>
            </c:numRef>
          </c:cat>
          <c:val>
            <c:numRef>
              <c:f>'Price volume'!$F$3:$F$725</c:f>
              <c:numCache>
                <c:formatCode>#,##0</c:formatCode>
                <c:ptCount val="723"/>
                <c:pt idx="0">
                  <c:v>365108</c:v>
                </c:pt>
                <c:pt idx="1">
                  <c:v>526800</c:v>
                </c:pt>
                <c:pt idx="2">
                  <c:v>132821</c:v>
                </c:pt>
                <c:pt idx="3">
                  <c:v>19420</c:v>
                </c:pt>
                <c:pt idx="4">
                  <c:v>351582</c:v>
                </c:pt>
                <c:pt idx="5">
                  <c:v>238327</c:v>
                </c:pt>
                <c:pt idx="6">
                  <c:v>377339</c:v>
                </c:pt>
                <c:pt idx="7">
                  <c:v>218632</c:v>
                </c:pt>
                <c:pt idx="8">
                  <c:v>120591</c:v>
                </c:pt>
                <c:pt idx="9">
                  <c:v>383942</c:v>
                </c:pt>
                <c:pt idx="10">
                  <c:v>645804</c:v>
                </c:pt>
                <c:pt idx="11">
                  <c:v>78872</c:v>
                </c:pt>
                <c:pt idx="12">
                  <c:v>120088</c:v>
                </c:pt>
                <c:pt idx="13">
                  <c:v>82579</c:v>
                </c:pt>
                <c:pt idx="14">
                  <c:v>118865</c:v>
                </c:pt>
                <c:pt idx="15">
                  <c:v>290798</c:v>
                </c:pt>
                <c:pt idx="16">
                  <c:v>491469</c:v>
                </c:pt>
                <c:pt idx="17">
                  <c:v>304923</c:v>
                </c:pt>
                <c:pt idx="18">
                  <c:v>96105</c:v>
                </c:pt>
                <c:pt idx="19">
                  <c:v>96105</c:v>
                </c:pt>
                <c:pt idx="20">
                  <c:v>273412</c:v>
                </c:pt>
                <c:pt idx="21">
                  <c:v>362550</c:v>
                </c:pt>
                <c:pt idx="22">
                  <c:v>350015</c:v>
                </c:pt>
                <c:pt idx="23">
                  <c:v>235422</c:v>
                </c:pt>
                <c:pt idx="24">
                  <c:v>207025</c:v>
                </c:pt>
                <c:pt idx="25">
                  <c:v>220567</c:v>
                </c:pt>
                <c:pt idx="26">
                  <c:v>212106</c:v>
                </c:pt>
                <c:pt idx="27">
                  <c:v>92562</c:v>
                </c:pt>
                <c:pt idx="28">
                  <c:v>355311</c:v>
                </c:pt>
                <c:pt idx="29">
                  <c:v>279189</c:v>
                </c:pt>
                <c:pt idx="30">
                  <c:v>274886</c:v>
                </c:pt>
                <c:pt idx="31">
                  <c:v>67100</c:v>
                </c:pt>
                <c:pt idx="32">
                  <c:v>300505</c:v>
                </c:pt>
                <c:pt idx="33">
                  <c:v>120311</c:v>
                </c:pt>
                <c:pt idx="34">
                  <c:v>212762</c:v>
                </c:pt>
                <c:pt idx="35">
                  <c:v>415563</c:v>
                </c:pt>
                <c:pt idx="36">
                  <c:v>252339</c:v>
                </c:pt>
                <c:pt idx="37">
                  <c:v>142711</c:v>
                </c:pt>
                <c:pt idx="38">
                  <c:v>253390</c:v>
                </c:pt>
                <c:pt idx="39">
                  <c:v>97817</c:v>
                </c:pt>
                <c:pt idx="40">
                  <c:v>48845</c:v>
                </c:pt>
                <c:pt idx="41">
                  <c:v>67953</c:v>
                </c:pt>
                <c:pt idx="42">
                  <c:v>85238</c:v>
                </c:pt>
                <c:pt idx="43">
                  <c:v>835451</c:v>
                </c:pt>
                <c:pt idx="44">
                  <c:v>709199</c:v>
                </c:pt>
                <c:pt idx="45">
                  <c:v>440085</c:v>
                </c:pt>
                <c:pt idx="46">
                  <c:v>202295</c:v>
                </c:pt>
                <c:pt idx="47">
                  <c:v>40550</c:v>
                </c:pt>
                <c:pt idx="48">
                  <c:v>70637</c:v>
                </c:pt>
                <c:pt idx="49">
                  <c:v>304888</c:v>
                </c:pt>
                <c:pt idx="50">
                  <c:v>70039</c:v>
                </c:pt>
                <c:pt idx="51">
                  <c:v>44765</c:v>
                </c:pt>
                <c:pt idx="52">
                  <c:v>27140</c:v>
                </c:pt>
                <c:pt idx="53">
                  <c:v>140888</c:v>
                </c:pt>
                <c:pt idx="54">
                  <c:v>44129</c:v>
                </c:pt>
                <c:pt idx="55">
                  <c:v>7095</c:v>
                </c:pt>
                <c:pt idx="56">
                  <c:v>53452</c:v>
                </c:pt>
                <c:pt idx="57">
                  <c:v>266261</c:v>
                </c:pt>
                <c:pt idx="58">
                  <c:v>162190</c:v>
                </c:pt>
                <c:pt idx="59">
                  <c:v>271914</c:v>
                </c:pt>
                <c:pt idx="60">
                  <c:v>186428</c:v>
                </c:pt>
                <c:pt idx="61">
                  <c:v>249131</c:v>
                </c:pt>
                <c:pt idx="62">
                  <c:v>291608</c:v>
                </c:pt>
                <c:pt idx="63">
                  <c:v>47238</c:v>
                </c:pt>
                <c:pt idx="64">
                  <c:v>63818</c:v>
                </c:pt>
                <c:pt idx="65">
                  <c:v>270137</c:v>
                </c:pt>
                <c:pt idx="66">
                  <c:v>252894</c:v>
                </c:pt>
                <c:pt idx="67">
                  <c:v>341682</c:v>
                </c:pt>
                <c:pt idx="68">
                  <c:v>24331</c:v>
                </c:pt>
                <c:pt idx="69">
                  <c:v>69603</c:v>
                </c:pt>
                <c:pt idx="70">
                  <c:v>96817</c:v>
                </c:pt>
                <c:pt idx="71">
                  <c:v>59184</c:v>
                </c:pt>
                <c:pt idx="72">
                  <c:v>100346</c:v>
                </c:pt>
                <c:pt idx="73">
                  <c:v>141202</c:v>
                </c:pt>
                <c:pt idx="74">
                  <c:v>135264</c:v>
                </c:pt>
                <c:pt idx="75">
                  <c:v>45409</c:v>
                </c:pt>
                <c:pt idx="76">
                  <c:v>66034</c:v>
                </c:pt>
                <c:pt idx="77">
                  <c:v>52475</c:v>
                </c:pt>
                <c:pt idx="78">
                  <c:v>643824</c:v>
                </c:pt>
                <c:pt idx="79">
                  <c:v>197486</c:v>
                </c:pt>
                <c:pt idx="80">
                  <c:v>183641</c:v>
                </c:pt>
                <c:pt idx="81">
                  <c:v>130682</c:v>
                </c:pt>
                <c:pt idx="82">
                  <c:v>73643</c:v>
                </c:pt>
                <c:pt idx="83">
                  <c:v>547373</c:v>
                </c:pt>
                <c:pt idx="84">
                  <c:v>189696</c:v>
                </c:pt>
                <c:pt idx="85">
                  <c:v>61359</c:v>
                </c:pt>
                <c:pt idx="86">
                  <c:v>132256</c:v>
                </c:pt>
                <c:pt idx="87">
                  <c:v>135448</c:v>
                </c:pt>
                <c:pt idx="88">
                  <c:v>283191</c:v>
                </c:pt>
                <c:pt idx="89">
                  <c:v>1447012</c:v>
                </c:pt>
                <c:pt idx="90">
                  <c:v>583695</c:v>
                </c:pt>
                <c:pt idx="91">
                  <c:v>277325</c:v>
                </c:pt>
                <c:pt idx="92">
                  <c:v>47446</c:v>
                </c:pt>
                <c:pt idx="93">
                  <c:v>200701</c:v>
                </c:pt>
                <c:pt idx="94">
                  <c:v>844341</c:v>
                </c:pt>
                <c:pt idx="95">
                  <c:v>294307</c:v>
                </c:pt>
                <c:pt idx="96">
                  <c:v>914560</c:v>
                </c:pt>
                <c:pt idx="97">
                  <c:v>1706011</c:v>
                </c:pt>
                <c:pt idx="98">
                  <c:v>383293</c:v>
                </c:pt>
                <c:pt idx="99">
                  <c:v>713074</c:v>
                </c:pt>
                <c:pt idx="100">
                  <c:v>258047</c:v>
                </c:pt>
                <c:pt idx="101">
                  <c:v>378220</c:v>
                </c:pt>
                <c:pt idx="102">
                  <c:v>1959053</c:v>
                </c:pt>
                <c:pt idx="103">
                  <c:v>347080</c:v>
                </c:pt>
                <c:pt idx="104">
                  <c:v>424242</c:v>
                </c:pt>
                <c:pt idx="105">
                  <c:v>189379</c:v>
                </c:pt>
                <c:pt idx="106">
                  <c:v>511686</c:v>
                </c:pt>
                <c:pt idx="107">
                  <c:v>459283</c:v>
                </c:pt>
                <c:pt idx="108">
                  <c:v>1730366</c:v>
                </c:pt>
                <c:pt idx="109">
                  <c:v>1488934</c:v>
                </c:pt>
                <c:pt idx="110">
                  <c:v>1625961</c:v>
                </c:pt>
                <c:pt idx="111">
                  <c:v>2884844</c:v>
                </c:pt>
                <c:pt idx="112">
                  <c:v>1661623</c:v>
                </c:pt>
                <c:pt idx="113">
                  <c:v>451754</c:v>
                </c:pt>
                <c:pt idx="114">
                  <c:v>806602</c:v>
                </c:pt>
                <c:pt idx="115">
                  <c:v>940607</c:v>
                </c:pt>
                <c:pt idx="116">
                  <c:v>262156</c:v>
                </c:pt>
                <c:pt idx="117">
                  <c:v>1039988</c:v>
                </c:pt>
                <c:pt idx="118">
                  <c:v>973673</c:v>
                </c:pt>
                <c:pt idx="119">
                  <c:v>308229</c:v>
                </c:pt>
                <c:pt idx="120">
                  <c:v>671278</c:v>
                </c:pt>
                <c:pt idx="121">
                  <c:v>2289336</c:v>
                </c:pt>
                <c:pt idx="122">
                  <c:v>1560032</c:v>
                </c:pt>
                <c:pt idx="123">
                  <c:v>2532825</c:v>
                </c:pt>
                <c:pt idx="124">
                  <c:v>302121</c:v>
                </c:pt>
                <c:pt idx="125">
                  <c:v>874786</c:v>
                </c:pt>
                <c:pt idx="126">
                  <c:v>1157634</c:v>
                </c:pt>
                <c:pt idx="127">
                  <c:v>170853</c:v>
                </c:pt>
                <c:pt idx="128">
                  <c:v>217191</c:v>
                </c:pt>
                <c:pt idx="129">
                  <c:v>395794</c:v>
                </c:pt>
                <c:pt idx="130">
                  <c:v>604131</c:v>
                </c:pt>
                <c:pt idx="131">
                  <c:v>6639256</c:v>
                </c:pt>
                <c:pt idx="132">
                  <c:v>11028426</c:v>
                </c:pt>
                <c:pt idx="133">
                  <c:v>616578</c:v>
                </c:pt>
                <c:pt idx="134">
                  <c:v>369894</c:v>
                </c:pt>
                <c:pt idx="135">
                  <c:v>1159127</c:v>
                </c:pt>
                <c:pt idx="136">
                  <c:v>458084</c:v>
                </c:pt>
                <c:pt idx="137">
                  <c:v>187840</c:v>
                </c:pt>
                <c:pt idx="138">
                  <c:v>1297322</c:v>
                </c:pt>
                <c:pt idx="139">
                  <c:v>112606</c:v>
                </c:pt>
                <c:pt idx="140">
                  <c:v>197226</c:v>
                </c:pt>
                <c:pt idx="141">
                  <c:v>104658</c:v>
                </c:pt>
                <c:pt idx="142">
                  <c:v>1178947</c:v>
                </c:pt>
                <c:pt idx="143">
                  <c:v>165042</c:v>
                </c:pt>
                <c:pt idx="144">
                  <c:v>73476</c:v>
                </c:pt>
                <c:pt idx="145">
                  <c:v>93111</c:v>
                </c:pt>
                <c:pt idx="146">
                  <c:v>95851</c:v>
                </c:pt>
                <c:pt idx="147">
                  <c:v>13038</c:v>
                </c:pt>
                <c:pt idx="148">
                  <c:v>5099</c:v>
                </c:pt>
                <c:pt idx="149">
                  <c:v>219525</c:v>
                </c:pt>
                <c:pt idx="150">
                  <c:v>27749</c:v>
                </c:pt>
                <c:pt idx="151">
                  <c:v>51203</c:v>
                </c:pt>
                <c:pt idx="152">
                  <c:v>83039</c:v>
                </c:pt>
                <c:pt idx="153">
                  <c:v>4438</c:v>
                </c:pt>
                <c:pt idx="154">
                  <c:v>14355</c:v>
                </c:pt>
                <c:pt idx="155">
                  <c:v>27590</c:v>
                </c:pt>
                <c:pt idx="156">
                  <c:v>90921</c:v>
                </c:pt>
                <c:pt idx="157">
                  <c:v>149252</c:v>
                </c:pt>
                <c:pt idx="158">
                  <c:v>174054</c:v>
                </c:pt>
                <c:pt idx="159">
                  <c:v>124023</c:v>
                </c:pt>
                <c:pt idx="160">
                  <c:v>278304</c:v>
                </c:pt>
                <c:pt idx="161">
                  <c:v>234668</c:v>
                </c:pt>
                <c:pt idx="162">
                  <c:v>276168</c:v>
                </c:pt>
                <c:pt idx="163">
                  <c:v>316995</c:v>
                </c:pt>
                <c:pt idx="164">
                  <c:v>1386574</c:v>
                </c:pt>
                <c:pt idx="165">
                  <c:v>244459</c:v>
                </c:pt>
                <c:pt idx="166">
                  <c:v>194817</c:v>
                </c:pt>
                <c:pt idx="167">
                  <c:v>391606</c:v>
                </c:pt>
                <c:pt idx="168">
                  <c:v>17842</c:v>
                </c:pt>
                <c:pt idx="169">
                  <c:v>108621</c:v>
                </c:pt>
                <c:pt idx="170">
                  <c:v>70481</c:v>
                </c:pt>
                <c:pt idx="171">
                  <c:v>117566</c:v>
                </c:pt>
                <c:pt idx="172">
                  <c:v>32462</c:v>
                </c:pt>
                <c:pt idx="173">
                  <c:v>122307</c:v>
                </c:pt>
                <c:pt idx="174">
                  <c:v>80219</c:v>
                </c:pt>
                <c:pt idx="175">
                  <c:v>32342</c:v>
                </c:pt>
                <c:pt idx="176">
                  <c:v>136034</c:v>
                </c:pt>
                <c:pt idx="177">
                  <c:v>66469</c:v>
                </c:pt>
                <c:pt idx="178">
                  <c:v>69080</c:v>
                </c:pt>
                <c:pt idx="179">
                  <c:v>201431</c:v>
                </c:pt>
                <c:pt idx="180">
                  <c:v>100914</c:v>
                </c:pt>
                <c:pt idx="181">
                  <c:v>35846</c:v>
                </c:pt>
                <c:pt idx="182">
                  <c:v>57955</c:v>
                </c:pt>
                <c:pt idx="183">
                  <c:v>14516</c:v>
                </c:pt>
                <c:pt idx="184">
                  <c:v>37021</c:v>
                </c:pt>
                <c:pt idx="185">
                  <c:v>83423</c:v>
                </c:pt>
                <c:pt idx="186">
                  <c:v>7977</c:v>
                </c:pt>
                <c:pt idx="187">
                  <c:v>57387</c:v>
                </c:pt>
                <c:pt idx="188">
                  <c:v>37557</c:v>
                </c:pt>
                <c:pt idx="189">
                  <c:v>104588</c:v>
                </c:pt>
                <c:pt idx="190">
                  <c:v>82420</c:v>
                </c:pt>
                <c:pt idx="191">
                  <c:v>38308</c:v>
                </c:pt>
                <c:pt idx="192">
                  <c:v>47158</c:v>
                </c:pt>
                <c:pt idx="193">
                  <c:v>192110</c:v>
                </c:pt>
                <c:pt idx="194">
                  <c:v>269274</c:v>
                </c:pt>
                <c:pt idx="195">
                  <c:v>116204</c:v>
                </c:pt>
                <c:pt idx="196">
                  <c:v>801596</c:v>
                </c:pt>
                <c:pt idx="197">
                  <c:v>12452</c:v>
                </c:pt>
                <c:pt idx="198">
                  <c:v>43651</c:v>
                </c:pt>
                <c:pt idx="199">
                  <c:v>183793</c:v>
                </c:pt>
                <c:pt idx="200">
                  <c:v>379621</c:v>
                </c:pt>
                <c:pt idx="201">
                  <c:v>15345</c:v>
                </c:pt>
                <c:pt idx="202">
                  <c:v>163949</c:v>
                </c:pt>
                <c:pt idx="203">
                  <c:v>131334</c:v>
                </c:pt>
                <c:pt idx="204">
                  <c:v>183848</c:v>
                </c:pt>
                <c:pt idx="205">
                  <c:v>65959</c:v>
                </c:pt>
                <c:pt idx="206">
                  <c:v>83858</c:v>
                </c:pt>
                <c:pt idx="207">
                  <c:v>347603</c:v>
                </c:pt>
                <c:pt idx="208">
                  <c:v>708334</c:v>
                </c:pt>
                <c:pt idx="209">
                  <c:v>579021</c:v>
                </c:pt>
                <c:pt idx="210">
                  <c:v>2242266</c:v>
                </c:pt>
                <c:pt idx="211">
                  <c:v>148619</c:v>
                </c:pt>
                <c:pt idx="212">
                  <c:v>345869</c:v>
                </c:pt>
                <c:pt idx="213">
                  <c:v>351060</c:v>
                </c:pt>
                <c:pt idx="214">
                  <c:v>877090</c:v>
                </c:pt>
                <c:pt idx="215">
                  <c:v>136272</c:v>
                </c:pt>
                <c:pt idx="216">
                  <c:v>95310</c:v>
                </c:pt>
                <c:pt idx="217">
                  <c:v>334707</c:v>
                </c:pt>
                <c:pt idx="218">
                  <c:v>322034</c:v>
                </c:pt>
                <c:pt idx="219">
                  <c:v>421861</c:v>
                </c:pt>
                <c:pt idx="220">
                  <c:v>34909</c:v>
                </c:pt>
                <c:pt idx="221">
                  <c:v>8527</c:v>
                </c:pt>
                <c:pt idx="222">
                  <c:v>32685</c:v>
                </c:pt>
                <c:pt idx="223">
                  <c:v>20546</c:v>
                </c:pt>
                <c:pt idx="224">
                  <c:v>41635</c:v>
                </c:pt>
                <c:pt idx="225">
                  <c:v>33119</c:v>
                </c:pt>
                <c:pt idx="226">
                  <c:v>34195</c:v>
                </c:pt>
                <c:pt idx="227">
                  <c:v>62179</c:v>
                </c:pt>
                <c:pt idx="228">
                  <c:v>102916</c:v>
                </c:pt>
                <c:pt idx="229">
                  <c:v>245321</c:v>
                </c:pt>
                <c:pt idx="230">
                  <c:v>343400</c:v>
                </c:pt>
                <c:pt idx="231">
                  <c:v>166917</c:v>
                </c:pt>
                <c:pt idx="232">
                  <c:v>44200</c:v>
                </c:pt>
                <c:pt idx="233">
                  <c:v>33293</c:v>
                </c:pt>
                <c:pt idx="234">
                  <c:v>100271</c:v>
                </c:pt>
                <c:pt idx="235">
                  <c:v>22570</c:v>
                </c:pt>
                <c:pt idx="236">
                  <c:v>24685</c:v>
                </c:pt>
                <c:pt idx="237">
                  <c:v>78659</c:v>
                </c:pt>
                <c:pt idx="238">
                  <c:v>251427</c:v>
                </c:pt>
                <c:pt idx="239">
                  <c:v>33177</c:v>
                </c:pt>
                <c:pt idx="240">
                  <c:v>62696</c:v>
                </c:pt>
                <c:pt idx="241">
                  <c:v>38761</c:v>
                </c:pt>
                <c:pt idx="242">
                  <c:v>121657</c:v>
                </c:pt>
                <c:pt idx="243">
                  <c:v>24699</c:v>
                </c:pt>
                <c:pt idx="244">
                  <c:v>19078</c:v>
                </c:pt>
                <c:pt idx="245">
                  <c:v>27767</c:v>
                </c:pt>
                <c:pt idx="246">
                  <c:v>23826</c:v>
                </c:pt>
                <c:pt idx="247">
                  <c:v>19567</c:v>
                </c:pt>
                <c:pt idx="248">
                  <c:v>31487</c:v>
                </c:pt>
                <c:pt idx="249">
                  <c:v>25317</c:v>
                </c:pt>
                <c:pt idx="250">
                  <c:v>21902</c:v>
                </c:pt>
                <c:pt idx="251">
                  <c:v>43051</c:v>
                </c:pt>
                <c:pt idx="252">
                  <c:v>20154</c:v>
                </c:pt>
                <c:pt idx="253">
                  <c:v>18061</c:v>
                </c:pt>
                <c:pt idx="254">
                  <c:v>10215</c:v>
                </c:pt>
                <c:pt idx="255">
                  <c:v>84434</c:v>
                </c:pt>
                <c:pt idx="256">
                  <c:v>45332</c:v>
                </c:pt>
                <c:pt idx="257">
                  <c:v>37804</c:v>
                </c:pt>
                <c:pt idx="258">
                  <c:v>19948</c:v>
                </c:pt>
                <c:pt idx="259">
                  <c:v>23421</c:v>
                </c:pt>
                <c:pt idx="260">
                  <c:v>17243</c:v>
                </c:pt>
                <c:pt idx="261">
                  <c:v>19373</c:v>
                </c:pt>
                <c:pt idx="262">
                  <c:v>16053</c:v>
                </c:pt>
                <c:pt idx="263">
                  <c:v>13636</c:v>
                </c:pt>
                <c:pt idx="264">
                  <c:v>106940</c:v>
                </c:pt>
                <c:pt idx="265">
                  <c:v>35894</c:v>
                </c:pt>
                <c:pt idx="266">
                  <c:v>47972</c:v>
                </c:pt>
                <c:pt idx="267">
                  <c:v>94282</c:v>
                </c:pt>
                <c:pt idx="268">
                  <c:v>39347</c:v>
                </c:pt>
                <c:pt idx="269">
                  <c:v>40769</c:v>
                </c:pt>
                <c:pt idx="270">
                  <c:v>182441</c:v>
                </c:pt>
                <c:pt idx="271">
                  <c:v>37670</c:v>
                </c:pt>
                <c:pt idx="272">
                  <c:v>20883</c:v>
                </c:pt>
                <c:pt idx="273">
                  <c:v>7997</c:v>
                </c:pt>
                <c:pt idx="274">
                  <c:v>29526</c:v>
                </c:pt>
                <c:pt idx="275">
                  <c:v>48040</c:v>
                </c:pt>
                <c:pt idx="276">
                  <c:v>5280</c:v>
                </c:pt>
                <c:pt idx="277">
                  <c:v>619370</c:v>
                </c:pt>
                <c:pt idx="278">
                  <c:v>738669</c:v>
                </c:pt>
                <c:pt idx="279">
                  <c:v>1171803</c:v>
                </c:pt>
                <c:pt idx="280">
                  <c:v>186326</c:v>
                </c:pt>
                <c:pt idx="281">
                  <c:v>65264</c:v>
                </c:pt>
                <c:pt idx="282">
                  <c:v>34594</c:v>
                </c:pt>
                <c:pt idx="283">
                  <c:v>19991</c:v>
                </c:pt>
                <c:pt idx="284">
                  <c:v>44214</c:v>
                </c:pt>
                <c:pt idx="285">
                  <c:v>29662</c:v>
                </c:pt>
                <c:pt idx="286">
                  <c:v>21711955</c:v>
                </c:pt>
                <c:pt idx="287">
                  <c:v>29663</c:v>
                </c:pt>
                <c:pt idx="288">
                  <c:v>66861</c:v>
                </c:pt>
                <c:pt idx="289">
                  <c:v>9928</c:v>
                </c:pt>
                <c:pt idx="290">
                  <c:v>14972</c:v>
                </c:pt>
                <c:pt idx="291">
                  <c:v>28552</c:v>
                </c:pt>
                <c:pt idx="292">
                  <c:v>33432</c:v>
                </c:pt>
                <c:pt idx="293">
                  <c:v>36996</c:v>
                </c:pt>
                <c:pt idx="294">
                  <c:v>25487</c:v>
                </c:pt>
                <c:pt idx="295">
                  <c:v>84101</c:v>
                </c:pt>
                <c:pt idx="296">
                  <c:v>44997</c:v>
                </c:pt>
                <c:pt idx="297">
                  <c:v>35814</c:v>
                </c:pt>
                <c:pt idx="298">
                  <c:v>11776</c:v>
                </c:pt>
                <c:pt idx="299">
                  <c:v>8060513</c:v>
                </c:pt>
                <c:pt idx="300">
                  <c:v>28544</c:v>
                </c:pt>
                <c:pt idx="301">
                  <c:v>65421</c:v>
                </c:pt>
                <c:pt idx="302">
                  <c:v>114903</c:v>
                </c:pt>
                <c:pt idx="303">
                  <c:v>124822</c:v>
                </c:pt>
                <c:pt idx="304">
                  <c:v>620480</c:v>
                </c:pt>
                <c:pt idx="305">
                  <c:v>448214</c:v>
                </c:pt>
                <c:pt idx="306">
                  <c:v>230889</c:v>
                </c:pt>
                <c:pt idx="307">
                  <c:v>75354</c:v>
                </c:pt>
                <c:pt idx="308">
                  <c:v>270897</c:v>
                </c:pt>
                <c:pt idx="309">
                  <c:v>92423</c:v>
                </c:pt>
                <c:pt idx="310">
                  <c:v>81101</c:v>
                </c:pt>
                <c:pt idx="311">
                  <c:v>33642</c:v>
                </c:pt>
                <c:pt idx="312">
                  <c:v>2419463</c:v>
                </c:pt>
                <c:pt idx="313">
                  <c:v>366109</c:v>
                </c:pt>
                <c:pt idx="314">
                  <c:v>160394</c:v>
                </c:pt>
                <c:pt idx="315">
                  <c:v>5114265</c:v>
                </c:pt>
                <c:pt idx="316">
                  <c:v>77167</c:v>
                </c:pt>
                <c:pt idx="317">
                  <c:v>83941</c:v>
                </c:pt>
                <c:pt idx="318">
                  <c:v>57086</c:v>
                </c:pt>
                <c:pt idx="319">
                  <c:v>38896</c:v>
                </c:pt>
                <c:pt idx="320">
                  <c:v>107532</c:v>
                </c:pt>
                <c:pt idx="321">
                  <c:v>198713</c:v>
                </c:pt>
                <c:pt idx="322">
                  <c:v>146958</c:v>
                </c:pt>
                <c:pt idx="323">
                  <c:v>270636</c:v>
                </c:pt>
                <c:pt idx="324">
                  <c:v>197333</c:v>
                </c:pt>
                <c:pt idx="325">
                  <c:v>104955</c:v>
                </c:pt>
                <c:pt idx="326">
                  <c:v>177207</c:v>
                </c:pt>
                <c:pt idx="327">
                  <c:v>330040</c:v>
                </c:pt>
                <c:pt idx="328">
                  <c:v>1596659</c:v>
                </c:pt>
                <c:pt idx="329">
                  <c:v>253956</c:v>
                </c:pt>
                <c:pt idx="330">
                  <c:v>89862</c:v>
                </c:pt>
                <c:pt idx="331">
                  <c:v>89348</c:v>
                </c:pt>
                <c:pt idx="332">
                  <c:v>27487</c:v>
                </c:pt>
                <c:pt idx="333">
                  <c:v>103285</c:v>
                </c:pt>
                <c:pt idx="334">
                  <c:v>4029609</c:v>
                </c:pt>
                <c:pt idx="335">
                  <c:v>43357</c:v>
                </c:pt>
                <c:pt idx="336">
                  <c:v>56391</c:v>
                </c:pt>
                <c:pt idx="337">
                  <c:v>56493</c:v>
                </c:pt>
                <c:pt idx="338">
                  <c:v>140144</c:v>
                </c:pt>
                <c:pt idx="339">
                  <c:v>22547</c:v>
                </c:pt>
                <c:pt idx="340">
                  <c:v>362635</c:v>
                </c:pt>
                <c:pt idx="341">
                  <c:v>95546</c:v>
                </c:pt>
                <c:pt idx="342">
                  <c:v>28776</c:v>
                </c:pt>
                <c:pt idx="343">
                  <c:v>104625</c:v>
                </c:pt>
                <c:pt idx="344">
                  <c:v>229326</c:v>
                </c:pt>
                <c:pt idx="345">
                  <c:v>57285</c:v>
                </c:pt>
                <c:pt idx="346">
                  <c:v>65691</c:v>
                </c:pt>
                <c:pt idx="347">
                  <c:v>70187</c:v>
                </c:pt>
                <c:pt idx="348">
                  <c:v>22754</c:v>
                </c:pt>
                <c:pt idx="349">
                  <c:v>3289798</c:v>
                </c:pt>
                <c:pt idx="350">
                  <c:v>143820</c:v>
                </c:pt>
                <c:pt idx="351">
                  <c:v>149563</c:v>
                </c:pt>
                <c:pt idx="352">
                  <c:v>121683</c:v>
                </c:pt>
                <c:pt idx="353">
                  <c:v>29247</c:v>
                </c:pt>
                <c:pt idx="354">
                  <c:v>44111</c:v>
                </c:pt>
                <c:pt idx="355">
                  <c:v>39746</c:v>
                </c:pt>
                <c:pt idx="356">
                  <c:v>16485</c:v>
                </c:pt>
                <c:pt idx="357">
                  <c:v>29083</c:v>
                </c:pt>
                <c:pt idx="358">
                  <c:v>67349</c:v>
                </c:pt>
                <c:pt idx="359">
                  <c:v>114932</c:v>
                </c:pt>
                <c:pt idx="360">
                  <c:v>34024</c:v>
                </c:pt>
                <c:pt idx="361">
                  <c:v>40547</c:v>
                </c:pt>
                <c:pt idx="362">
                  <c:v>20018</c:v>
                </c:pt>
                <c:pt idx="363">
                  <c:v>18714</c:v>
                </c:pt>
                <c:pt idx="364">
                  <c:v>230652</c:v>
                </c:pt>
                <c:pt idx="365">
                  <c:v>41281</c:v>
                </c:pt>
                <c:pt idx="366">
                  <c:v>33792</c:v>
                </c:pt>
                <c:pt idx="367">
                  <c:v>14535</c:v>
                </c:pt>
                <c:pt idx="368">
                  <c:v>6841</c:v>
                </c:pt>
                <c:pt idx="369">
                  <c:v>150797</c:v>
                </c:pt>
                <c:pt idx="370">
                  <c:v>23520</c:v>
                </c:pt>
                <c:pt idx="371">
                  <c:v>251126</c:v>
                </c:pt>
                <c:pt idx="372">
                  <c:v>309306</c:v>
                </c:pt>
                <c:pt idx="373">
                  <c:v>81363</c:v>
                </c:pt>
                <c:pt idx="374">
                  <c:v>375814</c:v>
                </c:pt>
                <c:pt idx="375">
                  <c:v>9509</c:v>
                </c:pt>
                <c:pt idx="376">
                  <c:v>122641</c:v>
                </c:pt>
                <c:pt idx="377">
                  <c:v>106732</c:v>
                </c:pt>
                <c:pt idx="378">
                  <c:v>1310048</c:v>
                </c:pt>
                <c:pt idx="379">
                  <c:v>4051447</c:v>
                </c:pt>
                <c:pt idx="380">
                  <c:v>3069323</c:v>
                </c:pt>
                <c:pt idx="381">
                  <c:v>1097082</c:v>
                </c:pt>
                <c:pt idx="382">
                  <c:v>9481</c:v>
                </c:pt>
                <c:pt idx="383">
                  <c:v>6737</c:v>
                </c:pt>
                <c:pt idx="384">
                  <c:v>1016684</c:v>
                </c:pt>
                <c:pt idx="385">
                  <c:v>152801</c:v>
                </c:pt>
                <c:pt idx="386">
                  <c:v>15739</c:v>
                </c:pt>
                <c:pt idx="387">
                  <c:v>527454</c:v>
                </c:pt>
                <c:pt idx="388">
                  <c:v>60186</c:v>
                </c:pt>
                <c:pt idx="389">
                  <c:v>456057</c:v>
                </c:pt>
                <c:pt idx="390">
                  <c:v>68248</c:v>
                </c:pt>
                <c:pt idx="391">
                  <c:v>39264</c:v>
                </c:pt>
                <c:pt idx="392">
                  <c:v>421788</c:v>
                </c:pt>
                <c:pt idx="393">
                  <c:v>243165</c:v>
                </c:pt>
                <c:pt idx="394">
                  <c:v>12756</c:v>
                </c:pt>
                <c:pt idx="395">
                  <c:v>822946</c:v>
                </c:pt>
                <c:pt idx="396">
                  <c:v>30535</c:v>
                </c:pt>
                <c:pt idx="397">
                  <c:v>1070236</c:v>
                </c:pt>
                <c:pt idx="398">
                  <c:v>58794</c:v>
                </c:pt>
                <c:pt idx="399">
                  <c:v>29972</c:v>
                </c:pt>
                <c:pt idx="400">
                  <c:v>77263</c:v>
                </c:pt>
                <c:pt idx="401">
                  <c:v>46852</c:v>
                </c:pt>
                <c:pt idx="402">
                  <c:v>71713</c:v>
                </c:pt>
                <c:pt idx="403">
                  <c:v>36838</c:v>
                </c:pt>
                <c:pt idx="404">
                  <c:v>29773</c:v>
                </c:pt>
                <c:pt idx="405">
                  <c:v>78744</c:v>
                </c:pt>
                <c:pt idx="406">
                  <c:v>184408</c:v>
                </c:pt>
                <c:pt idx="407">
                  <c:v>254017</c:v>
                </c:pt>
                <c:pt idx="408">
                  <c:v>349433</c:v>
                </c:pt>
                <c:pt idx="409">
                  <c:v>329166</c:v>
                </c:pt>
                <c:pt idx="410">
                  <c:v>1973479</c:v>
                </c:pt>
                <c:pt idx="411">
                  <c:v>368670</c:v>
                </c:pt>
                <c:pt idx="412">
                  <c:v>203875</c:v>
                </c:pt>
                <c:pt idx="413">
                  <c:v>383177</c:v>
                </c:pt>
                <c:pt idx="414">
                  <c:v>1152787</c:v>
                </c:pt>
                <c:pt idx="415">
                  <c:v>266800</c:v>
                </c:pt>
                <c:pt idx="416">
                  <c:v>6588761</c:v>
                </c:pt>
                <c:pt idx="417">
                  <c:v>5418124</c:v>
                </c:pt>
                <c:pt idx="418">
                  <c:v>155185</c:v>
                </c:pt>
                <c:pt idx="419">
                  <c:v>244302</c:v>
                </c:pt>
                <c:pt idx="420">
                  <c:v>54879</c:v>
                </c:pt>
                <c:pt idx="421">
                  <c:v>170196</c:v>
                </c:pt>
                <c:pt idx="422">
                  <c:v>104843</c:v>
                </c:pt>
                <c:pt idx="423">
                  <c:v>188533</c:v>
                </c:pt>
                <c:pt idx="424">
                  <c:v>34424</c:v>
                </c:pt>
                <c:pt idx="425">
                  <c:v>163308</c:v>
                </c:pt>
                <c:pt idx="426">
                  <c:v>453068</c:v>
                </c:pt>
                <c:pt idx="427">
                  <c:v>296510</c:v>
                </c:pt>
                <c:pt idx="428">
                  <c:v>363387</c:v>
                </c:pt>
                <c:pt idx="429">
                  <c:v>374367</c:v>
                </c:pt>
                <c:pt idx="430">
                  <c:v>508401</c:v>
                </c:pt>
                <c:pt idx="431">
                  <c:v>131876</c:v>
                </c:pt>
                <c:pt idx="432">
                  <c:v>298719</c:v>
                </c:pt>
                <c:pt idx="433">
                  <c:v>132500</c:v>
                </c:pt>
                <c:pt idx="434">
                  <c:v>769563</c:v>
                </c:pt>
                <c:pt idx="435">
                  <c:v>17794</c:v>
                </c:pt>
                <c:pt idx="436">
                  <c:v>75135</c:v>
                </c:pt>
                <c:pt idx="437">
                  <c:v>51520</c:v>
                </c:pt>
                <c:pt idx="438">
                  <c:v>38022</c:v>
                </c:pt>
                <c:pt idx="439">
                  <c:v>63167</c:v>
                </c:pt>
                <c:pt idx="440">
                  <c:v>142156</c:v>
                </c:pt>
                <c:pt idx="441">
                  <c:v>100181</c:v>
                </c:pt>
                <c:pt idx="442">
                  <c:v>382989</c:v>
                </c:pt>
                <c:pt idx="443">
                  <c:v>30021</c:v>
                </c:pt>
                <c:pt idx="444">
                  <c:v>284397</c:v>
                </c:pt>
                <c:pt idx="445">
                  <c:v>188977</c:v>
                </c:pt>
                <c:pt idx="446">
                  <c:v>1373924</c:v>
                </c:pt>
                <c:pt idx="447">
                  <c:v>4350230</c:v>
                </c:pt>
                <c:pt idx="448">
                  <c:v>154523</c:v>
                </c:pt>
                <c:pt idx="449">
                  <c:v>128860</c:v>
                </c:pt>
                <c:pt idx="450">
                  <c:v>57157</c:v>
                </c:pt>
                <c:pt idx="451">
                  <c:v>162080</c:v>
                </c:pt>
                <c:pt idx="452">
                  <c:v>63171</c:v>
                </c:pt>
                <c:pt idx="453">
                  <c:v>97832</c:v>
                </c:pt>
                <c:pt idx="454">
                  <c:v>57414</c:v>
                </c:pt>
                <c:pt idx="455">
                  <c:v>331196</c:v>
                </c:pt>
                <c:pt idx="456">
                  <c:v>31138</c:v>
                </c:pt>
                <c:pt idx="457">
                  <c:v>118292</c:v>
                </c:pt>
                <c:pt idx="458">
                  <c:v>407832</c:v>
                </c:pt>
                <c:pt idx="459">
                  <c:v>454697</c:v>
                </c:pt>
                <c:pt idx="460">
                  <c:v>310593</c:v>
                </c:pt>
                <c:pt idx="461">
                  <c:v>342882</c:v>
                </c:pt>
                <c:pt idx="462">
                  <c:v>267664</c:v>
                </c:pt>
                <c:pt idx="463">
                  <c:v>58796</c:v>
                </c:pt>
                <c:pt idx="464">
                  <c:v>133228</c:v>
                </c:pt>
                <c:pt idx="465">
                  <c:v>60805</c:v>
                </c:pt>
                <c:pt idx="466">
                  <c:v>256700</c:v>
                </c:pt>
                <c:pt idx="467">
                  <c:v>76042</c:v>
                </c:pt>
                <c:pt idx="468">
                  <c:v>119329</c:v>
                </c:pt>
                <c:pt idx="469">
                  <c:v>291656</c:v>
                </c:pt>
                <c:pt idx="470">
                  <c:v>691101</c:v>
                </c:pt>
                <c:pt idx="471">
                  <c:v>460955</c:v>
                </c:pt>
                <c:pt idx="472">
                  <c:v>1183206</c:v>
                </c:pt>
                <c:pt idx="473">
                  <c:v>345660</c:v>
                </c:pt>
                <c:pt idx="474">
                  <c:v>130266</c:v>
                </c:pt>
                <c:pt idx="475">
                  <c:v>332478</c:v>
                </c:pt>
                <c:pt idx="476">
                  <c:v>139580</c:v>
                </c:pt>
                <c:pt idx="477">
                  <c:v>1277442</c:v>
                </c:pt>
                <c:pt idx="478">
                  <c:v>717289</c:v>
                </c:pt>
                <c:pt idx="479">
                  <c:v>155339</c:v>
                </c:pt>
                <c:pt idx="480">
                  <c:v>387793</c:v>
                </c:pt>
                <c:pt idx="481">
                  <c:v>280398</c:v>
                </c:pt>
                <c:pt idx="482">
                  <c:v>793611</c:v>
                </c:pt>
                <c:pt idx="483">
                  <c:v>100690</c:v>
                </c:pt>
                <c:pt idx="484">
                  <c:v>4353764</c:v>
                </c:pt>
                <c:pt idx="485">
                  <c:v>6142305</c:v>
                </c:pt>
                <c:pt idx="486">
                  <c:v>8040169</c:v>
                </c:pt>
                <c:pt idx="487">
                  <c:v>344478</c:v>
                </c:pt>
                <c:pt idx="488">
                  <c:v>177664</c:v>
                </c:pt>
                <c:pt idx="489">
                  <c:v>285840</c:v>
                </c:pt>
                <c:pt idx="490">
                  <c:v>1444150</c:v>
                </c:pt>
                <c:pt idx="491">
                  <c:v>414919</c:v>
                </c:pt>
                <c:pt idx="492">
                  <c:v>253808</c:v>
                </c:pt>
                <c:pt idx="493">
                  <c:v>235091</c:v>
                </c:pt>
                <c:pt idx="494">
                  <c:v>2539290</c:v>
                </c:pt>
                <c:pt idx="495">
                  <c:v>5207644</c:v>
                </c:pt>
                <c:pt idx="496">
                  <c:v>182485</c:v>
                </c:pt>
                <c:pt idx="497">
                  <c:v>600802</c:v>
                </c:pt>
                <c:pt idx="498">
                  <c:v>966476</c:v>
                </c:pt>
                <c:pt idx="499">
                  <c:v>368161</c:v>
                </c:pt>
                <c:pt idx="500">
                  <c:v>258261</c:v>
                </c:pt>
                <c:pt idx="501">
                  <c:v>323377</c:v>
                </c:pt>
                <c:pt idx="502">
                  <c:v>29871</c:v>
                </c:pt>
                <c:pt idx="503">
                  <c:v>202006</c:v>
                </c:pt>
                <c:pt idx="504">
                  <c:v>111906</c:v>
                </c:pt>
                <c:pt idx="505">
                  <c:v>202203</c:v>
                </c:pt>
                <c:pt idx="506">
                  <c:v>1427202</c:v>
                </c:pt>
                <c:pt idx="507">
                  <c:v>441172</c:v>
                </c:pt>
                <c:pt idx="508">
                  <c:v>155830</c:v>
                </c:pt>
                <c:pt idx="509">
                  <c:v>388652</c:v>
                </c:pt>
                <c:pt idx="510">
                  <c:v>99526</c:v>
                </c:pt>
                <c:pt idx="511">
                  <c:v>275265</c:v>
                </c:pt>
                <c:pt idx="512">
                  <c:v>367482</c:v>
                </c:pt>
                <c:pt idx="513">
                  <c:v>259449</c:v>
                </c:pt>
                <c:pt idx="514">
                  <c:v>184747</c:v>
                </c:pt>
                <c:pt idx="515">
                  <c:v>380294</c:v>
                </c:pt>
                <c:pt idx="516">
                  <c:v>588243</c:v>
                </c:pt>
                <c:pt idx="517">
                  <c:v>413356</c:v>
                </c:pt>
                <c:pt idx="518">
                  <c:v>118622</c:v>
                </c:pt>
                <c:pt idx="519">
                  <c:v>59597</c:v>
                </c:pt>
                <c:pt idx="520">
                  <c:v>67392</c:v>
                </c:pt>
                <c:pt idx="521">
                  <c:v>111165</c:v>
                </c:pt>
                <c:pt idx="522">
                  <c:v>216484</c:v>
                </c:pt>
                <c:pt idx="523">
                  <c:v>199866</c:v>
                </c:pt>
                <c:pt idx="524">
                  <c:v>437784</c:v>
                </c:pt>
                <c:pt idx="525">
                  <c:v>1218935</c:v>
                </c:pt>
                <c:pt idx="526">
                  <c:v>799145</c:v>
                </c:pt>
                <c:pt idx="527">
                  <c:v>2088060</c:v>
                </c:pt>
                <c:pt idx="528">
                  <c:v>135027</c:v>
                </c:pt>
                <c:pt idx="529">
                  <c:v>212663</c:v>
                </c:pt>
                <c:pt idx="530">
                  <c:v>659808</c:v>
                </c:pt>
                <c:pt idx="531">
                  <c:v>96702</c:v>
                </c:pt>
                <c:pt idx="532">
                  <c:v>367208</c:v>
                </c:pt>
                <c:pt idx="533">
                  <c:v>43581</c:v>
                </c:pt>
                <c:pt idx="534">
                  <c:v>75444</c:v>
                </c:pt>
                <c:pt idx="535">
                  <c:v>99215</c:v>
                </c:pt>
                <c:pt idx="536">
                  <c:v>2682397</c:v>
                </c:pt>
                <c:pt idx="537">
                  <c:v>12021</c:v>
                </c:pt>
                <c:pt idx="538">
                  <c:v>405362</c:v>
                </c:pt>
                <c:pt idx="539">
                  <c:v>460397</c:v>
                </c:pt>
                <c:pt idx="540">
                  <c:v>882262</c:v>
                </c:pt>
                <c:pt idx="541">
                  <c:v>1600972</c:v>
                </c:pt>
                <c:pt idx="542">
                  <c:v>253072</c:v>
                </c:pt>
                <c:pt idx="543">
                  <c:v>41117</c:v>
                </c:pt>
                <c:pt idx="544">
                  <c:v>291773</c:v>
                </c:pt>
                <c:pt idx="545">
                  <c:v>193836</c:v>
                </c:pt>
                <c:pt idx="546">
                  <c:v>52395</c:v>
                </c:pt>
                <c:pt idx="547">
                  <c:v>399988</c:v>
                </c:pt>
                <c:pt idx="548">
                  <c:v>9987</c:v>
                </c:pt>
                <c:pt idx="549">
                  <c:v>45118</c:v>
                </c:pt>
                <c:pt idx="550">
                  <c:v>276808</c:v>
                </c:pt>
                <c:pt idx="551">
                  <c:v>116798</c:v>
                </c:pt>
                <c:pt idx="552">
                  <c:v>133770</c:v>
                </c:pt>
                <c:pt idx="553">
                  <c:v>152445</c:v>
                </c:pt>
                <c:pt idx="554">
                  <c:v>342756</c:v>
                </c:pt>
                <c:pt idx="555">
                  <c:v>61172</c:v>
                </c:pt>
                <c:pt idx="556">
                  <c:v>167348</c:v>
                </c:pt>
                <c:pt idx="557">
                  <c:v>311225</c:v>
                </c:pt>
                <c:pt idx="558">
                  <c:v>374167</c:v>
                </c:pt>
                <c:pt idx="559">
                  <c:v>588639</c:v>
                </c:pt>
                <c:pt idx="560">
                  <c:v>393877</c:v>
                </c:pt>
                <c:pt idx="561">
                  <c:v>644324</c:v>
                </c:pt>
                <c:pt idx="562">
                  <c:v>766596</c:v>
                </c:pt>
                <c:pt idx="563">
                  <c:v>831906</c:v>
                </c:pt>
                <c:pt idx="564">
                  <c:v>1071060</c:v>
                </c:pt>
                <c:pt idx="565">
                  <c:v>1066242</c:v>
                </c:pt>
                <c:pt idx="566">
                  <c:v>839736</c:v>
                </c:pt>
                <c:pt idx="567">
                  <c:v>443172</c:v>
                </c:pt>
                <c:pt idx="568">
                  <c:v>355494</c:v>
                </c:pt>
                <c:pt idx="569">
                  <c:v>786270</c:v>
                </c:pt>
                <c:pt idx="570">
                  <c:v>136726</c:v>
                </c:pt>
                <c:pt idx="571">
                  <c:v>175564</c:v>
                </c:pt>
                <c:pt idx="572">
                  <c:v>309751</c:v>
                </c:pt>
                <c:pt idx="573">
                  <c:v>126075</c:v>
                </c:pt>
                <c:pt idx="574">
                  <c:v>173736</c:v>
                </c:pt>
                <c:pt idx="575">
                  <c:v>120561</c:v>
                </c:pt>
                <c:pt idx="576">
                  <c:v>328248</c:v>
                </c:pt>
                <c:pt idx="577">
                  <c:v>23434</c:v>
                </c:pt>
                <c:pt idx="578">
                  <c:v>60133</c:v>
                </c:pt>
                <c:pt idx="579">
                  <c:v>182541</c:v>
                </c:pt>
                <c:pt idx="580">
                  <c:v>128455</c:v>
                </c:pt>
                <c:pt idx="581">
                  <c:v>1554393</c:v>
                </c:pt>
                <c:pt idx="582">
                  <c:v>201560</c:v>
                </c:pt>
                <c:pt idx="583">
                  <c:v>89819</c:v>
                </c:pt>
                <c:pt idx="584">
                  <c:v>219163</c:v>
                </c:pt>
                <c:pt idx="585">
                  <c:v>1351921</c:v>
                </c:pt>
                <c:pt idx="586">
                  <c:v>114506</c:v>
                </c:pt>
                <c:pt idx="587">
                  <c:v>1386284</c:v>
                </c:pt>
                <c:pt idx="588">
                  <c:v>28237</c:v>
                </c:pt>
                <c:pt idx="589">
                  <c:v>307868</c:v>
                </c:pt>
                <c:pt idx="590">
                  <c:v>127078</c:v>
                </c:pt>
                <c:pt idx="591">
                  <c:v>161464</c:v>
                </c:pt>
                <c:pt idx="592">
                  <c:v>380352</c:v>
                </c:pt>
                <c:pt idx="593">
                  <c:v>783183</c:v>
                </c:pt>
                <c:pt idx="594">
                  <c:v>3822881</c:v>
                </c:pt>
                <c:pt idx="595">
                  <c:v>4146967</c:v>
                </c:pt>
                <c:pt idx="596">
                  <c:v>255511</c:v>
                </c:pt>
                <c:pt idx="597">
                  <c:v>132719</c:v>
                </c:pt>
                <c:pt idx="598">
                  <c:v>74322</c:v>
                </c:pt>
                <c:pt idx="599">
                  <c:v>111261</c:v>
                </c:pt>
                <c:pt idx="600">
                  <c:v>16193</c:v>
                </c:pt>
                <c:pt idx="601">
                  <c:v>137860</c:v>
                </c:pt>
                <c:pt idx="602">
                  <c:v>77436</c:v>
                </c:pt>
                <c:pt idx="603">
                  <c:v>555917</c:v>
                </c:pt>
                <c:pt idx="604">
                  <c:v>83262</c:v>
                </c:pt>
                <c:pt idx="605">
                  <c:v>1557660</c:v>
                </c:pt>
                <c:pt idx="606">
                  <c:v>232536</c:v>
                </c:pt>
                <c:pt idx="607">
                  <c:v>182074</c:v>
                </c:pt>
                <c:pt idx="608">
                  <c:v>387919</c:v>
                </c:pt>
                <c:pt idx="609">
                  <c:v>136425</c:v>
                </c:pt>
                <c:pt idx="610">
                  <c:v>4206334</c:v>
                </c:pt>
                <c:pt idx="611">
                  <c:v>611052</c:v>
                </c:pt>
                <c:pt idx="612">
                  <c:v>1389619</c:v>
                </c:pt>
                <c:pt idx="613">
                  <c:v>458573</c:v>
                </c:pt>
                <c:pt idx="614">
                  <c:v>139407</c:v>
                </c:pt>
                <c:pt idx="615">
                  <c:v>104986</c:v>
                </c:pt>
                <c:pt idx="616">
                  <c:v>108651</c:v>
                </c:pt>
                <c:pt idx="617">
                  <c:v>169256</c:v>
                </c:pt>
                <c:pt idx="618">
                  <c:v>92579</c:v>
                </c:pt>
                <c:pt idx="619">
                  <c:v>159177</c:v>
                </c:pt>
                <c:pt idx="620">
                  <c:v>390901</c:v>
                </c:pt>
                <c:pt idx="621">
                  <c:v>445455</c:v>
                </c:pt>
                <c:pt idx="622">
                  <c:v>93329</c:v>
                </c:pt>
                <c:pt idx="623">
                  <c:v>274926</c:v>
                </c:pt>
                <c:pt idx="624">
                  <c:v>484593</c:v>
                </c:pt>
                <c:pt idx="625">
                  <c:v>895526</c:v>
                </c:pt>
                <c:pt idx="626">
                  <c:v>2884062</c:v>
                </c:pt>
                <c:pt idx="627">
                  <c:v>1618479</c:v>
                </c:pt>
                <c:pt idx="628">
                  <c:v>1101824</c:v>
                </c:pt>
                <c:pt idx="629">
                  <c:v>554750</c:v>
                </c:pt>
                <c:pt idx="630">
                  <c:v>89020</c:v>
                </c:pt>
                <c:pt idx="631">
                  <c:v>598401</c:v>
                </c:pt>
                <c:pt idx="632">
                  <c:v>281233</c:v>
                </c:pt>
                <c:pt idx="633">
                  <c:v>452719</c:v>
                </c:pt>
                <c:pt idx="634">
                  <c:v>275171</c:v>
                </c:pt>
                <c:pt idx="635">
                  <c:v>161791</c:v>
                </c:pt>
                <c:pt idx="636">
                  <c:v>94793</c:v>
                </c:pt>
                <c:pt idx="637">
                  <c:v>267911</c:v>
                </c:pt>
                <c:pt idx="638">
                  <c:v>144542</c:v>
                </c:pt>
                <c:pt idx="639">
                  <c:v>1761959</c:v>
                </c:pt>
                <c:pt idx="640">
                  <c:v>56066</c:v>
                </c:pt>
                <c:pt idx="641">
                  <c:v>451866</c:v>
                </c:pt>
                <c:pt idx="642">
                  <c:v>7637895</c:v>
                </c:pt>
                <c:pt idx="643">
                  <c:v>467063</c:v>
                </c:pt>
                <c:pt idx="644">
                  <c:v>42083</c:v>
                </c:pt>
                <c:pt idx="645">
                  <c:v>246591</c:v>
                </c:pt>
                <c:pt idx="646">
                  <c:v>386294</c:v>
                </c:pt>
                <c:pt idx="647">
                  <c:v>18771</c:v>
                </c:pt>
                <c:pt idx="648">
                  <c:v>503335</c:v>
                </c:pt>
                <c:pt idx="649">
                  <c:v>92658</c:v>
                </c:pt>
                <c:pt idx="650">
                  <c:v>578228</c:v>
                </c:pt>
                <c:pt idx="651">
                  <c:v>308777</c:v>
                </c:pt>
                <c:pt idx="652">
                  <c:v>159600</c:v>
                </c:pt>
                <c:pt idx="653">
                  <c:v>164250</c:v>
                </c:pt>
                <c:pt idx="654">
                  <c:v>262262</c:v>
                </c:pt>
                <c:pt idx="655">
                  <c:v>80787</c:v>
                </c:pt>
                <c:pt idx="656">
                  <c:v>396255</c:v>
                </c:pt>
                <c:pt idx="657">
                  <c:v>1825690</c:v>
                </c:pt>
                <c:pt idx="658">
                  <c:v>246647</c:v>
                </c:pt>
                <c:pt idx="659">
                  <c:v>216409</c:v>
                </c:pt>
                <c:pt idx="660">
                  <c:v>355536</c:v>
                </c:pt>
                <c:pt idx="661">
                  <c:v>201247</c:v>
                </c:pt>
                <c:pt idx="662">
                  <c:v>287570</c:v>
                </c:pt>
                <c:pt idx="663">
                  <c:v>278735</c:v>
                </c:pt>
                <c:pt idx="664">
                  <c:v>42383</c:v>
                </c:pt>
                <c:pt idx="665">
                  <c:v>172363</c:v>
                </c:pt>
                <c:pt idx="666">
                  <c:v>909770</c:v>
                </c:pt>
                <c:pt idx="667">
                  <c:v>5840761</c:v>
                </c:pt>
                <c:pt idx="668">
                  <c:v>290410</c:v>
                </c:pt>
                <c:pt idx="669">
                  <c:v>53513</c:v>
                </c:pt>
                <c:pt idx="670">
                  <c:v>165842</c:v>
                </c:pt>
                <c:pt idx="671">
                  <c:v>36693</c:v>
                </c:pt>
                <c:pt idx="672">
                  <c:v>80914</c:v>
                </c:pt>
                <c:pt idx="673">
                  <c:v>91288</c:v>
                </c:pt>
                <c:pt idx="674">
                  <c:v>453918</c:v>
                </c:pt>
                <c:pt idx="675">
                  <c:v>94193</c:v>
                </c:pt>
                <c:pt idx="676">
                  <c:v>51020</c:v>
                </c:pt>
                <c:pt idx="677">
                  <c:v>245291</c:v>
                </c:pt>
                <c:pt idx="678">
                  <c:v>254266</c:v>
                </c:pt>
                <c:pt idx="679">
                  <c:v>150700</c:v>
                </c:pt>
                <c:pt idx="680">
                  <c:v>102705</c:v>
                </c:pt>
                <c:pt idx="681">
                  <c:v>515719</c:v>
                </c:pt>
                <c:pt idx="682">
                  <c:v>354402</c:v>
                </c:pt>
                <c:pt idx="683">
                  <c:v>1424863</c:v>
                </c:pt>
                <c:pt idx="684">
                  <c:v>211342</c:v>
                </c:pt>
                <c:pt idx="685">
                  <c:v>133727</c:v>
                </c:pt>
                <c:pt idx="686">
                  <c:v>559179</c:v>
                </c:pt>
                <c:pt idx="687">
                  <c:v>835848</c:v>
                </c:pt>
                <c:pt idx="688">
                  <c:v>4249491</c:v>
                </c:pt>
                <c:pt idx="689">
                  <c:v>1916559</c:v>
                </c:pt>
                <c:pt idx="690">
                  <c:v>1204403</c:v>
                </c:pt>
                <c:pt idx="691">
                  <c:v>908287</c:v>
                </c:pt>
                <c:pt idx="692">
                  <c:v>266980</c:v>
                </c:pt>
                <c:pt idx="693">
                  <c:v>1392631</c:v>
                </c:pt>
                <c:pt idx="694">
                  <c:v>691231</c:v>
                </c:pt>
                <c:pt idx="695">
                  <c:v>1277173</c:v>
                </c:pt>
                <c:pt idx="696">
                  <c:v>485583</c:v>
                </c:pt>
                <c:pt idx="697">
                  <c:v>605707</c:v>
                </c:pt>
                <c:pt idx="698">
                  <c:v>521895</c:v>
                </c:pt>
                <c:pt idx="699">
                  <c:v>363744</c:v>
                </c:pt>
                <c:pt idx="700">
                  <c:v>903390</c:v>
                </c:pt>
                <c:pt idx="701">
                  <c:v>253520</c:v>
                </c:pt>
                <c:pt idx="702">
                  <c:v>605039</c:v>
                </c:pt>
                <c:pt idx="703">
                  <c:v>1308272</c:v>
                </c:pt>
                <c:pt idx="704">
                  <c:v>1050666</c:v>
                </c:pt>
                <c:pt idx="705">
                  <c:v>3056879</c:v>
                </c:pt>
                <c:pt idx="706">
                  <c:v>1281218</c:v>
                </c:pt>
                <c:pt idx="707">
                  <c:v>3747035</c:v>
                </c:pt>
                <c:pt idx="708">
                  <c:v>3086446</c:v>
                </c:pt>
                <c:pt idx="709">
                  <c:v>5118896</c:v>
                </c:pt>
                <c:pt idx="710">
                  <c:v>1220516</c:v>
                </c:pt>
                <c:pt idx="711">
                  <c:v>1946620</c:v>
                </c:pt>
                <c:pt idx="712">
                  <c:v>6760848</c:v>
                </c:pt>
                <c:pt idx="713">
                  <c:v>2449235</c:v>
                </c:pt>
                <c:pt idx="714">
                  <c:v>3183752</c:v>
                </c:pt>
                <c:pt idx="715">
                  <c:v>548770</c:v>
                </c:pt>
                <c:pt idx="716">
                  <c:v>870029</c:v>
                </c:pt>
                <c:pt idx="717">
                  <c:v>1102559</c:v>
                </c:pt>
                <c:pt idx="718">
                  <c:v>893866</c:v>
                </c:pt>
                <c:pt idx="719">
                  <c:v>817620</c:v>
                </c:pt>
                <c:pt idx="720">
                  <c:v>1025583</c:v>
                </c:pt>
                <c:pt idx="721">
                  <c:v>644803</c:v>
                </c:pt>
                <c:pt idx="722">
                  <c:v>1236817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8F-4BD6-A328-2AF6745D6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536495"/>
        <c:axId val="337943967"/>
      </c:barChart>
      <c:lineChart>
        <c:grouping val="standard"/>
        <c:varyColors val="0"/>
        <c:ser>
          <c:idx val="3"/>
          <c:order val="3"/>
          <c:tx>
            <c:strRef>
              <c:f>'Price volume'!$E$2</c:f>
              <c:strCache>
                <c:ptCount val="1"/>
                <c:pt idx="0">
                  <c:v>Price (LKR) (LHS)</c:v>
                </c:pt>
              </c:strCache>
            </c:strRef>
          </c:tx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none"/>
          </c:marker>
          <c:cat>
            <c:numRef>
              <c:f>'Price volume'!$A$3:$A$725</c:f>
              <c:numCache>
                <c:formatCode>m/d/yyyy</c:formatCode>
                <c:ptCount val="723"/>
                <c:pt idx="0">
                  <c:v>45307</c:v>
                </c:pt>
                <c:pt idx="1">
                  <c:v>45302</c:v>
                </c:pt>
                <c:pt idx="2">
                  <c:v>45301</c:v>
                </c:pt>
                <c:pt idx="3">
                  <c:v>45300</c:v>
                </c:pt>
                <c:pt idx="4">
                  <c:v>45299</c:v>
                </c:pt>
                <c:pt idx="5">
                  <c:v>45296</c:v>
                </c:pt>
                <c:pt idx="6">
                  <c:v>45295</c:v>
                </c:pt>
                <c:pt idx="7">
                  <c:v>45294</c:v>
                </c:pt>
                <c:pt idx="8">
                  <c:v>45293</c:v>
                </c:pt>
                <c:pt idx="9">
                  <c:v>45289</c:v>
                </c:pt>
                <c:pt idx="10">
                  <c:v>45288</c:v>
                </c:pt>
                <c:pt idx="11">
                  <c:v>45287</c:v>
                </c:pt>
                <c:pt idx="12">
                  <c:v>45282</c:v>
                </c:pt>
                <c:pt idx="13">
                  <c:v>45281</c:v>
                </c:pt>
                <c:pt idx="14">
                  <c:v>45280</c:v>
                </c:pt>
                <c:pt idx="15">
                  <c:v>45279</c:v>
                </c:pt>
                <c:pt idx="16">
                  <c:v>45278</c:v>
                </c:pt>
                <c:pt idx="17">
                  <c:v>45275</c:v>
                </c:pt>
                <c:pt idx="18">
                  <c:v>45274</c:v>
                </c:pt>
                <c:pt idx="19">
                  <c:v>45274</c:v>
                </c:pt>
                <c:pt idx="20">
                  <c:v>45273</c:v>
                </c:pt>
                <c:pt idx="21">
                  <c:v>45272</c:v>
                </c:pt>
                <c:pt idx="22">
                  <c:v>45271</c:v>
                </c:pt>
                <c:pt idx="23">
                  <c:v>45268</c:v>
                </c:pt>
                <c:pt idx="24">
                  <c:v>45267</c:v>
                </c:pt>
                <c:pt idx="25">
                  <c:v>45266</c:v>
                </c:pt>
                <c:pt idx="26">
                  <c:v>45265</c:v>
                </c:pt>
                <c:pt idx="27">
                  <c:v>45264</c:v>
                </c:pt>
                <c:pt idx="28">
                  <c:v>45261</c:v>
                </c:pt>
                <c:pt idx="29">
                  <c:v>45260</c:v>
                </c:pt>
                <c:pt idx="30">
                  <c:v>45259</c:v>
                </c:pt>
                <c:pt idx="31">
                  <c:v>45258</c:v>
                </c:pt>
                <c:pt idx="32">
                  <c:v>45257</c:v>
                </c:pt>
                <c:pt idx="33">
                  <c:v>45254</c:v>
                </c:pt>
                <c:pt idx="34">
                  <c:v>45253</c:v>
                </c:pt>
                <c:pt idx="35">
                  <c:v>45252</c:v>
                </c:pt>
                <c:pt idx="36">
                  <c:v>45251</c:v>
                </c:pt>
                <c:pt idx="37">
                  <c:v>45250</c:v>
                </c:pt>
                <c:pt idx="38">
                  <c:v>45247</c:v>
                </c:pt>
                <c:pt idx="39">
                  <c:v>45246</c:v>
                </c:pt>
                <c:pt idx="40">
                  <c:v>45245</c:v>
                </c:pt>
                <c:pt idx="41">
                  <c:v>45244</c:v>
                </c:pt>
                <c:pt idx="42">
                  <c:v>45243</c:v>
                </c:pt>
                <c:pt idx="43">
                  <c:v>45240</c:v>
                </c:pt>
                <c:pt idx="44">
                  <c:v>45239</c:v>
                </c:pt>
                <c:pt idx="45">
                  <c:v>45238</c:v>
                </c:pt>
                <c:pt idx="46">
                  <c:v>45237</c:v>
                </c:pt>
                <c:pt idx="47">
                  <c:v>45236</c:v>
                </c:pt>
                <c:pt idx="48">
                  <c:v>45233</c:v>
                </c:pt>
                <c:pt idx="49">
                  <c:v>45232</c:v>
                </c:pt>
                <c:pt idx="50">
                  <c:v>45231</c:v>
                </c:pt>
                <c:pt idx="51">
                  <c:v>45230</c:v>
                </c:pt>
                <c:pt idx="52">
                  <c:v>45229</c:v>
                </c:pt>
                <c:pt idx="53">
                  <c:v>45226</c:v>
                </c:pt>
                <c:pt idx="54">
                  <c:v>45225</c:v>
                </c:pt>
                <c:pt idx="55">
                  <c:v>45224</c:v>
                </c:pt>
                <c:pt idx="56">
                  <c:v>45223</c:v>
                </c:pt>
                <c:pt idx="57">
                  <c:v>45222</c:v>
                </c:pt>
                <c:pt idx="58">
                  <c:v>45219</c:v>
                </c:pt>
                <c:pt idx="59">
                  <c:v>45218</c:v>
                </c:pt>
                <c:pt idx="60">
                  <c:v>45217</c:v>
                </c:pt>
                <c:pt idx="61">
                  <c:v>45216</c:v>
                </c:pt>
                <c:pt idx="62">
                  <c:v>45215</c:v>
                </c:pt>
                <c:pt idx="63">
                  <c:v>45212</c:v>
                </c:pt>
                <c:pt idx="64">
                  <c:v>45211</c:v>
                </c:pt>
                <c:pt idx="65">
                  <c:v>45210</c:v>
                </c:pt>
                <c:pt idx="66">
                  <c:v>45209</c:v>
                </c:pt>
                <c:pt idx="67">
                  <c:v>45208</c:v>
                </c:pt>
                <c:pt idx="68">
                  <c:v>45205</c:v>
                </c:pt>
                <c:pt idx="69">
                  <c:v>45204</c:v>
                </c:pt>
                <c:pt idx="70">
                  <c:v>45203</c:v>
                </c:pt>
                <c:pt idx="71">
                  <c:v>45202</c:v>
                </c:pt>
                <c:pt idx="72">
                  <c:v>45201</c:v>
                </c:pt>
                <c:pt idx="73">
                  <c:v>45196</c:v>
                </c:pt>
                <c:pt idx="74">
                  <c:v>45195</c:v>
                </c:pt>
                <c:pt idx="75">
                  <c:v>45194</c:v>
                </c:pt>
                <c:pt idx="76">
                  <c:v>45191</c:v>
                </c:pt>
                <c:pt idx="77">
                  <c:v>45190</c:v>
                </c:pt>
                <c:pt idx="78">
                  <c:v>45189</c:v>
                </c:pt>
                <c:pt idx="79">
                  <c:v>45188</c:v>
                </c:pt>
                <c:pt idx="80">
                  <c:v>45187</c:v>
                </c:pt>
                <c:pt idx="81">
                  <c:v>45184</c:v>
                </c:pt>
                <c:pt idx="82">
                  <c:v>45183</c:v>
                </c:pt>
                <c:pt idx="83">
                  <c:v>45182</c:v>
                </c:pt>
                <c:pt idx="84">
                  <c:v>45181</c:v>
                </c:pt>
                <c:pt idx="85">
                  <c:v>45180</c:v>
                </c:pt>
                <c:pt idx="86">
                  <c:v>45177</c:v>
                </c:pt>
                <c:pt idx="87">
                  <c:v>45176</c:v>
                </c:pt>
                <c:pt idx="88">
                  <c:v>45175</c:v>
                </c:pt>
                <c:pt idx="89">
                  <c:v>45174</c:v>
                </c:pt>
                <c:pt idx="90">
                  <c:v>45173</c:v>
                </c:pt>
                <c:pt idx="91">
                  <c:v>45170</c:v>
                </c:pt>
                <c:pt idx="92">
                  <c:v>45169</c:v>
                </c:pt>
                <c:pt idx="93">
                  <c:v>45167</c:v>
                </c:pt>
                <c:pt idx="94">
                  <c:v>45166</c:v>
                </c:pt>
                <c:pt idx="95">
                  <c:v>45163</c:v>
                </c:pt>
                <c:pt idx="96">
                  <c:v>45162</c:v>
                </c:pt>
                <c:pt idx="97">
                  <c:v>45161</c:v>
                </c:pt>
                <c:pt idx="98">
                  <c:v>45160</c:v>
                </c:pt>
                <c:pt idx="99">
                  <c:v>45159</c:v>
                </c:pt>
                <c:pt idx="100">
                  <c:v>45156</c:v>
                </c:pt>
                <c:pt idx="101">
                  <c:v>45155</c:v>
                </c:pt>
                <c:pt idx="102">
                  <c:v>45154</c:v>
                </c:pt>
                <c:pt idx="103">
                  <c:v>45153</c:v>
                </c:pt>
                <c:pt idx="104">
                  <c:v>45152</c:v>
                </c:pt>
                <c:pt idx="105">
                  <c:v>45149</c:v>
                </c:pt>
                <c:pt idx="106">
                  <c:v>45148</c:v>
                </c:pt>
                <c:pt idx="107">
                  <c:v>45147</c:v>
                </c:pt>
                <c:pt idx="108">
                  <c:v>45146</c:v>
                </c:pt>
                <c:pt idx="109">
                  <c:v>45145</c:v>
                </c:pt>
                <c:pt idx="110">
                  <c:v>45142</c:v>
                </c:pt>
                <c:pt idx="111">
                  <c:v>45141</c:v>
                </c:pt>
                <c:pt idx="112">
                  <c:v>45140</c:v>
                </c:pt>
                <c:pt idx="113">
                  <c:v>45138</c:v>
                </c:pt>
                <c:pt idx="114">
                  <c:v>45135</c:v>
                </c:pt>
                <c:pt idx="115">
                  <c:v>45134</c:v>
                </c:pt>
                <c:pt idx="116">
                  <c:v>45133</c:v>
                </c:pt>
                <c:pt idx="117">
                  <c:v>45132</c:v>
                </c:pt>
                <c:pt idx="118">
                  <c:v>45131</c:v>
                </c:pt>
                <c:pt idx="119">
                  <c:v>45128</c:v>
                </c:pt>
                <c:pt idx="120">
                  <c:v>45127</c:v>
                </c:pt>
                <c:pt idx="121">
                  <c:v>45126</c:v>
                </c:pt>
                <c:pt idx="122">
                  <c:v>45125</c:v>
                </c:pt>
                <c:pt idx="123">
                  <c:v>45124</c:v>
                </c:pt>
                <c:pt idx="124">
                  <c:v>45121</c:v>
                </c:pt>
                <c:pt idx="125">
                  <c:v>45120</c:v>
                </c:pt>
                <c:pt idx="126">
                  <c:v>45119</c:v>
                </c:pt>
                <c:pt idx="127">
                  <c:v>45118</c:v>
                </c:pt>
                <c:pt idx="128">
                  <c:v>45117</c:v>
                </c:pt>
                <c:pt idx="129">
                  <c:v>45114</c:v>
                </c:pt>
                <c:pt idx="130">
                  <c:v>45113</c:v>
                </c:pt>
                <c:pt idx="131">
                  <c:v>45112</c:v>
                </c:pt>
                <c:pt idx="132">
                  <c:v>45111</c:v>
                </c:pt>
                <c:pt idx="133">
                  <c:v>45105</c:v>
                </c:pt>
                <c:pt idx="134">
                  <c:v>45104</c:v>
                </c:pt>
                <c:pt idx="135">
                  <c:v>45103</c:v>
                </c:pt>
                <c:pt idx="136">
                  <c:v>45100</c:v>
                </c:pt>
                <c:pt idx="137">
                  <c:v>45099</c:v>
                </c:pt>
                <c:pt idx="138">
                  <c:v>45098</c:v>
                </c:pt>
                <c:pt idx="139">
                  <c:v>45097</c:v>
                </c:pt>
                <c:pt idx="140">
                  <c:v>45096</c:v>
                </c:pt>
                <c:pt idx="141">
                  <c:v>45093</c:v>
                </c:pt>
                <c:pt idx="142">
                  <c:v>45092</c:v>
                </c:pt>
                <c:pt idx="143">
                  <c:v>45091</c:v>
                </c:pt>
                <c:pt idx="144">
                  <c:v>45090</c:v>
                </c:pt>
                <c:pt idx="145">
                  <c:v>45089</c:v>
                </c:pt>
                <c:pt idx="146">
                  <c:v>45086</c:v>
                </c:pt>
                <c:pt idx="147">
                  <c:v>45085</c:v>
                </c:pt>
                <c:pt idx="148">
                  <c:v>45084</c:v>
                </c:pt>
                <c:pt idx="149">
                  <c:v>45083</c:v>
                </c:pt>
                <c:pt idx="150">
                  <c:v>45082</c:v>
                </c:pt>
                <c:pt idx="151">
                  <c:v>45079</c:v>
                </c:pt>
                <c:pt idx="152">
                  <c:v>45078</c:v>
                </c:pt>
                <c:pt idx="153">
                  <c:v>45077</c:v>
                </c:pt>
                <c:pt idx="154">
                  <c:v>45076</c:v>
                </c:pt>
                <c:pt idx="155">
                  <c:v>45075</c:v>
                </c:pt>
                <c:pt idx="156">
                  <c:v>45072</c:v>
                </c:pt>
                <c:pt idx="157">
                  <c:v>45071</c:v>
                </c:pt>
                <c:pt idx="158">
                  <c:v>45070</c:v>
                </c:pt>
                <c:pt idx="159">
                  <c:v>45069</c:v>
                </c:pt>
                <c:pt idx="160">
                  <c:v>45068</c:v>
                </c:pt>
                <c:pt idx="161">
                  <c:v>45065</c:v>
                </c:pt>
                <c:pt idx="162">
                  <c:v>45064</c:v>
                </c:pt>
                <c:pt idx="163">
                  <c:v>45063</c:v>
                </c:pt>
                <c:pt idx="164">
                  <c:v>45062</c:v>
                </c:pt>
                <c:pt idx="165">
                  <c:v>45061</c:v>
                </c:pt>
                <c:pt idx="166">
                  <c:v>45058</c:v>
                </c:pt>
                <c:pt idx="167">
                  <c:v>45057</c:v>
                </c:pt>
                <c:pt idx="168">
                  <c:v>45056</c:v>
                </c:pt>
                <c:pt idx="169">
                  <c:v>45055</c:v>
                </c:pt>
                <c:pt idx="170">
                  <c:v>45054</c:v>
                </c:pt>
                <c:pt idx="171">
                  <c:v>45050</c:v>
                </c:pt>
                <c:pt idx="172">
                  <c:v>45049</c:v>
                </c:pt>
                <c:pt idx="173">
                  <c:v>45048</c:v>
                </c:pt>
                <c:pt idx="174">
                  <c:v>45044</c:v>
                </c:pt>
                <c:pt idx="175">
                  <c:v>45043</c:v>
                </c:pt>
                <c:pt idx="176">
                  <c:v>45042</c:v>
                </c:pt>
                <c:pt idx="177">
                  <c:v>45041</c:v>
                </c:pt>
                <c:pt idx="178">
                  <c:v>45040</c:v>
                </c:pt>
                <c:pt idx="179">
                  <c:v>45037</c:v>
                </c:pt>
                <c:pt idx="180">
                  <c:v>45036</c:v>
                </c:pt>
                <c:pt idx="181">
                  <c:v>45035</c:v>
                </c:pt>
                <c:pt idx="182">
                  <c:v>45034</c:v>
                </c:pt>
                <c:pt idx="183">
                  <c:v>45033</c:v>
                </c:pt>
                <c:pt idx="184">
                  <c:v>45028</c:v>
                </c:pt>
                <c:pt idx="185">
                  <c:v>45027</c:v>
                </c:pt>
                <c:pt idx="186">
                  <c:v>45026</c:v>
                </c:pt>
                <c:pt idx="187">
                  <c:v>45022</c:v>
                </c:pt>
                <c:pt idx="188">
                  <c:v>45020</c:v>
                </c:pt>
                <c:pt idx="189">
                  <c:v>45019</c:v>
                </c:pt>
                <c:pt idx="190">
                  <c:v>45016</c:v>
                </c:pt>
                <c:pt idx="191">
                  <c:v>45015</c:v>
                </c:pt>
                <c:pt idx="192">
                  <c:v>45014</c:v>
                </c:pt>
                <c:pt idx="193">
                  <c:v>45013</c:v>
                </c:pt>
                <c:pt idx="194">
                  <c:v>45012</c:v>
                </c:pt>
                <c:pt idx="195">
                  <c:v>45009</c:v>
                </c:pt>
                <c:pt idx="196">
                  <c:v>45008</c:v>
                </c:pt>
                <c:pt idx="197">
                  <c:v>45007</c:v>
                </c:pt>
                <c:pt idx="198">
                  <c:v>45006</c:v>
                </c:pt>
                <c:pt idx="199">
                  <c:v>45005</c:v>
                </c:pt>
                <c:pt idx="200">
                  <c:v>45002</c:v>
                </c:pt>
                <c:pt idx="201">
                  <c:v>45001</c:v>
                </c:pt>
                <c:pt idx="202">
                  <c:v>45000</c:v>
                </c:pt>
                <c:pt idx="203">
                  <c:v>44999</c:v>
                </c:pt>
                <c:pt idx="204">
                  <c:v>44998</c:v>
                </c:pt>
                <c:pt idx="205">
                  <c:v>44995</c:v>
                </c:pt>
                <c:pt idx="206">
                  <c:v>44994</c:v>
                </c:pt>
                <c:pt idx="207">
                  <c:v>44993</c:v>
                </c:pt>
                <c:pt idx="208">
                  <c:v>44992</c:v>
                </c:pt>
                <c:pt idx="209">
                  <c:v>44988</c:v>
                </c:pt>
                <c:pt idx="210">
                  <c:v>44987</c:v>
                </c:pt>
                <c:pt idx="211">
                  <c:v>44986</c:v>
                </c:pt>
                <c:pt idx="212">
                  <c:v>44985</c:v>
                </c:pt>
                <c:pt idx="213">
                  <c:v>44984</c:v>
                </c:pt>
                <c:pt idx="214">
                  <c:v>44981</c:v>
                </c:pt>
                <c:pt idx="215">
                  <c:v>44980</c:v>
                </c:pt>
                <c:pt idx="216">
                  <c:v>44979</c:v>
                </c:pt>
                <c:pt idx="217">
                  <c:v>44978</c:v>
                </c:pt>
                <c:pt idx="218">
                  <c:v>44977</c:v>
                </c:pt>
                <c:pt idx="219">
                  <c:v>44974</c:v>
                </c:pt>
                <c:pt idx="220">
                  <c:v>44973</c:v>
                </c:pt>
                <c:pt idx="221">
                  <c:v>44972</c:v>
                </c:pt>
                <c:pt idx="222">
                  <c:v>44971</c:v>
                </c:pt>
                <c:pt idx="223">
                  <c:v>44970</c:v>
                </c:pt>
                <c:pt idx="224">
                  <c:v>44967</c:v>
                </c:pt>
                <c:pt idx="225">
                  <c:v>44966</c:v>
                </c:pt>
                <c:pt idx="226">
                  <c:v>44965</c:v>
                </c:pt>
                <c:pt idx="227">
                  <c:v>44964</c:v>
                </c:pt>
                <c:pt idx="228">
                  <c:v>44963</c:v>
                </c:pt>
                <c:pt idx="229">
                  <c:v>44960</c:v>
                </c:pt>
                <c:pt idx="230">
                  <c:v>44959</c:v>
                </c:pt>
                <c:pt idx="231">
                  <c:v>44958</c:v>
                </c:pt>
                <c:pt idx="232">
                  <c:v>44957</c:v>
                </c:pt>
                <c:pt idx="233">
                  <c:v>44956</c:v>
                </c:pt>
                <c:pt idx="234">
                  <c:v>44953</c:v>
                </c:pt>
                <c:pt idx="235">
                  <c:v>44952</c:v>
                </c:pt>
                <c:pt idx="236">
                  <c:v>44951</c:v>
                </c:pt>
                <c:pt idx="237">
                  <c:v>44950</c:v>
                </c:pt>
                <c:pt idx="238">
                  <c:v>44949</c:v>
                </c:pt>
                <c:pt idx="239">
                  <c:v>44946</c:v>
                </c:pt>
                <c:pt idx="240">
                  <c:v>44945</c:v>
                </c:pt>
                <c:pt idx="241">
                  <c:v>44944</c:v>
                </c:pt>
                <c:pt idx="242">
                  <c:v>44943</c:v>
                </c:pt>
                <c:pt idx="243">
                  <c:v>44939</c:v>
                </c:pt>
                <c:pt idx="244">
                  <c:v>44938</c:v>
                </c:pt>
                <c:pt idx="245">
                  <c:v>44937</c:v>
                </c:pt>
                <c:pt idx="246">
                  <c:v>44936</c:v>
                </c:pt>
                <c:pt idx="247">
                  <c:v>44935</c:v>
                </c:pt>
                <c:pt idx="248">
                  <c:v>44931</c:v>
                </c:pt>
                <c:pt idx="249">
                  <c:v>44930</c:v>
                </c:pt>
                <c:pt idx="250">
                  <c:v>44929</c:v>
                </c:pt>
                <c:pt idx="251">
                  <c:v>44928</c:v>
                </c:pt>
                <c:pt idx="252">
                  <c:v>44925</c:v>
                </c:pt>
                <c:pt idx="253">
                  <c:v>44924</c:v>
                </c:pt>
                <c:pt idx="254">
                  <c:v>44923</c:v>
                </c:pt>
                <c:pt idx="255">
                  <c:v>44922</c:v>
                </c:pt>
                <c:pt idx="256">
                  <c:v>44918</c:v>
                </c:pt>
                <c:pt idx="257">
                  <c:v>44917</c:v>
                </c:pt>
                <c:pt idx="258">
                  <c:v>44916</c:v>
                </c:pt>
                <c:pt idx="259">
                  <c:v>44915</c:v>
                </c:pt>
                <c:pt idx="260">
                  <c:v>44914</c:v>
                </c:pt>
                <c:pt idx="261">
                  <c:v>44911</c:v>
                </c:pt>
                <c:pt idx="262">
                  <c:v>44910</c:v>
                </c:pt>
                <c:pt idx="263">
                  <c:v>44909</c:v>
                </c:pt>
                <c:pt idx="264">
                  <c:v>44908</c:v>
                </c:pt>
                <c:pt idx="265">
                  <c:v>44907</c:v>
                </c:pt>
                <c:pt idx="266">
                  <c:v>44904</c:v>
                </c:pt>
                <c:pt idx="267">
                  <c:v>44903</c:v>
                </c:pt>
                <c:pt idx="268">
                  <c:v>44901</c:v>
                </c:pt>
                <c:pt idx="269">
                  <c:v>44900</c:v>
                </c:pt>
                <c:pt idx="270">
                  <c:v>44897</c:v>
                </c:pt>
                <c:pt idx="271">
                  <c:v>44896</c:v>
                </c:pt>
                <c:pt idx="272">
                  <c:v>44895</c:v>
                </c:pt>
                <c:pt idx="273">
                  <c:v>44894</c:v>
                </c:pt>
                <c:pt idx="274">
                  <c:v>44893</c:v>
                </c:pt>
                <c:pt idx="275">
                  <c:v>44890</c:v>
                </c:pt>
                <c:pt idx="276">
                  <c:v>44889</c:v>
                </c:pt>
                <c:pt idx="277">
                  <c:v>44888</c:v>
                </c:pt>
                <c:pt idx="278">
                  <c:v>44887</c:v>
                </c:pt>
                <c:pt idx="279">
                  <c:v>44886</c:v>
                </c:pt>
                <c:pt idx="280">
                  <c:v>44883</c:v>
                </c:pt>
                <c:pt idx="281">
                  <c:v>44882</c:v>
                </c:pt>
                <c:pt idx="282">
                  <c:v>44881</c:v>
                </c:pt>
                <c:pt idx="283">
                  <c:v>44880</c:v>
                </c:pt>
                <c:pt idx="284">
                  <c:v>44879</c:v>
                </c:pt>
                <c:pt idx="285">
                  <c:v>44876</c:v>
                </c:pt>
                <c:pt idx="286">
                  <c:v>44875</c:v>
                </c:pt>
                <c:pt idx="287">
                  <c:v>44874</c:v>
                </c:pt>
                <c:pt idx="288">
                  <c:v>44873</c:v>
                </c:pt>
                <c:pt idx="289">
                  <c:v>44869</c:v>
                </c:pt>
                <c:pt idx="290">
                  <c:v>44868</c:v>
                </c:pt>
                <c:pt idx="291">
                  <c:v>44867</c:v>
                </c:pt>
                <c:pt idx="292">
                  <c:v>44866</c:v>
                </c:pt>
                <c:pt idx="293">
                  <c:v>44865</c:v>
                </c:pt>
                <c:pt idx="294">
                  <c:v>44862</c:v>
                </c:pt>
                <c:pt idx="295">
                  <c:v>44861</c:v>
                </c:pt>
                <c:pt idx="296">
                  <c:v>44860</c:v>
                </c:pt>
                <c:pt idx="297">
                  <c:v>44859</c:v>
                </c:pt>
                <c:pt idx="298">
                  <c:v>44855</c:v>
                </c:pt>
                <c:pt idx="299">
                  <c:v>44854</c:v>
                </c:pt>
                <c:pt idx="300">
                  <c:v>44853</c:v>
                </c:pt>
                <c:pt idx="301">
                  <c:v>44852</c:v>
                </c:pt>
                <c:pt idx="302">
                  <c:v>44851</c:v>
                </c:pt>
                <c:pt idx="303">
                  <c:v>44848</c:v>
                </c:pt>
                <c:pt idx="304">
                  <c:v>44847</c:v>
                </c:pt>
                <c:pt idx="305">
                  <c:v>44846</c:v>
                </c:pt>
                <c:pt idx="306">
                  <c:v>44845</c:v>
                </c:pt>
                <c:pt idx="307">
                  <c:v>44841</c:v>
                </c:pt>
                <c:pt idx="308">
                  <c:v>44840</c:v>
                </c:pt>
                <c:pt idx="309">
                  <c:v>44839</c:v>
                </c:pt>
                <c:pt idx="310">
                  <c:v>44838</c:v>
                </c:pt>
                <c:pt idx="311">
                  <c:v>44837</c:v>
                </c:pt>
                <c:pt idx="312">
                  <c:v>44834</c:v>
                </c:pt>
                <c:pt idx="313">
                  <c:v>44833</c:v>
                </c:pt>
                <c:pt idx="314">
                  <c:v>44832</c:v>
                </c:pt>
                <c:pt idx="315">
                  <c:v>44831</c:v>
                </c:pt>
                <c:pt idx="316">
                  <c:v>44830</c:v>
                </c:pt>
                <c:pt idx="317">
                  <c:v>44827</c:v>
                </c:pt>
                <c:pt idx="318">
                  <c:v>44826</c:v>
                </c:pt>
                <c:pt idx="319">
                  <c:v>44825</c:v>
                </c:pt>
                <c:pt idx="320">
                  <c:v>44824</c:v>
                </c:pt>
                <c:pt idx="321">
                  <c:v>44823</c:v>
                </c:pt>
                <c:pt idx="322">
                  <c:v>44820</c:v>
                </c:pt>
                <c:pt idx="323">
                  <c:v>44819</c:v>
                </c:pt>
                <c:pt idx="324">
                  <c:v>44818</c:v>
                </c:pt>
                <c:pt idx="325">
                  <c:v>44817</c:v>
                </c:pt>
                <c:pt idx="326">
                  <c:v>44816</c:v>
                </c:pt>
                <c:pt idx="327">
                  <c:v>44813</c:v>
                </c:pt>
                <c:pt idx="328">
                  <c:v>44812</c:v>
                </c:pt>
                <c:pt idx="329">
                  <c:v>44811</c:v>
                </c:pt>
                <c:pt idx="330">
                  <c:v>44810</c:v>
                </c:pt>
                <c:pt idx="331">
                  <c:v>44809</c:v>
                </c:pt>
                <c:pt idx="332">
                  <c:v>44806</c:v>
                </c:pt>
                <c:pt idx="333">
                  <c:v>44805</c:v>
                </c:pt>
                <c:pt idx="334">
                  <c:v>44804</c:v>
                </c:pt>
                <c:pt idx="335">
                  <c:v>44803</c:v>
                </c:pt>
                <c:pt idx="336">
                  <c:v>44802</c:v>
                </c:pt>
                <c:pt idx="337">
                  <c:v>44799</c:v>
                </c:pt>
                <c:pt idx="338">
                  <c:v>44798</c:v>
                </c:pt>
                <c:pt idx="339">
                  <c:v>44797</c:v>
                </c:pt>
                <c:pt idx="340">
                  <c:v>44796</c:v>
                </c:pt>
                <c:pt idx="341">
                  <c:v>44795</c:v>
                </c:pt>
                <c:pt idx="342">
                  <c:v>44792</c:v>
                </c:pt>
                <c:pt idx="343">
                  <c:v>44791</c:v>
                </c:pt>
                <c:pt idx="344">
                  <c:v>44790</c:v>
                </c:pt>
                <c:pt idx="345">
                  <c:v>44789</c:v>
                </c:pt>
                <c:pt idx="346">
                  <c:v>44788</c:v>
                </c:pt>
                <c:pt idx="347">
                  <c:v>44785</c:v>
                </c:pt>
                <c:pt idx="348">
                  <c:v>44783</c:v>
                </c:pt>
                <c:pt idx="349">
                  <c:v>44782</c:v>
                </c:pt>
                <c:pt idx="350">
                  <c:v>44781</c:v>
                </c:pt>
                <c:pt idx="351">
                  <c:v>44778</c:v>
                </c:pt>
                <c:pt idx="352">
                  <c:v>44777</c:v>
                </c:pt>
                <c:pt idx="353">
                  <c:v>44776</c:v>
                </c:pt>
                <c:pt idx="354">
                  <c:v>44775</c:v>
                </c:pt>
                <c:pt idx="355">
                  <c:v>44774</c:v>
                </c:pt>
                <c:pt idx="356">
                  <c:v>44771</c:v>
                </c:pt>
                <c:pt idx="357">
                  <c:v>44770</c:v>
                </c:pt>
                <c:pt idx="358">
                  <c:v>44769</c:v>
                </c:pt>
                <c:pt idx="359">
                  <c:v>44768</c:v>
                </c:pt>
                <c:pt idx="360">
                  <c:v>44767</c:v>
                </c:pt>
                <c:pt idx="361">
                  <c:v>44764</c:v>
                </c:pt>
                <c:pt idx="362">
                  <c:v>44763</c:v>
                </c:pt>
                <c:pt idx="363">
                  <c:v>44762</c:v>
                </c:pt>
                <c:pt idx="364">
                  <c:v>44761</c:v>
                </c:pt>
                <c:pt idx="365">
                  <c:v>44760</c:v>
                </c:pt>
                <c:pt idx="366">
                  <c:v>44757</c:v>
                </c:pt>
                <c:pt idx="367">
                  <c:v>44756</c:v>
                </c:pt>
                <c:pt idx="368">
                  <c:v>44754</c:v>
                </c:pt>
                <c:pt idx="369">
                  <c:v>44753</c:v>
                </c:pt>
                <c:pt idx="370">
                  <c:v>44750</c:v>
                </c:pt>
                <c:pt idx="371">
                  <c:v>44749</c:v>
                </c:pt>
                <c:pt idx="372">
                  <c:v>44748</c:v>
                </c:pt>
                <c:pt idx="373">
                  <c:v>44747</c:v>
                </c:pt>
                <c:pt idx="374">
                  <c:v>44746</c:v>
                </c:pt>
                <c:pt idx="375">
                  <c:v>44743</c:v>
                </c:pt>
                <c:pt idx="376">
                  <c:v>44742</c:v>
                </c:pt>
                <c:pt idx="377">
                  <c:v>44741</c:v>
                </c:pt>
                <c:pt idx="378">
                  <c:v>44740</c:v>
                </c:pt>
                <c:pt idx="379">
                  <c:v>44739</c:v>
                </c:pt>
                <c:pt idx="380">
                  <c:v>44736</c:v>
                </c:pt>
                <c:pt idx="381">
                  <c:v>44735</c:v>
                </c:pt>
                <c:pt idx="382">
                  <c:v>44734</c:v>
                </c:pt>
                <c:pt idx="383">
                  <c:v>44733</c:v>
                </c:pt>
                <c:pt idx="384">
                  <c:v>44732</c:v>
                </c:pt>
                <c:pt idx="385">
                  <c:v>44729</c:v>
                </c:pt>
                <c:pt idx="386">
                  <c:v>44728</c:v>
                </c:pt>
                <c:pt idx="387">
                  <c:v>44727</c:v>
                </c:pt>
                <c:pt idx="388">
                  <c:v>44725</c:v>
                </c:pt>
                <c:pt idx="389">
                  <c:v>44722</c:v>
                </c:pt>
                <c:pt idx="390">
                  <c:v>44721</c:v>
                </c:pt>
                <c:pt idx="391">
                  <c:v>44720</c:v>
                </c:pt>
                <c:pt idx="392">
                  <c:v>44719</c:v>
                </c:pt>
                <c:pt idx="393">
                  <c:v>44718</c:v>
                </c:pt>
                <c:pt idx="394">
                  <c:v>44715</c:v>
                </c:pt>
                <c:pt idx="395">
                  <c:v>44714</c:v>
                </c:pt>
                <c:pt idx="396">
                  <c:v>44713</c:v>
                </c:pt>
                <c:pt idx="397">
                  <c:v>44712</c:v>
                </c:pt>
                <c:pt idx="398">
                  <c:v>44711</c:v>
                </c:pt>
                <c:pt idx="399">
                  <c:v>44708</c:v>
                </c:pt>
                <c:pt idx="400">
                  <c:v>44707</c:v>
                </c:pt>
                <c:pt idx="401">
                  <c:v>44706</c:v>
                </c:pt>
                <c:pt idx="402">
                  <c:v>44705</c:v>
                </c:pt>
                <c:pt idx="403">
                  <c:v>44704</c:v>
                </c:pt>
                <c:pt idx="404">
                  <c:v>44701</c:v>
                </c:pt>
                <c:pt idx="405">
                  <c:v>44700</c:v>
                </c:pt>
                <c:pt idx="406">
                  <c:v>44699</c:v>
                </c:pt>
                <c:pt idx="407">
                  <c:v>44698</c:v>
                </c:pt>
                <c:pt idx="408">
                  <c:v>44694</c:v>
                </c:pt>
                <c:pt idx="409">
                  <c:v>44693</c:v>
                </c:pt>
                <c:pt idx="410">
                  <c:v>44690</c:v>
                </c:pt>
                <c:pt idx="411">
                  <c:v>44687</c:v>
                </c:pt>
                <c:pt idx="412">
                  <c:v>44686</c:v>
                </c:pt>
                <c:pt idx="413">
                  <c:v>44685</c:v>
                </c:pt>
                <c:pt idx="414">
                  <c:v>44680</c:v>
                </c:pt>
                <c:pt idx="415">
                  <c:v>44679</c:v>
                </c:pt>
                <c:pt idx="416">
                  <c:v>44678</c:v>
                </c:pt>
                <c:pt idx="417">
                  <c:v>44677</c:v>
                </c:pt>
                <c:pt idx="418">
                  <c:v>44676</c:v>
                </c:pt>
                <c:pt idx="419">
                  <c:v>44659</c:v>
                </c:pt>
                <c:pt idx="420">
                  <c:v>44658</c:v>
                </c:pt>
                <c:pt idx="421">
                  <c:v>44657</c:v>
                </c:pt>
                <c:pt idx="422">
                  <c:v>44656</c:v>
                </c:pt>
                <c:pt idx="423">
                  <c:v>44655</c:v>
                </c:pt>
                <c:pt idx="424">
                  <c:v>44652</c:v>
                </c:pt>
                <c:pt idx="425">
                  <c:v>44651</c:v>
                </c:pt>
                <c:pt idx="426">
                  <c:v>44650</c:v>
                </c:pt>
                <c:pt idx="427">
                  <c:v>44649</c:v>
                </c:pt>
                <c:pt idx="428">
                  <c:v>44648</c:v>
                </c:pt>
                <c:pt idx="429">
                  <c:v>44645</c:v>
                </c:pt>
                <c:pt idx="430">
                  <c:v>44644</c:v>
                </c:pt>
                <c:pt idx="431">
                  <c:v>44643</c:v>
                </c:pt>
                <c:pt idx="432">
                  <c:v>44642</c:v>
                </c:pt>
                <c:pt idx="433">
                  <c:v>44641</c:v>
                </c:pt>
                <c:pt idx="434">
                  <c:v>44638</c:v>
                </c:pt>
                <c:pt idx="435">
                  <c:v>44636</c:v>
                </c:pt>
                <c:pt idx="436">
                  <c:v>44635</c:v>
                </c:pt>
                <c:pt idx="437">
                  <c:v>44634</c:v>
                </c:pt>
                <c:pt idx="438">
                  <c:v>44631</c:v>
                </c:pt>
                <c:pt idx="439">
                  <c:v>44630</c:v>
                </c:pt>
                <c:pt idx="440">
                  <c:v>44629</c:v>
                </c:pt>
                <c:pt idx="441">
                  <c:v>44628</c:v>
                </c:pt>
                <c:pt idx="442">
                  <c:v>44627</c:v>
                </c:pt>
                <c:pt idx="443">
                  <c:v>44624</c:v>
                </c:pt>
                <c:pt idx="444">
                  <c:v>44623</c:v>
                </c:pt>
                <c:pt idx="445">
                  <c:v>44622</c:v>
                </c:pt>
                <c:pt idx="446">
                  <c:v>44620</c:v>
                </c:pt>
                <c:pt idx="447">
                  <c:v>44617</c:v>
                </c:pt>
                <c:pt idx="448">
                  <c:v>44616</c:v>
                </c:pt>
                <c:pt idx="449">
                  <c:v>44615</c:v>
                </c:pt>
                <c:pt idx="450">
                  <c:v>44614</c:v>
                </c:pt>
                <c:pt idx="451">
                  <c:v>44613</c:v>
                </c:pt>
                <c:pt idx="452">
                  <c:v>44610</c:v>
                </c:pt>
                <c:pt idx="453">
                  <c:v>44609</c:v>
                </c:pt>
                <c:pt idx="454">
                  <c:v>44607</c:v>
                </c:pt>
                <c:pt idx="455">
                  <c:v>44606</c:v>
                </c:pt>
                <c:pt idx="456">
                  <c:v>44603</c:v>
                </c:pt>
                <c:pt idx="457">
                  <c:v>44602</c:v>
                </c:pt>
                <c:pt idx="458">
                  <c:v>44601</c:v>
                </c:pt>
                <c:pt idx="459">
                  <c:v>44600</c:v>
                </c:pt>
                <c:pt idx="460">
                  <c:v>44599</c:v>
                </c:pt>
                <c:pt idx="461">
                  <c:v>44595</c:v>
                </c:pt>
                <c:pt idx="462">
                  <c:v>44594</c:v>
                </c:pt>
                <c:pt idx="463">
                  <c:v>44593</c:v>
                </c:pt>
                <c:pt idx="464">
                  <c:v>44592</c:v>
                </c:pt>
                <c:pt idx="465">
                  <c:v>44589</c:v>
                </c:pt>
                <c:pt idx="466">
                  <c:v>44588</c:v>
                </c:pt>
                <c:pt idx="467">
                  <c:v>44587</c:v>
                </c:pt>
                <c:pt idx="468">
                  <c:v>44586</c:v>
                </c:pt>
                <c:pt idx="469">
                  <c:v>44585</c:v>
                </c:pt>
                <c:pt idx="470">
                  <c:v>44582</c:v>
                </c:pt>
                <c:pt idx="471">
                  <c:v>44581</c:v>
                </c:pt>
                <c:pt idx="472">
                  <c:v>44580</c:v>
                </c:pt>
                <c:pt idx="473">
                  <c:v>44579</c:v>
                </c:pt>
                <c:pt idx="474">
                  <c:v>44574</c:v>
                </c:pt>
                <c:pt idx="475">
                  <c:v>44573</c:v>
                </c:pt>
                <c:pt idx="476">
                  <c:v>44572</c:v>
                </c:pt>
                <c:pt idx="477">
                  <c:v>44571</c:v>
                </c:pt>
                <c:pt idx="478">
                  <c:v>44568</c:v>
                </c:pt>
                <c:pt idx="479">
                  <c:v>44567</c:v>
                </c:pt>
                <c:pt idx="480">
                  <c:v>44566</c:v>
                </c:pt>
                <c:pt idx="481">
                  <c:v>44565</c:v>
                </c:pt>
                <c:pt idx="482">
                  <c:v>44564</c:v>
                </c:pt>
                <c:pt idx="483">
                  <c:v>44561</c:v>
                </c:pt>
                <c:pt idx="484">
                  <c:v>44560</c:v>
                </c:pt>
                <c:pt idx="485">
                  <c:v>44559</c:v>
                </c:pt>
                <c:pt idx="486">
                  <c:v>44558</c:v>
                </c:pt>
                <c:pt idx="487">
                  <c:v>44557</c:v>
                </c:pt>
                <c:pt idx="488">
                  <c:v>44554</c:v>
                </c:pt>
                <c:pt idx="489">
                  <c:v>44553</c:v>
                </c:pt>
                <c:pt idx="490">
                  <c:v>44552</c:v>
                </c:pt>
                <c:pt idx="491">
                  <c:v>44551</c:v>
                </c:pt>
                <c:pt idx="492">
                  <c:v>44550</c:v>
                </c:pt>
                <c:pt idx="493">
                  <c:v>44547</c:v>
                </c:pt>
                <c:pt idx="494">
                  <c:v>44546</c:v>
                </c:pt>
                <c:pt idx="495">
                  <c:v>44545</c:v>
                </c:pt>
                <c:pt idx="496">
                  <c:v>44544</c:v>
                </c:pt>
                <c:pt idx="497">
                  <c:v>44543</c:v>
                </c:pt>
                <c:pt idx="498">
                  <c:v>44540</c:v>
                </c:pt>
                <c:pt idx="499">
                  <c:v>44539</c:v>
                </c:pt>
                <c:pt idx="500">
                  <c:v>44538</c:v>
                </c:pt>
                <c:pt idx="501">
                  <c:v>44537</c:v>
                </c:pt>
                <c:pt idx="502">
                  <c:v>44536</c:v>
                </c:pt>
                <c:pt idx="503">
                  <c:v>44533</c:v>
                </c:pt>
                <c:pt idx="504">
                  <c:v>44532</c:v>
                </c:pt>
                <c:pt idx="505">
                  <c:v>44531</c:v>
                </c:pt>
                <c:pt idx="506">
                  <c:v>44530</c:v>
                </c:pt>
                <c:pt idx="507">
                  <c:v>44529</c:v>
                </c:pt>
                <c:pt idx="508">
                  <c:v>44526</c:v>
                </c:pt>
                <c:pt idx="509">
                  <c:v>44525</c:v>
                </c:pt>
                <c:pt idx="510">
                  <c:v>44524</c:v>
                </c:pt>
                <c:pt idx="511">
                  <c:v>44523</c:v>
                </c:pt>
                <c:pt idx="512">
                  <c:v>44522</c:v>
                </c:pt>
                <c:pt idx="513">
                  <c:v>44519</c:v>
                </c:pt>
                <c:pt idx="514">
                  <c:v>44517</c:v>
                </c:pt>
                <c:pt idx="515">
                  <c:v>44516</c:v>
                </c:pt>
                <c:pt idx="516">
                  <c:v>44515</c:v>
                </c:pt>
                <c:pt idx="517">
                  <c:v>44512</c:v>
                </c:pt>
                <c:pt idx="518">
                  <c:v>44511</c:v>
                </c:pt>
                <c:pt idx="519">
                  <c:v>44510</c:v>
                </c:pt>
                <c:pt idx="520">
                  <c:v>44509</c:v>
                </c:pt>
                <c:pt idx="521">
                  <c:v>44508</c:v>
                </c:pt>
                <c:pt idx="522">
                  <c:v>44505</c:v>
                </c:pt>
                <c:pt idx="523">
                  <c:v>44503</c:v>
                </c:pt>
                <c:pt idx="524">
                  <c:v>44502</c:v>
                </c:pt>
                <c:pt idx="525">
                  <c:v>44501</c:v>
                </c:pt>
                <c:pt idx="526">
                  <c:v>44498</c:v>
                </c:pt>
                <c:pt idx="527">
                  <c:v>44497</c:v>
                </c:pt>
                <c:pt idx="528">
                  <c:v>44496</c:v>
                </c:pt>
                <c:pt idx="529">
                  <c:v>44495</c:v>
                </c:pt>
                <c:pt idx="530">
                  <c:v>44494</c:v>
                </c:pt>
                <c:pt idx="531">
                  <c:v>44491</c:v>
                </c:pt>
                <c:pt idx="532">
                  <c:v>44490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44477</c:v>
                </c:pt>
                <c:pt idx="540">
                  <c:v>44476</c:v>
                </c:pt>
                <c:pt idx="541">
                  <c:v>44475</c:v>
                </c:pt>
                <c:pt idx="542">
                  <c:v>44474</c:v>
                </c:pt>
                <c:pt idx="543">
                  <c:v>44473</c:v>
                </c:pt>
                <c:pt idx="544">
                  <c:v>44470</c:v>
                </c:pt>
                <c:pt idx="545">
                  <c:v>44469</c:v>
                </c:pt>
                <c:pt idx="546">
                  <c:v>44468</c:v>
                </c:pt>
                <c:pt idx="547">
                  <c:v>44467</c:v>
                </c:pt>
                <c:pt idx="548">
                  <c:v>44466</c:v>
                </c:pt>
                <c:pt idx="549">
                  <c:v>44463</c:v>
                </c:pt>
                <c:pt idx="550">
                  <c:v>44462</c:v>
                </c:pt>
                <c:pt idx="551">
                  <c:v>44461</c:v>
                </c:pt>
                <c:pt idx="552">
                  <c:v>44460</c:v>
                </c:pt>
                <c:pt idx="553">
                  <c:v>44456</c:v>
                </c:pt>
                <c:pt idx="554">
                  <c:v>44455</c:v>
                </c:pt>
                <c:pt idx="555">
                  <c:v>44454</c:v>
                </c:pt>
                <c:pt idx="556">
                  <c:v>44453</c:v>
                </c:pt>
                <c:pt idx="557">
                  <c:v>44452</c:v>
                </c:pt>
                <c:pt idx="558">
                  <c:v>44449</c:v>
                </c:pt>
                <c:pt idx="559">
                  <c:v>44448</c:v>
                </c:pt>
                <c:pt idx="560">
                  <c:v>44447</c:v>
                </c:pt>
                <c:pt idx="561">
                  <c:v>44446</c:v>
                </c:pt>
                <c:pt idx="562">
                  <c:v>44445</c:v>
                </c:pt>
                <c:pt idx="563">
                  <c:v>44442</c:v>
                </c:pt>
                <c:pt idx="564">
                  <c:v>44441</c:v>
                </c:pt>
                <c:pt idx="565">
                  <c:v>44440</c:v>
                </c:pt>
                <c:pt idx="566">
                  <c:v>44439</c:v>
                </c:pt>
                <c:pt idx="567">
                  <c:v>44438</c:v>
                </c:pt>
                <c:pt idx="568">
                  <c:v>44435</c:v>
                </c:pt>
                <c:pt idx="569">
                  <c:v>44434</c:v>
                </c:pt>
                <c:pt idx="570">
                  <c:v>44433</c:v>
                </c:pt>
                <c:pt idx="571">
                  <c:v>44432</c:v>
                </c:pt>
                <c:pt idx="572">
                  <c:v>44431</c:v>
                </c:pt>
                <c:pt idx="573">
                  <c:v>44428</c:v>
                </c:pt>
                <c:pt idx="574">
                  <c:v>44427</c:v>
                </c:pt>
                <c:pt idx="575">
                  <c:v>44426</c:v>
                </c:pt>
                <c:pt idx="576">
                  <c:v>44425</c:v>
                </c:pt>
                <c:pt idx="577">
                  <c:v>44424</c:v>
                </c:pt>
                <c:pt idx="578">
                  <c:v>44421</c:v>
                </c:pt>
                <c:pt idx="579">
                  <c:v>44420</c:v>
                </c:pt>
                <c:pt idx="580">
                  <c:v>44419</c:v>
                </c:pt>
                <c:pt idx="581">
                  <c:v>44418</c:v>
                </c:pt>
                <c:pt idx="582">
                  <c:v>44417</c:v>
                </c:pt>
                <c:pt idx="583">
                  <c:v>44414</c:v>
                </c:pt>
                <c:pt idx="584">
                  <c:v>44413</c:v>
                </c:pt>
                <c:pt idx="585">
                  <c:v>44412</c:v>
                </c:pt>
                <c:pt idx="586">
                  <c:v>44411</c:v>
                </c:pt>
                <c:pt idx="587">
                  <c:v>44410</c:v>
                </c:pt>
                <c:pt idx="588">
                  <c:v>44407</c:v>
                </c:pt>
                <c:pt idx="589">
                  <c:v>44406</c:v>
                </c:pt>
                <c:pt idx="590">
                  <c:v>44405</c:v>
                </c:pt>
                <c:pt idx="591">
                  <c:v>44404</c:v>
                </c:pt>
                <c:pt idx="592">
                  <c:v>44403</c:v>
                </c:pt>
                <c:pt idx="593">
                  <c:v>44399</c:v>
                </c:pt>
                <c:pt idx="594">
                  <c:v>44397</c:v>
                </c:pt>
                <c:pt idx="595">
                  <c:v>44396</c:v>
                </c:pt>
                <c:pt idx="596">
                  <c:v>44393</c:v>
                </c:pt>
                <c:pt idx="597">
                  <c:v>44392</c:v>
                </c:pt>
                <c:pt idx="598">
                  <c:v>44391</c:v>
                </c:pt>
                <c:pt idx="599">
                  <c:v>44390</c:v>
                </c:pt>
                <c:pt idx="600">
                  <c:v>44389</c:v>
                </c:pt>
                <c:pt idx="601">
                  <c:v>44386</c:v>
                </c:pt>
                <c:pt idx="602">
                  <c:v>44385</c:v>
                </c:pt>
                <c:pt idx="603">
                  <c:v>44384</c:v>
                </c:pt>
                <c:pt idx="604">
                  <c:v>44383</c:v>
                </c:pt>
                <c:pt idx="605">
                  <c:v>44382</c:v>
                </c:pt>
                <c:pt idx="606">
                  <c:v>44379</c:v>
                </c:pt>
                <c:pt idx="607">
                  <c:v>44378</c:v>
                </c:pt>
                <c:pt idx="608">
                  <c:v>44377</c:v>
                </c:pt>
                <c:pt idx="609">
                  <c:v>44376</c:v>
                </c:pt>
                <c:pt idx="610">
                  <c:v>44375</c:v>
                </c:pt>
                <c:pt idx="611">
                  <c:v>44372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44361</c:v>
                </c:pt>
                <c:pt idx="620">
                  <c:v>44358</c:v>
                </c:pt>
                <c:pt idx="621">
                  <c:v>44357</c:v>
                </c:pt>
                <c:pt idx="622">
                  <c:v>44356</c:v>
                </c:pt>
                <c:pt idx="623">
                  <c:v>44355</c:v>
                </c:pt>
                <c:pt idx="624">
                  <c:v>44354</c:v>
                </c:pt>
                <c:pt idx="625">
                  <c:v>44351</c:v>
                </c:pt>
                <c:pt idx="626">
                  <c:v>44350</c:v>
                </c:pt>
                <c:pt idx="627">
                  <c:v>44349</c:v>
                </c:pt>
                <c:pt idx="628">
                  <c:v>44348</c:v>
                </c:pt>
                <c:pt idx="629">
                  <c:v>44347</c:v>
                </c:pt>
                <c:pt idx="630">
                  <c:v>44344</c:v>
                </c:pt>
                <c:pt idx="631">
                  <c:v>44341</c:v>
                </c:pt>
                <c:pt idx="632">
                  <c:v>44340</c:v>
                </c:pt>
                <c:pt idx="633">
                  <c:v>44337</c:v>
                </c:pt>
                <c:pt idx="634">
                  <c:v>44336</c:v>
                </c:pt>
                <c:pt idx="635">
                  <c:v>44335</c:v>
                </c:pt>
                <c:pt idx="636">
                  <c:v>44334</c:v>
                </c:pt>
                <c:pt idx="637">
                  <c:v>44333</c:v>
                </c:pt>
                <c:pt idx="638">
                  <c:v>44329</c:v>
                </c:pt>
                <c:pt idx="639">
                  <c:v>44328</c:v>
                </c:pt>
                <c:pt idx="640">
                  <c:v>44327</c:v>
                </c:pt>
                <c:pt idx="641">
                  <c:v>44326</c:v>
                </c:pt>
                <c:pt idx="642">
                  <c:v>44323</c:v>
                </c:pt>
                <c:pt idx="643">
                  <c:v>44322</c:v>
                </c:pt>
                <c:pt idx="644">
                  <c:v>44321</c:v>
                </c:pt>
                <c:pt idx="645">
                  <c:v>44320</c:v>
                </c:pt>
                <c:pt idx="646">
                  <c:v>44319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44309</c:v>
                </c:pt>
                <c:pt idx="652">
                  <c:v>44308</c:v>
                </c:pt>
                <c:pt idx="653">
                  <c:v>44307</c:v>
                </c:pt>
                <c:pt idx="654">
                  <c:v>44306</c:v>
                </c:pt>
                <c:pt idx="655">
                  <c:v>44305</c:v>
                </c:pt>
                <c:pt idx="656">
                  <c:v>44302</c:v>
                </c:pt>
                <c:pt idx="657">
                  <c:v>44301</c:v>
                </c:pt>
                <c:pt idx="658">
                  <c:v>44298</c:v>
                </c:pt>
                <c:pt idx="659">
                  <c:v>44295</c:v>
                </c:pt>
                <c:pt idx="660">
                  <c:v>44294</c:v>
                </c:pt>
                <c:pt idx="661">
                  <c:v>44293</c:v>
                </c:pt>
                <c:pt idx="662">
                  <c:v>44292</c:v>
                </c:pt>
                <c:pt idx="663">
                  <c:v>44291</c:v>
                </c:pt>
                <c:pt idx="664">
                  <c:v>44287</c:v>
                </c:pt>
                <c:pt idx="665">
                  <c:v>44286</c:v>
                </c:pt>
                <c:pt idx="666">
                  <c:v>44285</c:v>
                </c:pt>
                <c:pt idx="667">
                  <c:v>44284</c:v>
                </c:pt>
                <c:pt idx="668">
                  <c:v>44281</c:v>
                </c:pt>
                <c:pt idx="669">
                  <c:v>44280</c:v>
                </c:pt>
                <c:pt idx="670">
                  <c:v>44279</c:v>
                </c:pt>
                <c:pt idx="671">
                  <c:v>44278</c:v>
                </c:pt>
                <c:pt idx="672">
                  <c:v>44277</c:v>
                </c:pt>
                <c:pt idx="673">
                  <c:v>44274</c:v>
                </c:pt>
                <c:pt idx="674">
                  <c:v>44273</c:v>
                </c:pt>
                <c:pt idx="675">
                  <c:v>44272</c:v>
                </c:pt>
                <c:pt idx="676">
                  <c:v>44271</c:v>
                </c:pt>
                <c:pt idx="677">
                  <c:v>44270</c:v>
                </c:pt>
                <c:pt idx="678">
                  <c:v>44267</c:v>
                </c:pt>
                <c:pt idx="679">
                  <c:v>44265</c:v>
                </c:pt>
                <c:pt idx="680">
                  <c:v>44264</c:v>
                </c:pt>
                <c:pt idx="681">
                  <c:v>44263</c:v>
                </c:pt>
                <c:pt idx="682">
                  <c:v>44260</c:v>
                </c:pt>
                <c:pt idx="683">
                  <c:v>44259</c:v>
                </c:pt>
                <c:pt idx="684">
                  <c:v>44258</c:v>
                </c:pt>
                <c:pt idx="685">
                  <c:v>44257</c:v>
                </c:pt>
                <c:pt idx="686">
                  <c:v>44256</c:v>
                </c:pt>
                <c:pt idx="687">
                  <c:v>44252</c:v>
                </c:pt>
                <c:pt idx="688">
                  <c:v>44251</c:v>
                </c:pt>
                <c:pt idx="689">
                  <c:v>44250</c:v>
                </c:pt>
                <c:pt idx="690">
                  <c:v>44249</c:v>
                </c:pt>
                <c:pt idx="691">
                  <c:v>44246</c:v>
                </c:pt>
                <c:pt idx="692">
                  <c:v>44245</c:v>
                </c:pt>
                <c:pt idx="693">
                  <c:v>44244</c:v>
                </c:pt>
                <c:pt idx="694">
                  <c:v>44243</c:v>
                </c:pt>
                <c:pt idx="695">
                  <c:v>44242</c:v>
                </c:pt>
                <c:pt idx="696">
                  <c:v>44239</c:v>
                </c:pt>
                <c:pt idx="697">
                  <c:v>44238</c:v>
                </c:pt>
                <c:pt idx="698">
                  <c:v>44237</c:v>
                </c:pt>
                <c:pt idx="699">
                  <c:v>44236</c:v>
                </c:pt>
                <c:pt idx="700">
                  <c:v>44235</c:v>
                </c:pt>
                <c:pt idx="701">
                  <c:v>44232</c:v>
                </c:pt>
                <c:pt idx="702">
                  <c:v>44230</c:v>
                </c:pt>
                <c:pt idx="703">
                  <c:v>44229</c:v>
                </c:pt>
                <c:pt idx="704">
                  <c:v>44228</c:v>
                </c:pt>
                <c:pt idx="705">
                  <c:v>44225</c:v>
                </c:pt>
                <c:pt idx="706">
                  <c:v>44223</c:v>
                </c:pt>
                <c:pt idx="707">
                  <c:v>44222</c:v>
                </c:pt>
                <c:pt idx="708">
                  <c:v>44221</c:v>
                </c:pt>
                <c:pt idx="709">
                  <c:v>44218</c:v>
                </c:pt>
                <c:pt idx="710">
                  <c:v>44217</c:v>
                </c:pt>
                <c:pt idx="711">
                  <c:v>44216</c:v>
                </c:pt>
                <c:pt idx="712">
                  <c:v>44215</c:v>
                </c:pt>
                <c:pt idx="713">
                  <c:v>44214</c:v>
                </c:pt>
                <c:pt idx="714">
                  <c:v>44211</c:v>
                </c:pt>
                <c:pt idx="715">
                  <c:v>44209</c:v>
                </c:pt>
                <c:pt idx="716">
                  <c:v>44208</c:v>
                </c:pt>
                <c:pt idx="717">
                  <c:v>44207</c:v>
                </c:pt>
                <c:pt idx="718">
                  <c:v>44204</c:v>
                </c:pt>
                <c:pt idx="719">
                  <c:v>44203</c:v>
                </c:pt>
                <c:pt idx="720">
                  <c:v>44202</c:v>
                </c:pt>
                <c:pt idx="721">
                  <c:v>44201</c:v>
                </c:pt>
                <c:pt idx="722">
                  <c:v>44200</c:v>
                </c:pt>
              </c:numCache>
            </c:numRef>
          </c:cat>
          <c:val>
            <c:numRef>
              <c:f>'Price volume'!$E$3:$E$725</c:f>
              <c:numCache>
                <c:formatCode>General</c:formatCode>
                <c:ptCount val="723"/>
                <c:pt idx="0">
                  <c:v>91</c:v>
                </c:pt>
                <c:pt idx="1">
                  <c:v>92.1</c:v>
                </c:pt>
                <c:pt idx="2">
                  <c:v>93.3</c:v>
                </c:pt>
                <c:pt idx="3">
                  <c:v>94.3</c:v>
                </c:pt>
                <c:pt idx="4">
                  <c:v>95</c:v>
                </c:pt>
                <c:pt idx="5">
                  <c:v>95.2</c:v>
                </c:pt>
                <c:pt idx="6">
                  <c:v>95.5</c:v>
                </c:pt>
                <c:pt idx="7">
                  <c:v>95.9</c:v>
                </c:pt>
                <c:pt idx="8">
                  <c:v>96.9</c:v>
                </c:pt>
                <c:pt idx="9">
                  <c:v>95.5</c:v>
                </c:pt>
                <c:pt idx="10">
                  <c:v>94.3</c:v>
                </c:pt>
                <c:pt idx="11">
                  <c:v>93.1</c:v>
                </c:pt>
                <c:pt idx="12">
                  <c:v>92.9</c:v>
                </c:pt>
                <c:pt idx="13">
                  <c:v>93.2</c:v>
                </c:pt>
                <c:pt idx="14">
                  <c:v>93.7</c:v>
                </c:pt>
                <c:pt idx="15">
                  <c:v>93.9</c:v>
                </c:pt>
                <c:pt idx="16">
                  <c:v>93.9</c:v>
                </c:pt>
                <c:pt idx="17">
                  <c:v>93.9</c:v>
                </c:pt>
                <c:pt idx="18">
                  <c:v>93.6</c:v>
                </c:pt>
                <c:pt idx="19">
                  <c:v>93.6</c:v>
                </c:pt>
                <c:pt idx="20">
                  <c:v>94.4</c:v>
                </c:pt>
                <c:pt idx="21">
                  <c:v>95</c:v>
                </c:pt>
                <c:pt idx="22">
                  <c:v>94.2</c:v>
                </c:pt>
                <c:pt idx="23">
                  <c:v>93.9</c:v>
                </c:pt>
                <c:pt idx="24">
                  <c:v>91.8</c:v>
                </c:pt>
                <c:pt idx="25">
                  <c:v>90</c:v>
                </c:pt>
                <c:pt idx="26">
                  <c:v>89.7</c:v>
                </c:pt>
                <c:pt idx="27">
                  <c:v>90.9</c:v>
                </c:pt>
                <c:pt idx="28">
                  <c:v>89.9</c:v>
                </c:pt>
                <c:pt idx="29">
                  <c:v>87.1</c:v>
                </c:pt>
                <c:pt idx="30">
                  <c:v>85.7</c:v>
                </c:pt>
                <c:pt idx="31">
                  <c:v>85.5</c:v>
                </c:pt>
                <c:pt idx="32">
                  <c:v>85.3</c:v>
                </c:pt>
                <c:pt idx="33">
                  <c:v>84.7</c:v>
                </c:pt>
                <c:pt idx="34">
                  <c:v>85</c:v>
                </c:pt>
                <c:pt idx="35">
                  <c:v>84.7</c:v>
                </c:pt>
                <c:pt idx="36">
                  <c:v>84</c:v>
                </c:pt>
                <c:pt idx="37">
                  <c:v>83</c:v>
                </c:pt>
                <c:pt idx="38">
                  <c:v>84.5</c:v>
                </c:pt>
                <c:pt idx="39">
                  <c:v>84.5</c:v>
                </c:pt>
                <c:pt idx="40">
                  <c:v>84.9</c:v>
                </c:pt>
                <c:pt idx="41">
                  <c:v>85.1</c:v>
                </c:pt>
                <c:pt idx="42">
                  <c:v>87</c:v>
                </c:pt>
                <c:pt idx="43">
                  <c:v>86</c:v>
                </c:pt>
                <c:pt idx="44">
                  <c:v>86.5</c:v>
                </c:pt>
                <c:pt idx="45">
                  <c:v>86.9</c:v>
                </c:pt>
                <c:pt idx="46">
                  <c:v>85</c:v>
                </c:pt>
                <c:pt idx="47">
                  <c:v>84</c:v>
                </c:pt>
                <c:pt idx="48">
                  <c:v>84.7</c:v>
                </c:pt>
                <c:pt idx="49">
                  <c:v>84.5</c:v>
                </c:pt>
                <c:pt idx="50">
                  <c:v>83.8</c:v>
                </c:pt>
                <c:pt idx="51">
                  <c:v>82.2</c:v>
                </c:pt>
                <c:pt idx="52">
                  <c:v>82.9</c:v>
                </c:pt>
                <c:pt idx="53">
                  <c:v>83.1</c:v>
                </c:pt>
                <c:pt idx="54">
                  <c:v>82.2</c:v>
                </c:pt>
                <c:pt idx="55">
                  <c:v>82.9</c:v>
                </c:pt>
                <c:pt idx="56">
                  <c:v>84.9</c:v>
                </c:pt>
                <c:pt idx="57">
                  <c:v>86.8</c:v>
                </c:pt>
                <c:pt idx="58">
                  <c:v>86.8</c:v>
                </c:pt>
                <c:pt idx="59">
                  <c:v>81.7</c:v>
                </c:pt>
                <c:pt idx="60">
                  <c:v>80.5</c:v>
                </c:pt>
                <c:pt idx="61">
                  <c:v>80.8</c:v>
                </c:pt>
                <c:pt idx="62">
                  <c:v>80.400000000000006</c:v>
                </c:pt>
                <c:pt idx="63">
                  <c:v>84</c:v>
                </c:pt>
                <c:pt idx="64">
                  <c:v>84.3</c:v>
                </c:pt>
                <c:pt idx="65">
                  <c:v>83.5</c:v>
                </c:pt>
                <c:pt idx="66">
                  <c:v>84.5</c:v>
                </c:pt>
                <c:pt idx="67">
                  <c:v>84.6</c:v>
                </c:pt>
                <c:pt idx="68">
                  <c:v>86.8</c:v>
                </c:pt>
                <c:pt idx="69">
                  <c:v>87.2</c:v>
                </c:pt>
                <c:pt idx="70">
                  <c:v>87.3</c:v>
                </c:pt>
                <c:pt idx="71">
                  <c:v>87.6</c:v>
                </c:pt>
                <c:pt idx="72">
                  <c:v>88</c:v>
                </c:pt>
                <c:pt idx="73">
                  <c:v>90.2</c:v>
                </c:pt>
                <c:pt idx="74">
                  <c:v>88.1</c:v>
                </c:pt>
                <c:pt idx="75">
                  <c:v>88.1</c:v>
                </c:pt>
                <c:pt idx="76">
                  <c:v>89.8</c:v>
                </c:pt>
                <c:pt idx="77">
                  <c:v>88</c:v>
                </c:pt>
                <c:pt idx="78">
                  <c:v>89</c:v>
                </c:pt>
                <c:pt idx="79">
                  <c:v>87.3</c:v>
                </c:pt>
                <c:pt idx="80">
                  <c:v>90</c:v>
                </c:pt>
                <c:pt idx="81">
                  <c:v>91.2</c:v>
                </c:pt>
                <c:pt idx="82">
                  <c:v>92</c:v>
                </c:pt>
                <c:pt idx="83">
                  <c:v>91.5</c:v>
                </c:pt>
                <c:pt idx="84">
                  <c:v>90.4</c:v>
                </c:pt>
                <c:pt idx="85">
                  <c:v>90.5</c:v>
                </c:pt>
                <c:pt idx="86">
                  <c:v>92.8</c:v>
                </c:pt>
                <c:pt idx="87">
                  <c:v>92.1</c:v>
                </c:pt>
                <c:pt idx="88">
                  <c:v>92.2</c:v>
                </c:pt>
                <c:pt idx="89">
                  <c:v>95</c:v>
                </c:pt>
                <c:pt idx="90">
                  <c:v>93.3</c:v>
                </c:pt>
                <c:pt idx="91">
                  <c:v>88.4</c:v>
                </c:pt>
                <c:pt idx="92">
                  <c:v>86.6</c:v>
                </c:pt>
                <c:pt idx="93">
                  <c:v>87</c:v>
                </c:pt>
                <c:pt idx="94">
                  <c:v>87</c:v>
                </c:pt>
                <c:pt idx="95">
                  <c:v>87</c:v>
                </c:pt>
                <c:pt idx="96">
                  <c:v>90.2</c:v>
                </c:pt>
                <c:pt idx="97">
                  <c:v>93.1</c:v>
                </c:pt>
                <c:pt idx="98">
                  <c:v>90</c:v>
                </c:pt>
                <c:pt idx="99">
                  <c:v>92.2</c:v>
                </c:pt>
                <c:pt idx="100">
                  <c:v>93.6</c:v>
                </c:pt>
                <c:pt idx="101">
                  <c:v>95.9</c:v>
                </c:pt>
                <c:pt idx="102">
                  <c:v>96.7</c:v>
                </c:pt>
                <c:pt idx="103">
                  <c:v>93</c:v>
                </c:pt>
                <c:pt idx="104">
                  <c:v>97.1</c:v>
                </c:pt>
                <c:pt idx="105">
                  <c:v>103</c:v>
                </c:pt>
                <c:pt idx="106">
                  <c:v>105</c:v>
                </c:pt>
                <c:pt idx="107">
                  <c:v>104</c:v>
                </c:pt>
                <c:pt idx="108">
                  <c:v>105</c:v>
                </c:pt>
                <c:pt idx="109">
                  <c:v>103.5</c:v>
                </c:pt>
                <c:pt idx="110">
                  <c:v>101.25</c:v>
                </c:pt>
                <c:pt idx="111">
                  <c:v>100</c:v>
                </c:pt>
                <c:pt idx="112">
                  <c:v>95.5</c:v>
                </c:pt>
                <c:pt idx="113">
                  <c:v>92.9</c:v>
                </c:pt>
                <c:pt idx="114">
                  <c:v>92.7</c:v>
                </c:pt>
                <c:pt idx="115">
                  <c:v>92.6</c:v>
                </c:pt>
                <c:pt idx="116">
                  <c:v>88.4</c:v>
                </c:pt>
                <c:pt idx="117">
                  <c:v>88.8</c:v>
                </c:pt>
                <c:pt idx="118">
                  <c:v>89.8</c:v>
                </c:pt>
                <c:pt idx="119">
                  <c:v>88.2</c:v>
                </c:pt>
                <c:pt idx="120">
                  <c:v>88</c:v>
                </c:pt>
                <c:pt idx="121">
                  <c:v>89.1</c:v>
                </c:pt>
                <c:pt idx="122">
                  <c:v>86.7</c:v>
                </c:pt>
                <c:pt idx="123">
                  <c:v>84.5</c:v>
                </c:pt>
                <c:pt idx="124">
                  <c:v>80.2</c:v>
                </c:pt>
                <c:pt idx="125">
                  <c:v>78.3</c:v>
                </c:pt>
                <c:pt idx="126">
                  <c:v>80.5</c:v>
                </c:pt>
                <c:pt idx="127">
                  <c:v>78</c:v>
                </c:pt>
                <c:pt idx="128">
                  <c:v>78.5</c:v>
                </c:pt>
                <c:pt idx="129">
                  <c:v>79.3</c:v>
                </c:pt>
                <c:pt idx="130">
                  <c:v>79.599999999999994</c:v>
                </c:pt>
                <c:pt idx="131">
                  <c:v>81.3</c:v>
                </c:pt>
                <c:pt idx="132">
                  <c:v>80.900000000000006</c:v>
                </c:pt>
                <c:pt idx="133">
                  <c:v>68.099999999999994</c:v>
                </c:pt>
                <c:pt idx="134">
                  <c:v>67.7</c:v>
                </c:pt>
                <c:pt idx="135">
                  <c:v>68.3</c:v>
                </c:pt>
                <c:pt idx="136">
                  <c:v>66.099999999999994</c:v>
                </c:pt>
                <c:pt idx="137">
                  <c:v>66.099999999999994</c:v>
                </c:pt>
                <c:pt idx="138">
                  <c:v>66.2</c:v>
                </c:pt>
                <c:pt idx="139">
                  <c:v>64</c:v>
                </c:pt>
                <c:pt idx="140">
                  <c:v>65</c:v>
                </c:pt>
                <c:pt idx="141">
                  <c:v>66</c:v>
                </c:pt>
                <c:pt idx="142">
                  <c:v>66.3</c:v>
                </c:pt>
                <c:pt idx="143">
                  <c:v>65</c:v>
                </c:pt>
                <c:pt idx="144">
                  <c:v>61.1</c:v>
                </c:pt>
                <c:pt idx="145">
                  <c:v>61.8</c:v>
                </c:pt>
                <c:pt idx="146">
                  <c:v>60</c:v>
                </c:pt>
                <c:pt idx="147">
                  <c:v>58.9</c:v>
                </c:pt>
                <c:pt idx="148">
                  <c:v>57.3</c:v>
                </c:pt>
                <c:pt idx="149">
                  <c:v>58</c:v>
                </c:pt>
                <c:pt idx="150">
                  <c:v>58.1</c:v>
                </c:pt>
                <c:pt idx="151">
                  <c:v>58.1</c:v>
                </c:pt>
                <c:pt idx="152">
                  <c:v>57.9</c:v>
                </c:pt>
                <c:pt idx="153">
                  <c:v>56.7</c:v>
                </c:pt>
                <c:pt idx="154">
                  <c:v>56.9</c:v>
                </c:pt>
                <c:pt idx="155">
                  <c:v>57</c:v>
                </c:pt>
                <c:pt idx="156">
                  <c:v>58.9</c:v>
                </c:pt>
                <c:pt idx="157">
                  <c:v>58.2</c:v>
                </c:pt>
                <c:pt idx="158">
                  <c:v>58.5</c:v>
                </c:pt>
                <c:pt idx="159">
                  <c:v>56.9</c:v>
                </c:pt>
                <c:pt idx="160">
                  <c:v>55</c:v>
                </c:pt>
                <c:pt idx="161">
                  <c:v>56.4</c:v>
                </c:pt>
                <c:pt idx="162">
                  <c:v>57.9</c:v>
                </c:pt>
                <c:pt idx="163">
                  <c:v>58</c:v>
                </c:pt>
                <c:pt idx="164">
                  <c:v>58</c:v>
                </c:pt>
                <c:pt idx="165">
                  <c:v>58.2</c:v>
                </c:pt>
                <c:pt idx="166">
                  <c:v>59.2</c:v>
                </c:pt>
                <c:pt idx="167">
                  <c:v>60.2</c:v>
                </c:pt>
                <c:pt idx="168">
                  <c:v>57</c:v>
                </c:pt>
                <c:pt idx="169">
                  <c:v>57.2</c:v>
                </c:pt>
                <c:pt idx="170">
                  <c:v>56.4</c:v>
                </c:pt>
                <c:pt idx="171">
                  <c:v>54.4</c:v>
                </c:pt>
                <c:pt idx="172">
                  <c:v>53</c:v>
                </c:pt>
                <c:pt idx="173">
                  <c:v>54.2</c:v>
                </c:pt>
                <c:pt idx="174">
                  <c:v>56.7</c:v>
                </c:pt>
                <c:pt idx="175">
                  <c:v>57.1</c:v>
                </c:pt>
                <c:pt idx="176">
                  <c:v>58</c:v>
                </c:pt>
                <c:pt idx="177">
                  <c:v>57.9</c:v>
                </c:pt>
                <c:pt idx="178">
                  <c:v>58.1</c:v>
                </c:pt>
                <c:pt idx="179">
                  <c:v>59.9</c:v>
                </c:pt>
                <c:pt idx="180">
                  <c:v>60.1</c:v>
                </c:pt>
                <c:pt idx="181">
                  <c:v>60.3</c:v>
                </c:pt>
                <c:pt idx="182">
                  <c:v>60.1</c:v>
                </c:pt>
                <c:pt idx="183">
                  <c:v>63</c:v>
                </c:pt>
                <c:pt idx="184">
                  <c:v>63</c:v>
                </c:pt>
                <c:pt idx="185">
                  <c:v>63</c:v>
                </c:pt>
                <c:pt idx="186">
                  <c:v>62.5</c:v>
                </c:pt>
                <c:pt idx="187">
                  <c:v>62.1</c:v>
                </c:pt>
                <c:pt idx="188">
                  <c:v>62</c:v>
                </c:pt>
                <c:pt idx="189">
                  <c:v>61.1</c:v>
                </c:pt>
                <c:pt idx="190">
                  <c:v>63.6</c:v>
                </c:pt>
                <c:pt idx="191">
                  <c:v>65.5</c:v>
                </c:pt>
                <c:pt idx="192">
                  <c:v>66.599999999999994</c:v>
                </c:pt>
                <c:pt idx="193">
                  <c:v>65.5</c:v>
                </c:pt>
                <c:pt idx="194">
                  <c:v>65.7</c:v>
                </c:pt>
                <c:pt idx="195">
                  <c:v>66</c:v>
                </c:pt>
                <c:pt idx="196">
                  <c:v>65</c:v>
                </c:pt>
                <c:pt idx="197">
                  <c:v>67.400000000000006</c:v>
                </c:pt>
                <c:pt idx="198">
                  <c:v>68.599999999999994</c:v>
                </c:pt>
                <c:pt idx="199">
                  <c:v>69</c:v>
                </c:pt>
                <c:pt idx="200">
                  <c:v>69.8</c:v>
                </c:pt>
                <c:pt idx="201">
                  <c:v>67.599999999999994</c:v>
                </c:pt>
                <c:pt idx="202">
                  <c:v>67.3</c:v>
                </c:pt>
                <c:pt idx="203">
                  <c:v>66.5</c:v>
                </c:pt>
                <c:pt idx="204">
                  <c:v>66.7</c:v>
                </c:pt>
                <c:pt idx="205">
                  <c:v>67</c:v>
                </c:pt>
                <c:pt idx="206">
                  <c:v>69.099999999999994</c:v>
                </c:pt>
                <c:pt idx="207">
                  <c:v>70.099999999999994</c:v>
                </c:pt>
                <c:pt idx="208">
                  <c:v>70.3</c:v>
                </c:pt>
                <c:pt idx="209">
                  <c:v>69</c:v>
                </c:pt>
                <c:pt idx="210">
                  <c:v>67</c:v>
                </c:pt>
                <c:pt idx="211">
                  <c:v>65</c:v>
                </c:pt>
                <c:pt idx="212">
                  <c:v>65</c:v>
                </c:pt>
                <c:pt idx="213">
                  <c:v>65</c:v>
                </c:pt>
                <c:pt idx="214">
                  <c:v>66.099999999999994</c:v>
                </c:pt>
                <c:pt idx="215">
                  <c:v>65</c:v>
                </c:pt>
                <c:pt idx="216">
                  <c:v>64.599999999999994</c:v>
                </c:pt>
                <c:pt idx="217">
                  <c:v>64.599999999999994</c:v>
                </c:pt>
                <c:pt idx="218">
                  <c:v>65.3</c:v>
                </c:pt>
                <c:pt idx="219">
                  <c:v>62.5</c:v>
                </c:pt>
                <c:pt idx="220">
                  <c:v>60.3</c:v>
                </c:pt>
                <c:pt idx="221">
                  <c:v>58.5</c:v>
                </c:pt>
                <c:pt idx="222">
                  <c:v>58.6</c:v>
                </c:pt>
                <c:pt idx="223">
                  <c:v>60.1</c:v>
                </c:pt>
                <c:pt idx="224">
                  <c:v>61.6</c:v>
                </c:pt>
                <c:pt idx="225">
                  <c:v>61.5</c:v>
                </c:pt>
                <c:pt idx="226">
                  <c:v>61.7</c:v>
                </c:pt>
                <c:pt idx="227">
                  <c:v>61.6</c:v>
                </c:pt>
                <c:pt idx="228">
                  <c:v>61.9</c:v>
                </c:pt>
                <c:pt idx="229">
                  <c:v>64.5</c:v>
                </c:pt>
                <c:pt idx="230">
                  <c:v>60.3</c:v>
                </c:pt>
                <c:pt idx="231">
                  <c:v>59.1</c:v>
                </c:pt>
                <c:pt idx="232">
                  <c:v>56.2</c:v>
                </c:pt>
                <c:pt idx="233">
                  <c:v>55.9</c:v>
                </c:pt>
                <c:pt idx="234">
                  <c:v>56.2</c:v>
                </c:pt>
                <c:pt idx="235">
                  <c:v>55.9</c:v>
                </c:pt>
                <c:pt idx="236">
                  <c:v>55.6</c:v>
                </c:pt>
                <c:pt idx="237">
                  <c:v>56</c:v>
                </c:pt>
                <c:pt idx="238">
                  <c:v>57</c:v>
                </c:pt>
                <c:pt idx="239">
                  <c:v>52.5</c:v>
                </c:pt>
                <c:pt idx="240">
                  <c:v>50.3</c:v>
                </c:pt>
                <c:pt idx="241">
                  <c:v>50.4</c:v>
                </c:pt>
                <c:pt idx="242">
                  <c:v>50.8</c:v>
                </c:pt>
                <c:pt idx="243">
                  <c:v>50.2</c:v>
                </c:pt>
                <c:pt idx="244">
                  <c:v>51.1</c:v>
                </c:pt>
                <c:pt idx="245">
                  <c:v>50.6</c:v>
                </c:pt>
                <c:pt idx="246">
                  <c:v>51</c:v>
                </c:pt>
                <c:pt idx="247">
                  <c:v>51.3</c:v>
                </c:pt>
                <c:pt idx="248">
                  <c:v>50.6</c:v>
                </c:pt>
                <c:pt idx="249">
                  <c:v>51.6</c:v>
                </c:pt>
                <c:pt idx="250">
                  <c:v>51.7</c:v>
                </c:pt>
                <c:pt idx="251">
                  <c:v>50.1</c:v>
                </c:pt>
                <c:pt idx="252">
                  <c:v>50.2</c:v>
                </c:pt>
                <c:pt idx="253">
                  <c:v>50.2</c:v>
                </c:pt>
                <c:pt idx="254">
                  <c:v>50.1</c:v>
                </c:pt>
                <c:pt idx="255">
                  <c:v>50</c:v>
                </c:pt>
                <c:pt idx="256">
                  <c:v>50.4</c:v>
                </c:pt>
                <c:pt idx="257">
                  <c:v>50.1</c:v>
                </c:pt>
                <c:pt idx="258">
                  <c:v>50</c:v>
                </c:pt>
                <c:pt idx="259">
                  <c:v>50.3</c:v>
                </c:pt>
                <c:pt idx="260">
                  <c:v>50.9</c:v>
                </c:pt>
                <c:pt idx="261">
                  <c:v>51.5</c:v>
                </c:pt>
                <c:pt idx="262">
                  <c:v>51.1</c:v>
                </c:pt>
                <c:pt idx="263">
                  <c:v>52.3</c:v>
                </c:pt>
                <c:pt idx="264">
                  <c:v>52</c:v>
                </c:pt>
                <c:pt idx="265">
                  <c:v>50.8</c:v>
                </c:pt>
                <c:pt idx="266">
                  <c:v>50.5</c:v>
                </c:pt>
                <c:pt idx="267">
                  <c:v>51.2</c:v>
                </c:pt>
                <c:pt idx="268">
                  <c:v>50.5</c:v>
                </c:pt>
                <c:pt idx="269">
                  <c:v>50.4</c:v>
                </c:pt>
                <c:pt idx="270">
                  <c:v>51</c:v>
                </c:pt>
                <c:pt idx="271">
                  <c:v>50.1</c:v>
                </c:pt>
                <c:pt idx="272">
                  <c:v>51.4</c:v>
                </c:pt>
                <c:pt idx="273">
                  <c:v>50.1</c:v>
                </c:pt>
                <c:pt idx="274">
                  <c:v>50.3</c:v>
                </c:pt>
                <c:pt idx="275">
                  <c:v>50.4</c:v>
                </c:pt>
                <c:pt idx="276">
                  <c:v>50.2</c:v>
                </c:pt>
                <c:pt idx="277">
                  <c:v>50.3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50.9</c:v>
                </c:pt>
                <c:pt idx="282">
                  <c:v>50</c:v>
                </c:pt>
                <c:pt idx="283">
                  <c:v>51</c:v>
                </c:pt>
                <c:pt idx="284">
                  <c:v>50.9</c:v>
                </c:pt>
                <c:pt idx="285">
                  <c:v>50.4</c:v>
                </c:pt>
                <c:pt idx="286">
                  <c:v>50</c:v>
                </c:pt>
                <c:pt idx="287">
                  <c:v>49.4</c:v>
                </c:pt>
                <c:pt idx="288">
                  <c:v>49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50.2</c:v>
                </c:pt>
                <c:pt idx="294">
                  <c:v>50.1</c:v>
                </c:pt>
                <c:pt idx="295">
                  <c:v>50.1</c:v>
                </c:pt>
                <c:pt idx="296">
                  <c:v>49.9</c:v>
                </c:pt>
                <c:pt idx="297">
                  <c:v>50</c:v>
                </c:pt>
                <c:pt idx="298">
                  <c:v>50.2</c:v>
                </c:pt>
                <c:pt idx="299">
                  <c:v>50</c:v>
                </c:pt>
                <c:pt idx="300">
                  <c:v>50.3</c:v>
                </c:pt>
                <c:pt idx="301">
                  <c:v>50</c:v>
                </c:pt>
                <c:pt idx="302">
                  <c:v>50.8</c:v>
                </c:pt>
                <c:pt idx="303">
                  <c:v>51</c:v>
                </c:pt>
                <c:pt idx="304">
                  <c:v>51</c:v>
                </c:pt>
                <c:pt idx="305">
                  <c:v>51</c:v>
                </c:pt>
                <c:pt idx="306">
                  <c:v>51.1</c:v>
                </c:pt>
                <c:pt idx="307">
                  <c:v>50.6</c:v>
                </c:pt>
                <c:pt idx="308">
                  <c:v>51</c:v>
                </c:pt>
                <c:pt idx="309">
                  <c:v>52.3</c:v>
                </c:pt>
                <c:pt idx="310">
                  <c:v>53.6</c:v>
                </c:pt>
                <c:pt idx="311">
                  <c:v>54.6</c:v>
                </c:pt>
                <c:pt idx="312">
                  <c:v>55</c:v>
                </c:pt>
                <c:pt idx="313">
                  <c:v>55</c:v>
                </c:pt>
                <c:pt idx="314">
                  <c:v>55</c:v>
                </c:pt>
                <c:pt idx="315">
                  <c:v>54.6</c:v>
                </c:pt>
                <c:pt idx="316">
                  <c:v>52.2</c:v>
                </c:pt>
                <c:pt idx="317">
                  <c:v>54</c:v>
                </c:pt>
                <c:pt idx="318">
                  <c:v>54.4</c:v>
                </c:pt>
                <c:pt idx="319">
                  <c:v>54.7</c:v>
                </c:pt>
                <c:pt idx="320">
                  <c:v>55.1</c:v>
                </c:pt>
                <c:pt idx="321">
                  <c:v>56</c:v>
                </c:pt>
                <c:pt idx="322">
                  <c:v>57.3</c:v>
                </c:pt>
                <c:pt idx="323">
                  <c:v>58.5</c:v>
                </c:pt>
                <c:pt idx="324">
                  <c:v>56</c:v>
                </c:pt>
                <c:pt idx="325">
                  <c:v>53.5</c:v>
                </c:pt>
                <c:pt idx="326">
                  <c:v>52.5</c:v>
                </c:pt>
                <c:pt idx="327">
                  <c:v>52</c:v>
                </c:pt>
                <c:pt idx="328">
                  <c:v>52.2</c:v>
                </c:pt>
                <c:pt idx="329">
                  <c:v>51.8</c:v>
                </c:pt>
                <c:pt idx="330">
                  <c:v>51.8</c:v>
                </c:pt>
                <c:pt idx="331">
                  <c:v>53.5</c:v>
                </c:pt>
                <c:pt idx="332">
                  <c:v>53.4</c:v>
                </c:pt>
                <c:pt idx="333">
                  <c:v>53.3</c:v>
                </c:pt>
                <c:pt idx="334">
                  <c:v>51.9</c:v>
                </c:pt>
                <c:pt idx="335">
                  <c:v>51.8</c:v>
                </c:pt>
                <c:pt idx="336">
                  <c:v>52</c:v>
                </c:pt>
                <c:pt idx="337">
                  <c:v>52.3</c:v>
                </c:pt>
                <c:pt idx="338">
                  <c:v>51.9</c:v>
                </c:pt>
                <c:pt idx="339">
                  <c:v>52.1</c:v>
                </c:pt>
                <c:pt idx="340">
                  <c:v>52.5</c:v>
                </c:pt>
                <c:pt idx="341">
                  <c:v>51.6</c:v>
                </c:pt>
                <c:pt idx="342">
                  <c:v>51.6</c:v>
                </c:pt>
                <c:pt idx="343">
                  <c:v>51.2</c:v>
                </c:pt>
                <c:pt idx="344">
                  <c:v>52.5</c:v>
                </c:pt>
                <c:pt idx="345">
                  <c:v>53.7</c:v>
                </c:pt>
                <c:pt idx="346">
                  <c:v>55.8</c:v>
                </c:pt>
                <c:pt idx="347">
                  <c:v>54.8</c:v>
                </c:pt>
                <c:pt idx="348">
                  <c:v>54.6</c:v>
                </c:pt>
                <c:pt idx="349">
                  <c:v>54</c:v>
                </c:pt>
                <c:pt idx="350">
                  <c:v>53</c:v>
                </c:pt>
                <c:pt idx="351">
                  <c:v>53</c:v>
                </c:pt>
                <c:pt idx="352">
                  <c:v>52.5</c:v>
                </c:pt>
                <c:pt idx="353">
                  <c:v>52.7</c:v>
                </c:pt>
                <c:pt idx="354">
                  <c:v>52.5</c:v>
                </c:pt>
                <c:pt idx="355">
                  <c:v>52.7</c:v>
                </c:pt>
                <c:pt idx="356">
                  <c:v>52.7</c:v>
                </c:pt>
                <c:pt idx="357">
                  <c:v>52.1</c:v>
                </c:pt>
                <c:pt idx="358">
                  <c:v>52</c:v>
                </c:pt>
                <c:pt idx="359">
                  <c:v>52.1</c:v>
                </c:pt>
                <c:pt idx="360">
                  <c:v>53</c:v>
                </c:pt>
                <c:pt idx="361">
                  <c:v>53.1</c:v>
                </c:pt>
                <c:pt idx="362">
                  <c:v>54</c:v>
                </c:pt>
                <c:pt idx="363">
                  <c:v>53.9</c:v>
                </c:pt>
                <c:pt idx="364">
                  <c:v>53.2</c:v>
                </c:pt>
                <c:pt idx="365">
                  <c:v>51.9</c:v>
                </c:pt>
                <c:pt idx="366">
                  <c:v>52</c:v>
                </c:pt>
                <c:pt idx="367">
                  <c:v>51.5</c:v>
                </c:pt>
                <c:pt idx="368">
                  <c:v>51.6</c:v>
                </c:pt>
                <c:pt idx="369">
                  <c:v>52</c:v>
                </c:pt>
                <c:pt idx="370">
                  <c:v>50.2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50.2</c:v>
                </c:pt>
                <c:pt idx="375">
                  <c:v>50.5</c:v>
                </c:pt>
                <c:pt idx="376">
                  <c:v>50.6</c:v>
                </c:pt>
                <c:pt idx="377">
                  <c:v>50.2</c:v>
                </c:pt>
                <c:pt idx="378">
                  <c:v>50.1</c:v>
                </c:pt>
                <c:pt idx="379">
                  <c:v>50</c:v>
                </c:pt>
                <c:pt idx="380">
                  <c:v>50.3</c:v>
                </c:pt>
                <c:pt idx="381">
                  <c:v>50.5</c:v>
                </c:pt>
                <c:pt idx="382">
                  <c:v>50.9</c:v>
                </c:pt>
                <c:pt idx="383">
                  <c:v>50.8</c:v>
                </c:pt>
                <c:pt idx="384">
                  <c:v>50.3</c:v>
                </c:pt>
                <c:pt idx="385">
                  <c:v>50.3</c:v>
                </c:pt>
                <c:pt idx="386">
                  <c:v>50.8</c:v>
                </c:pt>
                <c:pt idx="387">
                  <c:v>51</c:v>
                </c:pt>
                <c:pt idx="388">
                  <c:v>51.5</c:v>
                </c:pt>
                <c:pt idx="389">
                  <c:v>51.5</c:v>
                </c:pt>
                <c:pt idx="390">
                  <c:v>52.1</c:v>
                </c:pt>
                <c:pt idx="391">
                  <c:v>52.2</c:v>
                </c:pt>
                <c:pt idx="392">
                  <c:v>52</c:v>
                </c:pt>
                <c:pt idx="393">
                  <c:v>52.5</c:v>
                </c:pt>
                <c:pt idx="394">
                  <c:v>52.7</c:v>
                </c:pt>
                <c:pt idx="395">
                  <c:v>53</c:v>
                </c:pt>
                <c:pt idx="396">
                  <c:v>53.2</c:v>
                </c:pt>
                <c:pt idx="397">
                  <c:v>53.9</c:v>
                </c:pt>
                <c:pt idx="398">
                  <c:v>52.5</c:v>
                </c:pt>
                <c:pt idx="399">
                  <c:v>52.8</c:v>
                </c:pt>
                <c:pt idx="400">
                  <c:v>53</c:v>
                </c:pt>
                <c:pt idx="401">
                  <c:v>53.1</c:v>
                </c:pt>
                <c:pt idx="402">
                  <c:v>53.3</c:v>
                </c:pt>
                <c:pt idx="403">
                  <c:v>53.3</c:v>
                </c:pt>
                <c:pt idx="404">
                  <c:v>53.5</c:v>
                </c:pt>
                <c:pt idx="405">
                  <c:v>53.3</c:v>
                </c:pt>
                <c:pt idx="406">
                  <c:v>54.5</c:v>
                </c:pt>
                <c:pt idx="407">
                  <c:v>54.9</c:v>
                </c:pt>
                <c:pt idx="408">
                  <c:v>54</c:v>
                </c:pt>
                <c:pt idx="409">
                  <c:v>51.8</c:v>
                </c:pt>
                <c:pt idx="410">
                  <c:v>50</c:v>
                </c:pt>
                <c:pt idx="411">
                  <c:v>51.5</c:v>
                </c:pt>
                <c:pt idx="412">
                  <c:v>51.9</c:v>
                </c:pt>
                <c:pt idx="413">
                  <c:v>51.6</c:v>
                </c:pt>
                <c:pt idx="414">
                  <c:v>51.5</c:v>
                </c:pt>
                <c:pt idx="415">
                  <c:v>52</c:v>
                </c:pt>
                <c:pt idx="416">
                  <c:v>50.4</c:v>
                </c:pt>
                <c:pt idx="417">
                  <c:v>50</c:v>
                </c:pt>
                <c:pt idx="418">
                  <c:v>50.9</c:v>
                </c:pt>
                <c:pt idx="419">
                  <c:v>57.3</c:v>
                </c:pt>
                <c:pt idx="420">
                  <c:v>59.8</c:v>
                </c:pt>
                <c:pt idx="421">
                  <c:v>61.1</c:v>
                </c:pt>
                <c:pt idx="422">
                  <c:v>61</c:v>
                </c:pt>
                <c:pt idx="423">
                  <c:v>60</c:v>
                </c:pt>
                <c:pt idx="424">
                  <c:v>59.4</c:v>
                </c:pt>
                <c:pt idx="425">
                  <c:v>62.7</c:v>
                </c:pt>
                <c:pt idx="426">
                  <c:v>70</c:v>
                </c:pt>
                <c:pt idx="427">
                  <c:v>72.2</c:v>
                </c:pt>
                <c:pt idx="428">
                  <c:v>74.900000000000006</c:v>
                </c:pt>
                <c:pt idx="429">
                  <c:v>76.099999999999994</c:v>
                </c:pt>
                <c:pt idx="430">
                  <c:v>77</c:v>
                </c:pt>
                <c:pt idx="431">
                  <c:v>76.599999999999994</c:v>
                </c:pt>
                <c:pt idx="432">
                  <c:v>77</c:v>
                </c:pt>
                <c:pt idx="433">
                  <c:v>78.400000000000006</c:v>
                </c:pt>
                <c:pt idx="434">
                  <c:v>77.2</c:v>
                </c:pt>
                <c:pt idx="435">
                  <c:v>78.8</c:v>
                </c:pt>
                <c:pt idx="436">
                  <c:v>77.8</c:v>
                </c:pt>
                <c:pt idx="437">
                  <c:v>78.5</c:v>
                </c:pt>
                <c:pt idx="438">
                  <c:v>79</c:v>
                </c:pt>
                <c:pt idx="439">
                  <c:v>79.5</c:v>
                </c:pt>
                <c:pt idx="440">
                  <c:v>77.5</c:v>
                </c:pt>
                <c:pt idx="441">
                  <c:v>79.3</c:v>
                </c:pt>
                <c:pt idx="442">
                  <c:v>80.2</c:v>
                </c:pt>
                <c:pt idx="443">
                  <c:v>81.3</c:v>
                </c:pt>
                <c:pt idx="444">
                  <c:v>81.3</c:v>
                </c:pt>
                <c:pt idx="445">
                  <c:v>81.3</c:v>
                </c:pt>
                <c:pt idx="446">
                  <c:v>81.900000000000006</c:v>
                </c:pt>
                <c:pt idx="447">
                  <c:v>80.099999999999994</c:v>
                </c:pt>
                <c:pt idx="448">
                  <c:v>78.900000000000006</c:v>
                </c:pt>
                <c:pt idx="449">
                  <c:v>80</c:v>
                </c:pt>
                <c:pt idx="450">
                  <c:v>81</c:v>
                </c:pt>
                <c:pt idx="451">
                  <c:v>80.099999999999994</c:v>
                </c:pt>
                <c:pt idx="452">
                  <c:v>81.599999999999994</c:v>
                </c:pt>
                <c:pt idx="453">
                  <c:v>82.1</c:v>
                </c:pt>
                <c:pt idx="454">
                  <c:v>80.099999999999994</c:v>
                </c:pt>
                <c:pt idx="455">
                  <c:v>79</c:v>
                </c:pt>
                <c:pt idx="456">
                  <c:v>79.900000000000006</c:v>
                </c:pt>
                <c:pt idx="457">
                  <c:v>79.900000000000006</c:v>
                </c:pt>
                <c:pt idx="458">
                  <c:v>79.8</c:v>
                </c:pt>
                <c:pt idx="459">
                  <c:v>80.5</c:v>
                </c:pt>
                <c:pt idx="460">
                  <c:v>80.599999999999994</c:v>
                </c:pt>
                <c:pt idx="461">
                  <c:v>82</c:v>
                </c:pt>
                <c:pt idx="462">
                  <c:v>82</c:v>
                </c:pt>
                <c:pt idx="463">
                  <c:v>82.2</c:v>
                </c:pt>
                <c:pt idx="464">
                  <c:v>82.6</c:v>
                </c:pt>
                <c:pt idx="465">
                  <c:v>81.599999999999994</c:v>
                </c:pt>
                <c:pt idx="466">
                  <c:v>82.1</c:v>
                </c:pt>
                <c:pt idx="467">
                  <c:v>82.1</c:v>
                </c:pt>
                <c:pt idx="468">
                  <c:v>82.8</c:v>
                </c:pt>
                <c:pt idx="469">
                  <c:v>84.5</c:v>
                </c:pt>
                <c:pt idx="470">
                  <c:v>83.5</c:v>
                </c:pt>
                <c:pt idx="471">
                  <c:v>83.3</c:v>
                </c:pt>
                <c:pt idx="472">
                  <c:v>82.8</c:v>
                </c:pt>
                <c:pt idx="473">
                  <c:v>81.900000000000006</c:v>
                </c:pt>
                <c:pt idx="474">
                  <c:v>81.8</c:v>
                </c:pt>
                <c:pt idx="475">
                  <c:v>81</c:v>
                </c:pt>
                <c:pt idx="476">
                  <c:v>81.7</c:v>
                </c:pt>
                <c:pt idx="477">
                  <c:v>82.9</c:v>
                </c:pt>
                <c:pt idx="478">
                  <c:v>79.8</c:v>
                </c:pt>
                <c:pt idx="479">
                  <c:v>79.7</c:v>
                </c:pt>
                <c:pt idx="480">
                  <c:v>79.8</c:v>
                </c:pt>
                <c:pt idx="481">
                  <c:v>79.8</c:v>
                </c:pt>
                <c:pt idx="482">
                  <c:v>80.2</c:v>
                </c:pt>
                <c:pt idx="483">
                  <c:v>79.3</c:v>
                </c:pt>
                <c:pt idx="484">
                  <c:v>79.900000000000006</c:v>
                </c:pt>
                <c:pt idx="485">
                  <c:v>78.7</c:v>
                </c:pt>
                <c:pt idx="486">
                  <c:v>78.599999999999994</c:v>
                </c:pt>
                <c:pt idx="487">
                  <c:v>77.5</c:v>
                </c:pt>
                <c:pt idx="488">
                  <c:v>77.599999999999994</c:v>
                </c:pt>
                <c:pt idx="489">
                  <c:v>78</c:v>
                </c:pt>
                <c:pt idx="490">
                  <c:v>77.2</c:v>
                </c:pt>
                <c:pt idx="491">
                  <c:v>78</c:v>
                </c:pt>
                <c:pt idx="492">
                  <c:v>78.599999999999994</c:v>
                </c:pt>
                <c:pt idx="493">
                  <c:v>79.3</c:v>
                </c:pt>
                <c:pt idx="494">
                  <c:v>79.599999999999994</c:v>
                </c:pt>
                <c:pt idx="495">
                  <c:v>80</c:v>
                </c:pt>
                <c:pt idx="496">
                  <c:v>79.599999999999994</c:v>
                </c:pt>
                <c:pt idx="497">
                  <c:v>79.8</c:v>
                </c:pt>
                <c:pt idx="498">
                  <c:v>80</c:v>
                </c:pt>
                <c:pt idx="499">
                  <c:v>80</c:v>
                </c:pt>
                <c:pt idx="500">
                  <c:v>80.2</c:v>
                </c:pt>
                <c:pt idx="501">
                  <c:v>80.5</c:v>
                </c:pt>
                <c:pt idx="502">
                  <c:v>81.2</c:v>
                </c:pt>
                <c:pt idx="503">
                  <c:v>80.099999999999994</c:v>
                </c:pt>
                <c:pt idx="504">
                  <c:v>80.7</c:v>
                </c:pt>
                <c:pt idx="505">
                  <c:v>80.8</c:v>
                </c:pt>
                <c:pt idx="506">
                  <c:v>80.099999999999994</c:v>
                </c:pt>
                <c:pt idx="507">
                  <c:v>81.900000000000006</c:v>
                </c:pt>
                <c:pt idx="508">
                  <c:v>82.6</c:v>
                </c:pt>
                <c:pt idx="509">
                  <c:v>83.1</c:v>
                </c:pt>
                <c:pt idx="510">
                  <c:v>83.9</c:v>
                </c:pt>
                <c:pt idx="511">
                  <c:v>83.9</c:v>
                </c:pt>
                <c:pt idx="512">
                  <c:v>84.5</c:v>
                </c:pt>
                <c:pt idx="513">
                  <c:v>84.7</c:v>
                </c:pt>
                <c:pt idx="514">
                  <c:v>84</c:v>
                </c:pt>
                <c:pt idx="515">
                  <c:v>84.2</c:v>
                </c:pt>
                <c:pt idx="516">
                  <c:v>84</c:v>
                </c:pt>
                <c:pt idx="517">
                  <c:v>85.3</c:v>
                </c:pt>
                <c:pt idx="518">
                  <c:v>86.7</c:v>
                </c:pt>
                <c:pt idx="519">
                  <c:v>86.6</c:v>
                </c:pt>
                <c:pt idx="520">
                  <c:v>86.5</c:v>
                </c:pt>
                <c:pt idx="521">
                  <c:v>87.5</c:v>
                </c:pt>
                <c:pt idx="522">
                  <c:v>87.9</c:v>
                </c:pt>
                <c:pt idx="523">
                  <c:v>88.9</c:v>
                </c:pt>
                <c:pt idx="524">
                  <c:v>88.4</c:v>
                </c:pt>
                <c:pt idx="525">
                  <c:v>88.5</c:v>
                </c:pt>
                <c:pt idx="526">
                  <c:v>88.9</c:v>
                </c:pt>
                <c:pt idx="527">
                  <c:v>88.3</c:v>
                </c:pt>
                <c:pt idx="528">
                  <c:v>87.6</c:v>
                </c:pt>
                <c:pt idx="529">
                  <c:v>86.8</c:v>
                </c:pt>
                <c:pt idx="530">
                  <c:v>87.8</c:v>
                </c:pt>
                <c:pt idx="531">
                  <c:v>88.3</c:v>
                </c:pt>
                <c:pt idx="532">
                  <c:v>88</c:v>
                </c:pt>
                <c:pt idx="533">
                  <c:v>86.7</c:v>
                </c:pt>
                <c:pt idx="534">
                  <c:v>86</c:v>
                </c:pt>
                <c:pt idx="535">
                  <c:v>85.8</c:v>
                </c:pt>
                <c:pt idx="536">
                  <c:v>85.7</c:v>
                </c:pt>
                <c:pt idx="537">
                  <c:v>88.6</c:v>
                </c:pt>
                <c:pt idx="538">
                  <c:v>87</c:v>
                </c:pt>
                <c:pt idx="539">
                  <c:v>89.9</c:v>
                </c:pt>
                <c:pt idx="540">
                  <c:v>90.4</c:v>
                </c:pt>
                <c:pt idx="541">
                  <c:v>89.8</c:v>
                </c:pt>
                <c:pt idx="542">
                  <c:v>87</c:v>
                </c:pt>
                <c:pt idx="543">
                  <c:v>84.7</c:v>
                </c:pt>
                <c:pt idx="544">
                  <c:v>85</c:v>
                </c:pt>
                <c:pt idx="545">
                  <c:v>84.5</c:v>
                </c:pt>
                <c:pt idx="546">
                  <c:v>83.8</c:v>
                </c:pt>
                <c:pt idx="547">
                  <c:v>83</c:v>
                </c:pt>
                <c:pt idx="548">
                  <c:v>83.9</c:v>
                </c:pt>
                <c:pt idx="549">
                  <c:v>84</c:v>
                </c:pt>
                <c:pt idx="550">
                  <c:v>83.3</c:v>
                </c:pt>
                <c:pt idx="551">
                  <c:v>83</c:v>
                </c:pt>
                <c:pt idx="552">
                  <c:v>83.2</c:v>
                </c:pt>
                <c:pt idx="553">
                  <c:v>83.5</c:v>
                </c:pt>
                <c:pt idx="554">
                  <c:v>84</c:v>
                </c:pt>
                <c:pt idx="555">
                  <c:v>83.9</c:v>
                </c:pt>
                <c:pt idx="556">
                  <c:v>83</c:v>
                </c:pt>
                <c:pt idx="557">
                  <c:v>82.7</c:v>
                </c:pt>
                <c:pt idx="558">
                  <c:v>84.5</c:v>
                </c:pt>
                <c:pt idx="559">
                  <c:v>84.1</c:v>
                </c:pt>
                <c:pt idx="560">
                  <c:v>84.4</c:v>
                </c:pt>
                <c:pt idx="561">
                  <c:v>85</c:v>
                </c:pt>
                <c:pt idx="562">
                  <c:v>85.1</c:v>
                </c:pt>
                <c:pt idx="563">
                  <c:v>85.8</c:v>
                </c:pt>
                <c:pt idx="564">
                  <c:v>85.7</c:v>
                </c:pt>
                <c:pt idx="565">
                  <c:v>85.7</c:v>
                </c:pt>
                <c:pt idx="566">
                  <c:v>87</c:v>
                </c:pt>
                <c:pt idx="567">
                  <c:v>85.2</c:v>
                </c:pt>
                <c:pt idx="568">
                  <c:v>87.5</c:v>
                </c:pt>
                <c:pt idx="569">
                  <c:v>88.1</c:v>
                </c:pt>
                <c:pt idx="570">
                  <c:v>85.4</c:v>
                </c:pt>
                <c:pt idx="571">
                  <c:v>85.3</c:v>
                </c:pt>
                <c:pt idx="572">
                  <c:v>84.9</c:v>
                </c:pt>
                <c:pt idx="573">
                  <c:v>84.7</c:v>
                </c:pt>
                <c:pt idx="574">
                  <c:v>85.2</c:v>
                </c:pt>
                <c:pt idx="575">
                  <c:v>85.1</c:v>
                </c:pt>
                <c:pt idx="576">
                  <c:v>84.7</c:v>
                </c:pt>
                <c:pt idx="577">
                  <c:v>83.6</c:v>
                </c:pt>
                <c:pt idx="578">
                  <c:v>83.6</c:v>
                </c:pt>
                <c:pt idx="579">
                  <c:v>82.9</c:v>
                </c:pt>
                <c:pt idx="580">
                  <c:v>83.4</c:v>
                </c:pt>
                <c:pt idx="581">
                  <c:v>83</c:v>
                </c:pt>
                <c:pt idx="582">
                  <c:v>83</c:v>
                </c:pt>
                <c:pt idx="583">
                  <c:v>83.7</c:v>
                </c:pt>
                <c:pt idx="584">
                  <c:v>83.6</c:v>
                </c:pt>
                <c:pt idx="585">
                  <c:v>84.5</c:v>
                </c:pt>
                <c:pt idx="586">
                  <c:v>84.5</c:v>
                </c:pt>
                <c:pt idx="587">
                  <c:v>85.1</c:v>
                </c:pt>
                <c:pt idx="588">
                  <c:v>85.3</c:v>
                </c:pt>
                <c:pt idx="589">
                  <c:v>84.9</c:v>
                </c:pt>
                <c:pt idx="590">
                  <c:v>84.4</c:v>
                </c:pt>
                <c:pt idx="591">
                  <c:v>84</c:v>
                </c:pt>
                <c:pt idx="592">
                  <c:v>83.9</c:v>
                </c:pt>
                <c:pt idx="593">
                  <c:v>85.1</c:v>
                </c:pt>
                <c:pt idx="594">
                  <c:v>86.8</c:v>
                </c:pt>
                <c:pt idx="595">
                  <c:v>87.8</c:v>
                </c:pt>
                <c:pt idx="596">
                  <c:v>87.3</c:v>
                </c:pt>
                <c:pt idx="597">
                  <c:v>87</c:v>
                </c:pt>
                <c:pt idx="598">
                  <c:v>87.1</c:v>
                </c:pt>
                <c:pt idx="599">
                  <c:v>86.9</c:v>
                </c:pt>
                <c:pt idx="600">
                  <c:v>87.3</c:v>
                </c:pt>
                <c:pt idx="601">
                  <c:v>87.3</c:v>
                </c:pt>
                <c:pt idx="602">
                  <c:v>86.6</c:v>
                </c:pt>
                <c:pt idx="603">
                  <c:v>86.5</c:v>
                </c:pt>
                <c:pt idx="604">
                  <c:v>86.4</c:v>
                </c:pt>
                <c:pt idx="605">
                  <c:v>86.9</c:v>
                </c:pt>
                <c:pt idx="606">
                  <c:v>87.9</c:v>
                </c:pt>
                <c:pt idx="607">
                  <c:v>88.1</c:v>
                </c:pt>
                <c:pt idx="608">
                  <c:v>88</c:v>
                </c:pt>
                <c:pt idx="609">
                  <c:v>89.8</c:v>
                </c:pt>
                <c:pt idx="610">
                  <c:v>90.1</c:v>
                </c:pt>
                <c:pt idx="611">
                  <c:v>89.9</c:v>
                </c:pt>
                <c:pt idx="612">
                  <c:v>89.9</c:v>
                </c:pt>
                <c:pt idx="613">
                  <c:v>88.2</c:v>
                </c:pt>
                <c:pt idx="614">
                  <c:v>89.6</c:v>
                </c:pt>
                <c:pt idx="615">
                  <c:v>90.1</c:v>
                </c:pt>
                <c:pt idx="616">
                  <c:v>90</c:v>
                </c:pt>
                <c:pt idx="617">
                  <c:v>90</c:v>
                </c:pt>
                <c:pt idx="618">
                  <c:v>90</c:v>
                </c:pt>
                <c:pt idx="619">
                  <c:v>90.6</c:v>
                </c:pt>
                <c:pt idx="620">
                  <c:v>91.5</c:v>
                </c:pt>
                <c:pt idx="621">
                  <c:v>91.1</c:v>
                </c:pt>
                <c:pt idx="622">
                  <c:v>90.7</c:v>
                </c:pt>
                <c:pt idx="623">
                  <c:v>90</c:v>
                </c:pt>
                <c:pt idx="624">
                  <c:v>91.5</c:v>
                </c:pt>
                <c:pt idx="625">
                  <c:v>91.7</c:v>
                </c:pt>
                <c:pt idx="626">
                  <c:v>90.1</c:v>
                </c:pt>
                <c:pt idx="627">
                  <c:v>88.8</c:v>
                </c:pt>
                <c:pt idx="628">
                  <c:v>89.4</c:v>
                </c:pt>
                <c:pt idx="629">
                  <c:v>87</c:v>
                </c:pt>
                <c:pt idx="630">
                  <c:v>85.5</c:v>
                </c:pt>
                <c:pt idx="631">
                  <c:v>84.6</c:v>
                </c:pt>
                <c:pt idx="632">
                  <c:v>83</c:v>
                </c:pt>
                <c:pt idx="633">
                  <c:v>83</c:v>
                </c:pt>
                <c:pt idx="634">
                  <c:v>83.3</c:v>
                </c:pt>
                <c:pt idx="635">
                  <c:v>84.9</c:v>
                </c:pt>
                <c:pt idx="636">
                  <c:v>84.4</c:v>
                </c:pt>
                <c:pt idx="637">
                  <c:v>83.8</c:v>
                </c:pt>
                <c:pt idx="638">
                  <c:v>81.900000000000006</c:v>
                </c:pt>
                <c:pt idx="639">
                  <c:v>80.599999999999994</c:v>
                </c:pt>
                <c:pt idx="640">
                  <c:v>80.599999999999994</c:v>
                </c:pt>
                <c:pt idx="641">
                  <c:v>80.400000000000006</c:v>
                </c:pt>
                <c:pt idx="642">
                  <c:v>80.099999999999994</c:v>
                </c:pt>
                <c:pt idx="643">
                  <c:v>79.599999999999994</c:v>
                </c:pt>
                <c:pt idx="644">
                  <c:v>80</c:v>
                </c:pt>
                <c:pt idx="645">
                  <c:v>79.3</c:v>
                </c:pt>
                <c:pt idx="646">
                  <c:v>79.5</c:v>
                </c:pt>
                <c:pt idx="647">
                  <c:v>80.7</c:v>
                </c:pt>
                <c:pt idx="648">
                  <c:v>80</c:v>
                </c:pt>
                <c:pt idx="649">
                  <c:v>80.900000000000006</c:v>
                </c:pt>
                <c:pt idx="650">
                  <c:v>79.3</c:v>
                </c:pt>
                <c:pt idx="651">
                  <c:v>82.2</c:v>
                </c:pt>
                <c:pt idx="652">
                  <c:v>83.9</c:v>
                </c:pt>
                <c:pt idx="653">
                  <c:v>84.9</c:v>
                </c:pt>
                <c:pt idx="654">
                  <c:v>85.3</c:v>
                </c:pt>
                <c:pt idx="655">
                  <c:v>86.3</c:v>
                </c:pt>
                <c:pt idx="656">
                  <c:v>86.8</c:v>
                </c:pt>
                <c:pt idx="657">
                  <c:v>87</c:v>
                </c:pt>
                <c:pt idx="658">
                  <c:v>87</c:v>
                </c:pt>
                <c:pt idx="659">
                  <c:v>86.1</c:v>
                </c:pt>
                <c:pt idx="660">
                  <c:v>85.7</c:v>
                </c:pt>
                <c:pt idx="661">
                  <c:v>85.6</c:v>
                </c:pt>
                <c:pt idx="662">
                  <c:v>85.7</c:v>
                </c:pt>
                <c:pt idx="663">
                  <c:v>84.7</c:v>
                </c:pt>
                <c:pt idx="664">
                  <c:v>85.6</c:v>
                </c:pt>
                <c:pt idx="665">
                  <c:v>85.5</c:v>
                </c:pt>
                <c:pt idx="666">
                  <c:v>90.2</c:v>
                </c:pt>
                <c:pt idx="667">
                  <c:v>90.8</c:v>
                </c:pt>
                <c:pt idx="668">
                  <c:v>88.6</c:v>
                </c:pt>
                <c:pt idx="669">
                  <c:v>89.1</c:v>
                </c:pt>
                <c:pt idx="670">
                  <c:v>89.6</c:v>
                </c:pt>
                <c:pt idx="671">
                  <c:v>87.2</c:v>
                </c:pt>
                <c:pt idx="672">
                  <c:v>86.4</c:v>
                </c:pt>
                <c:pt idx="673">
                  <c:v>86.5</c:v>
                </c:pt>
                <c:pt idx="674">
                  <c:v>85.8</c:v>
                </c:pt>
                <c:pt idx="675">
                  <c:v>86</c:v>
                </c:pt>
                <c:pt idx="676">
                  <c:v>87.2</c:v>
                </c:pt>
                <c:pt idx="677">
                  <c:v>87.7</c:v>
                </c:pt>
                <c:pt idx="678">
                  <c:v>86.9</c:v>
                </c:pt>
                <c:pt idx="679">
                  <c:v>86.1</c:v>
                </c:pt>
                <c:pt idx="680">
                  <c:v>88.1</c:v>
                </c:pt>
                <c:pt idx="681">
                  <c:v>86.2</c:v>
                </c:pt>
                <c:pt idx="682">
                  <c:v>84.9</c:v>
                </c:pt>
                <c:pt idx="683">
                  <c:v>84.5</c:v>
                </c:pt>
                <c:pt idx="684">
                  <c:v>85.8</c:v>
                </c:pt>
                <c:pt idx="685">
                  <c:v>86.8</c:v>
                </c:pt>
                <c:pt idx="686">
                  <c:v>88.3</c:v>
                </c:pt>
                <c:pt idx="687">
                  <c:v>88.8</c:v>
                </c:pt>
                <c:pt idx="688">
                  <c:v>85</c:v>
                </c:pt>
                <c:pt idx="689">
                  <c:v>86</c:v>
                </c:pt>
                <c:pt idx="690">
                  <c:v>89</c:v>
                </c:pt>
                <c:pt idx="691">
                  <c:v>90</c:v>
                </c:pt>
                <c:pt idx="692">
                  <c:v>88.2</c:v>
                </c:pt>
                <c:pt idx="693">
                  <c:v>88.2</c:v>
                </c:pt>
                <c:pt idx="694">
                  <c:v>87.7</c:v>
                </c:pt>
                <c:pt idx="695">
                  <c:v>90.3</c:v>
                </c:pt>
                <c:pt idx="696">
                  <c:v>88.1</c:v>
                </c:pt>
                <c:pt idx="697">
                  <c:v>85.8</c:v>
                </c:pt>
                <c:pt idx="698">
                  <c:v>87.5</c:v>
                </c:pt>
                <c:pt idx="699">
                  <c:v>87.8</c:v>
                </c:pt>
                <c:pt idx="700">
                  <c:v>90</c:v>
                </c:pt>
                <c:pt idx="701">
                  <c:v>92.7</c:v>
                </c:pt>
                <c:pt idx="702">
                  <c:v>93</c:v>
                </c:pt>
                <c:pt idx="703">
                  <c:v>89.9</c:v>
                </c:pt>
                <c:pt idx="704">
                  <c:v>96.3</c:v>
                </c:pt>
                <c:pt idx="705">
                  <c:v>99.7</c:v>
                </c:pt>
                <c:pt idx="706">
                  <c:v>99.8</c:v>
                </c:pt>
                <c:pt idx="707">
                  <c:v>100.5</c:v>
                </c:pt>
                <c:pt idx="708">
                  <c:v>100.75</c:v>
                </c:pt>
                <c:pt idx="709">
                  <c:v>99.2</c:v>
                </c:pt>
                <c:pt idx="710">
                  <c:v>93.7</c:v>
                </c:pt>
                <c:pt idx="711">
                  <c:v>96.7</c:v>
                </c:pt>
                <c:pt idx="712">
                  <c:v>96.2</c:v>
                </c:pt>
                <c:pt idx="713">
                  <c:v>88.7</c:v>
                </c:pt>
                <c:pt idx="714">
                  <c:v>84.3</c:v>
                </c:pt>
                <c:pt idx="715">
                  <c:v>82</c:v>
                </c:pt>
                <c:pt idx="716">
                  <c:v>82</c:v>
                </c:pt>
                <c:pt idx="717">
                  <c:v>82.3</c:v>
                </c:pt>
                <c:pt idx="718">
                  <c:v>82.4</c:v>
                </c:pt>
                <c:pt idx="719">
                  <c:v>82.7</c:v>
                </c:pt>
                <c:pt idx="720">
                  <c:v>83</c:v>
                </c:pt>
                <c:pt idx="721">
                  <c:v>83.2</c:v>
                </c:pt>
                <c:pt idx="722">
                  <c:v>83.3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8F-4BD6-A328-2AF6745D63C6}"/>
            </c:ext>
          </c:extLst>
        </c:ser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'Price volume'!$A$3:$A$725</c:f>
              <c:numCache>
                <c:formatCode>m/d/yyyy</c:formatCode>
                <c:ptCount val="723"/>
                <c:pt idx="0">
                  <c:v>45307</c:v>
                </c:pt>
                <c:pt idx="1">
                  <c:v>45302</c:v>
                </c:pt>
                <c:pt idx="2">
                  <c:v>45301</c:v>
                </c:pt>
                <c:pt idx="3">
                  <c:v>45300</c:v>
                </c:pt>
                <c:pt idx="4">
                  <c:v>45299</c:v>
                </c:pt>
                <c:pt idx="5">
                  <c:v>45296</c:v>
                </c:pt>
                <c:pt idx="6">
                  <c:v>45295</c:v>
                </c:pt>
                <c:pt idx="7">
                  <c:v>45294</c:v>
                </c:pt>
                <c:pt idx="8">
                  <c:v>45293</c:v>
                </c:pt>
                <c:pt idx="9">
                  <c:v>45289</c:v>
                </c:pt>
                <c:pt idx="10">
                  <c:v>45288</c:v>
                </c:pt>
                <c:pt idx="11">
                  <c:v>45287</c:v>
                </c:pt>
                <c:pt idx="12">
                  <c:v>45282</c:v>
                </c:pt>
                <c:pt idx="13">
                  <c:v>45281</c:v>
                </c:pt>
                <c:pt idx="14">
                  <c:v>45280</c:v>
                </c:pt>
                <c:pt idx="15">
                  <c:v>45279</c:v>
                </c:pt>
                <c:pt idx="16">
                  <c:v>45278</c:v>
                </c:pt>
                <c:pt idx="17">
                  <c:v>45275</c:v>
                </c:pt>
                <c:pt idx="18">
                  <c:v>45274</c:v>
                </c:pt>
                <c:pt idx="19">
                  <c:v>45274</c:v>
                </c:pt>
                <c:pt idx="20">
                  <c:v>45273</c:v>
                </c:pt>
                <c:pt idx="21">
                  <c:v>45272</c:v>
                </c:pt>
                <c:pt idx="22">
                  <c:v>45271</c:v>
                </c:pt>
                <c:pt idx="23">
                  <c:v>45268</c:v>
                </c:pt>
                <c:pt idx="24">
                  <c:v>45267</c:v>
                </c:pt>
                <c:pt idx="25">
                  <c:v>45266</c:v>
                </c:pt>
                <c:pt idx="26">
                  <c:v>45265</c:v>
                </c:pt>
                <c:pt idx="27">
                  <c:v>45264</c:v>
                </c:pt>
                <c:pt idx="28">
                  <c:v>45261</c:v>
                </c:pt>
                <c:pt idx="29">
                  <c:v>45260</c:v>
                </c:pt>
                <c:pt idx="30">
                  <c:v>45259</c:v>
                </c:pt>
                <c:pt idx="31">
                  <c:v>45258</c:v>
                </c:pt>
                <c:pt idx="32">
                  <c:v>45257</c:v>
                </c:pt>
                <c:pt idx="33">
                  <c:v>45254</c:v>
                </c:pt>
                <c:pt idx="34">
                  <c:v>45253</c:v>
                </c:pt>
                <c:pt idx="35">
                  <c:v>45252</c:v>
                </c:pt>
                <c:pt idx="36">
                  <c:v>45251</c:v>
                </c:pt>
                <c:pt idx="37">
                  <c:v>45250</c:v>
                </c:pt>
                <c:pt idx="38">
                  <c:v>45247</c:v>
                </c:pt>
                <c:pt idx="39">
                  <c:v>45246</c:v>
                </c:pt>
                <c:pt idx="40">
                  <c:v>45245</c:v>
                </c:pt>
                <c:pt idx="41">
                  <c:v>45244</c:v>
                </c:pt>
                <c:pt idx="42">
                  <c:v>45243</c:v>
                </c:pt>
                <c:pt idx="43">
                  <c:v>45240</c:v>
                </c:pt>
                <c:pt idx="44">
                  <c:v>45239</c:v>
                </c:pt>
                <c:pt idx="45">
                  <c:v>45238</c:v>
                </c:pt>
                <c:pt idx="46">
                  <c:v>45237</c:v>
                </c:pt>
                <c:pt idx="47">
                  <c:v>45236</c:v>
                </c:pt>
                <c:pt idx="48">
                  <c:v>45233</c:v>
                </c:pt>
                <c:pt idx="49">
                  <c:v>45232</c:v>
                </c:pt>
                <c:pt idx="50">
                  <c:v>45231</c:v>
                </c:pt>
                <c:pt idx="51">
                  <c:v>45230</c:v>
                </c:pt>
                <c:pt idx="52">
                  <c:v>45229</c:v>
                </c:pt>
                <c:pt idx="53">
                  <c:v>45226</c:v>
                </c:pt>
                <c:pt idx="54">
                  <c:v>45225</c:v>
                </c:pt>
                <c:pt idx="55">
                  <c:v>45224</c:v>
                </c:pt>
                <c:pt idx="56">
                  <c:v>45223</c:v>
                </c:pt>
                <c:pt idx="57">
                  <c:v>45222</c:v>
                </c:pt>
                <c:pt idx="58">
                  <c:v>45219</c:v>
                </c:pt>
                <c:pt idx="59">
                  <c:v>45218</c:v>
                </c:pt>
                <c:pt idx="60">
                  <c:v>45217</c:v>
                </c:pt>
                <c:pt idx="61">
                  <c:v>45216</c:v>
                </c:pt>
                <c:pt idx="62">
                  <c:v>45215</c:v>
                </c:pt>
                <c:pt idx="63">
                  <c:v>45212</c:v>
                </c:pt>
                <c:pt idx="64">
                  <c:v>45211</c:v>
                </c:pt>
                <c:pt idx="65">
                  <c:v>45210</c:v>
                </c:pt>
                <c:pt idx="66">
                  <c:v>45209</c:v>
                </c:pt>
                <c:pt idx="67">
                  <c:v>45208</c:v>
                </c:pt>
                <c:pt idx="68">
                  <c:v>45205</c:v>
                </c:pt>
                <c:pt idx="69">
                  <c:v>45204</c:v>
                </c:pt>
                <c:pt idx="70">
                  <c:v>45203</c:v>
                </c:pt>
                <c:pt idx="71">
                  <c:v>45202</c:v>
                </c:pt>
                <c:pt idx="72">
                  <c:v>45201</c:v>
                </c:pt>
                <c:pt idx="73">
                  <c:v>45196</c:v>
                </c:pt>
                <c:pt idx="74">
                  <c:v>45195</c:v>
                </c:pt>
                <c:pt idx="75">
                  <c:v>45194</c:v>
                </c:pt>
                <c:pt idx="76">
                  <c:v>45191</c:v>
                </c:pt>
                <c:pt idx="77">
                  <c:v>45190</c:v>
                </c:pt>
                <c:pt idx="78">
                  <c:v>45189</c:v>
                </c:pt>
                <c:pt idx="79">
                  <c:v>45188</c:v>
                </c:pt>
                <c:pt idx="80">
                  <c:v>45187</c:v>
                </c:pt>
                <c:pt idx="81">
                  <c:v>45184</c:v>
                </c:pt>
                <c:pt idx="82">
                  <c:v>45183</c:v>
                </c:pt>
                <c:pt idx="83">
                  <c:v>45182</c:v>
                </c:pt>
                <c:pt idx="84">
                  <c:v>45181</c:v>
                </c:pt>
                <c:pt idx="85">
                  <c:v>45180</c:v>
                </c:pt>
                <c:pt idx="86">
                  <c:v>45177</c:v>
                </c:pt>
                <c:pt idx="87">
                  <c:v>45176</c:v>
                </c:pt>
                <c:pt idx="88">
                  <c:v>45175</c:v>
                </c:pt>
                <c:pt idx="89">
                  <c:v>45174</c:v>
                </c:pt>
                <c:pt idx="90">
                  <c:v>45173</c:v>
                </c:pt>
                <c:pt idx="91">
                  <c:v>45170</c:v>
                </c:pt>
                <c:pt idx="92">
                  <c:v>45169</c:v>
                </c:pt>
                <c:pt idx="93">
                  <c:v>45167</c:v>
                </c:pt>
                <c:pt idx="94">
                  <c:v>45166</c:v>
                </c:pt>
                <c:pt idx="95">
                  <c:v>45163</c:v>
                </c:pt>
                <c:pt idx="96">
                  <c:v>45162</c:v>
                </c:pt>
                <c:pt idx="97">
                  <c:v>45161</c:v>
                </c:pt>
                <c:pt idx="98">
                  <c:v>45160</c:v>
                </c:pt>
                <c:pt idx="99">
                  <c:v>45159</c:v>
                </c:pt>
                <c:pt idx="100">
                  <c:v>45156</c:v>
                </c:pt>
                <c:pt idx="101">
                  <c:v>45155</c:v>
                </c:pt>
                <c:pt idx="102">
                  <c:v>45154</c:v>
                </c:pt>
                <c:pt idx="103">
                  <c:v>45153</c:v>
                </c:pt>
                <c:pt idx="104">
                  <c:v>45152</c:v>
                </c:pt>
                <c:pt idx="105">
                  <c:v>45149</c:v>
                </c:pt>
                <c:pt idx="106">
                  <c:v>45148</c:v>
                </c:pt>
                <c:pt idx="107">
                  <c:v>45147</c:v>
                </c:pt>
                <c:pt idx="108">
                  <c:v>45146</c:v>
                </c:pt>
                <c:pt idx="109">
                  <c:v>45145</c:v>
                </c:pt>
                <c:pt idx="110">
                  <c:v>45142</c:v>
                </c:pt>
                <c:pt idx="111">
                  <c:v>45141</c:v>
                </c:pt>
                <c:pt idx="112">
                  <c:v>45140</c:v>
                </c:pt>
                <c:pt idx="113">
                  <c:v>45138</c:v>
                </c:pt>
                <c:pt idx="114">
                  <c:v>45135</c:v>
                </c:pt>
                <c:pt idx="115">
                  <c:v>45134</c:v>
                </c:pt>
                <c:pt idx="116">
                  <c:v>45133</c:v>
                </c:pt>
                <c:pt idx="117">
                  <c:v>45132</c:v>
                </c:pt>
                <c:pt idx="118">
                  <c:v>45131</c:v>
                </c:pt>
                <c:pt idx="119">
                  <c:v>45128</c:v>
                </c:pt>
                <c:pt idx="120">
                  <c:v>45127</c:v>
                </c:pt>
                <c:pt idx="121">
                  <c:v>45126</c:v>
                </c:pt>
                <c:pt idx="122">
                  <c:v>45125</c:v>
                </c:pt>
                <c:pt idx="123">
                  <c:v>45124</c:v>
                </c:pt>
                <c:pt idx="124">
                  <c:v>45121</c:v>
                </c:pt>
                <c:pt idx="125">
                  <c:v>45120</c:v>
                </c:pt>
                <c:pt idx="126">
                  <c:v>45119</c:v>
                </c:pt>
                <c:pt idx="127">
                  <c:v>45118</c:v>
                </c:pt>
                <c:pt idx="128">
                  <c:v>45117</c:v>
                </c:pt>
                <c:pt idx="129">
                  <c:v>45114</c:v>
                </c:pt>
                <c:pt idx="130">
                  <c:v>45113</c:v>
                </c:pt>
                <c:pt idx="131">
                  <c:v>45112</c:v>
                </c:pt>
                <c:pt idx="132">
                  <c:v>45111</c:v>
                </c:pt>
                <c:pt idx="133">
                  <c:v>45105</c:v>
                </c:pt>
                <c:pt idx="134">
                  <c:v>45104</c:v>
                </c:pt>
                <c:pt idx="135">
                  <c:v>45103</c:v>
                </c:pt>
                <c:pt idx="136">
                  <c:v>45100</c:v>
                </c:pt>
                <c:pt idx="137">
                  <c:v>45099</c:v>
                </c:pt>
                <c:pt idx="138">
                  <c:v>45098</c:v>
                </c:pt>
                <c:pt idx="139">
                  <c:v>45097</c:v>
                </c:pt>
                <c:pt idx="140">
                  <c:v>45096</c:v>
                </c:pt>
                <c:pt idx="141">
                  <c:v>45093</c:v>
                </c:pt>
                <c:pt idx="142">
                  <c:v>45092</c:v>
                </c:pt>
                <c:pt idx="143">
                  <c:v>45091</c:v>
                </c:pt>
                <c:pt idx="144">
                  <c:v>45090</c:v>
                </c:pt>
                <c:pt idx="145">
                  <c:v>45089</c:v>
                </c:pt>
                <c:pt idx="146">
                  <c:v>45086</c:v>
                </c:pt>
                <c:pt idx="147">
                  <c:v>45085</c:v>
                </c:pt>
                <c:pt idx="148">
                  <c:v>45084</c:v>
                </c:pt>
                <c:pt idx="149">
                  <c:v>45083</c:v>
                </c:pt>
                <c:pt idx="150">
                  <c:v>45082</c:v>
                </c:pt>
                <c:pt idx="151">
                  <c:v>45079</c:v>
                </c:pt>
                <c:pt idx="152">
                  <c:v>45078</c:v>
                </c:pt>
                <c:pt idx="153">
                  <c:v>45077</c:v>
                </c:pt>
                <c:pt idx="154">
                  <c:v>45076</c:v>
                </c:pt>
                <c:pt idx="155">
                  <c:v>45075</c:v>
                </c:pt>
                <c:pt idx="156">
                  <c:v>45072</c:v>
                </c:pt>
                <c:pt idx="157">
                  <c:v>45071</c:v>
                </c:pt>
                <c:pt idx="158">
                  <c:v>45070</c:v>
                </c:pt>
                <c:pt idx="159">
                  <c:v>45069</c:v>
                </c:pt>
                <c:pt idx="160">
                  <c:v>45068</c:v>
                </c:pt>
                <c:pt idx="161">
                  <c:v>45065</c:v>
                </c:pt>
                <c:pt idx="162">
                  <c:v>45064</c:v>
                </c:pt>
                <c:pt idx="163">
                  <c:v>45063</c:v>
                </c:pt>
                <c:pt idx="164">
                  <c:v>45062</c:v>
                </c:pt>
                <c:pt idx="165">
                  <c:v>45061</c:v>
                </c:pt>
                <c:pt idx="166">
                  <c:v>45058</c:v>
                </c:pt>
                <c:pt idx="167">
                  <c:v>45057</c:v>
                </c:pt>
                <c:pt idx="168">
                  <c:v>45056</c:v>
                </c:pt>
                <c:pt idx="169">
                  <c:v>45055</c:v>
                </c:pt>
                <c:pt idx="170">
                  <c:v>45054</c:v>
                </c:pt>
                <c:pt idx="171">
                  <c:v>45050</c:v>
                </c:pt>
                <c:pt idx="172">
                  <c:v>45049</c:v>
                </c:pt>
                <c:pt idx="173">
                  <c:v>45048</c:v>
                </c:pt>
                <c:pt idx="174">
                  <c:v>45044</c:v>
                </c:pt>
                <c:pt idx="175">
                  <c:v>45043</c:v>
                </c:pt>
                <c:pt idx="176">
                  <c:v>45042</c:v>
                </c:pt>
                <c:pt idx="177">
                  <c:v>45041</c:v>
                </c:pt>
                <c:pt idx="178">
                  <c:v>45040</c:v>
                </c:pt>
                <c:pt idx="179">
                  <c:v>45037</c:v>
                </c:pt>
                <c:pt idx="180">
                  <c:v>45036</c:v>
                </c:pt>
                <c:pt idx="181">
                  <c:v>45035</c:v>
                </c:pt>
                <c:pt idx="182">
                  <c:v>45034</c:v>
                </c:pt>
                <c:pt idx="183">
                  <c:v>45033</c:v>
                </c:pt>
                <c:pt idx="184">
                  <c:v>45028</c:v>
                </c:pt>
                <c:pt idx="185">
                  <c:v>45027</c:v>
                </c:pt>
                <c:pt idx="186">
                  <c:v>45026</c:v>
                </c:pt>
                <c:pt idx="187">
                  <c:v>45022</c:v>
                </c:pt>
                <c:pt idx="188">
                  <c:v>45020</c:v>
                </c:pt>
                <c:pt idx="189">
                  <c:v>45019</c:v>
                </c:pt>
                <c:pt idx="190">
                  <c:v>45016</c:v>
                </c:pt>
                <c:pt idx="191">
                  <c:v>45015</c:v>
                </c:pt>
                <c:pt idx="192">
                  <c:v>45014</c:v>
                </c:pt>
                <c:pt idx="193">
                  <c:v>45013</c:v>
                </c:pt>
                <c:pt idx="194">
                  <c:v>45012</c:v>
                </c:pt>
                <c:pt idx="195">
                  <c:v>45009</c:v>
                </c:pt>
                <c:pt idx="196">
                  <c:v>45008</c:v>
                </c:pt>
                <c:pt idx="197">
                  <c:v>45007</c:v>
                </c:pt>
                <c:pt idx="198">
                  <c:v>45006</c:v>
                </c:pt>
                <c:pt idx="199">
                  <c:v>45005</c:v>
                </c:pt>
                <c:pt idx="200">
                  <c:v>45002</c:v>
                </c:pt>
                <c:pt idx="201">
                  <c:v>45001</c:v>
                </c:pt>
                <c:pt idx="202">
                  <c:v>45000</c:v>
                </c:pt>
                <c:pt idx="203">
                  <c:v>44999</c:v>
                </c:pt>
                <c:pt idx="204">
                  <c:v>44998</c:v>
                </c:pt>
                <c:pt idx="205">
                  <c:v>44995</c:v>
                </c:pt>
                <c:pt idx="206">
                  <c:v>44994</c:v>
                </c:pt>
                <c:pt idx="207">
                  <c:v>44993</c:v>
                </c:pt>
                <c:pt idx="208">
                  <c:v>44992</c:v>
                </c:pt>
                <c:pt idx="209">
                  <c:v>44988</c:v>
                </c:pt>
                <c:pt idx="210">
                  <c:v>44987</c:v>
                </c:pt>
                <c:pt idx="211">
                  <c:v>44986</c:v>
                </c:pt>
                <c:pt idx="212">
                  <c:v>44985</c:v>
                </c:pt>
                <c:pt idx="213">
                  <c:v>44984</c:v>
                </c:pt>
                <c:pt idx="214">
                  <c:v>44981</c:v>
                </c:pt>
                <c:pt idx="215">
                  <c:v>44980</c:v>
                </c:pt>
                <c:pt idx="216">
                  <c:v>44979</c:v>
                </c:pt>
                <c:pt idx="217">
                  <c:v>44978</c:v>
                </c:pt>
                <c:pt idx="218">
                  <c:v>44977</c:v>
                </c:pt>
                <c:pt idx="219">
                  <c:v>44974</c:v>
                </c:pt>
                <c:pt idx="220">
                  <c:v>44973</c:v>
                </c:pt>
                <c:pt idx="221">
                  <c:v>44972</c:v>
                </c:pt>
                <c:pt idx="222">
                  <c:v>44971</c:v>
                </c:pt>
                <c:pt idx="223">
                  <c:v>44970</c:v>
                </c:pt>
                <c:pt idx="224">
                  <c:v>44967</c:v>
                </c:pt>
                <c:pt idx="225">
                  <c:v>44966</c:v>
                </c:pt>
                <c:pt idx="226">
                  <c:v>44965</c:v>
                </c:pt>
                <c:pt idx="227">
                  <c:v>44964</c:v>
                </c:pt>
                <c:pt idx="228">
                  <c:v>44963</c:v>
                </c:pt>
                <c:pt idx="229">
                  <c:v>44960</c:v>
                </c:pt>
                <c:pt idx="230">
                  <c:v>44959</c:v>
                </c:pt>
                <c:pt idx="231">
                  <c:v>44958</c:v>
                </c:pt>
                <c:pt idx="232">
                  <c:v>44957</c:v>
                </c:pt>
                <c:pt idx="233">
                  <c:v>44956</c:v>
                </c:pt>
                <c:pt idx="234">
                  <c:v>44953</c:v>
                </c:pt>
                <c:pt idx="235">
                  <c:v>44952</c:v>
                </c:pt>
                <c:pt idx="236">
                  <c:v>44951</c:v>
                </c:pt>
                <c:pt idx="237">
                  <c:v>44950</c:v>
                </c:pt>
                <c:pt idx="238">
                  <c:v>44949</c:v>
                </c:pt>
                <c:pt idx="239">
                  <c:v>44946</c:v>
                </c:pt>
                <c:pt idx="240">
                  <c:v>44945</c:v>
                </c:pt>
                <c:pt idx="241">
                  <c:v>44944</c:v>
                </c:pt>
                <c:pt idx="242">
                  <c:v>44943</c:v>
                </c:pt>
                <c:pt idx="243">
                  <c:v>44939</c:v>
                </c:pt>
                <c:pt idx="244">
                  <c:v>44938</c:v>
                </c:pt>
                <c:pt idx="245">
                  <c:v>44937</c:v>
                </c:pt>
                <c:pt idx="246">
                  <c:v>44936</c:v>
                </c:pt>
                <c:pt idx="247">
                  <c:v>44935</c:v>
                </c:pt>
                <c:pt idx="248">
                  <c:v>44931</c:v>
                </c:pt>
                <c:pt idx="249">
                  <c:v>44930</c:v>
                </c:pt>
                <c:pt idx="250">
                  <c:v>44929</c:v>
                </c:pt>
                <c:pt idx="251">
                  <c:v>44928</c:v>
                </c:pt>
                <c:pt idx="252">
                  <c:v>44925</c:v>
                </c:pt>
                <c:pt idx="253">
                  <c:v>44924</c:v>
                </c:pt>
                <c:pt idx="254">
                  <c:v>44923</c:v>
                </c:pt>
                <c:pt idx="255">
                  <c:v>44922</c:v>
                </c:pt>
                <c:pt idx="256">
                  <c:v>44918</c:v>
                </c:pt>
                <c:pt idx="257">
                  <c:v>44917</c:v>
                </c:pt>
                <c:pt idx="258">
                  <c:v>44916</c:v>
                </c:pt>
                <c:pt idx="259">
                  <c:v>44915</c:v>
                </c:pt>
                <c:pt idx="260">
                  <c:v>44914</c:v>
                </c:pt>
                <c:pt idx="261">
                  <c:v>44911</c:v>
                </c:pt>
                <c:pt idx="262">
                  <c:v>44910</c:v>
                </c:pt>
                <c:pt idx="263">
                  <c:v>44909</c:v>
                </c:pt>
                <c:pt idx="264">
                  <c:v>44908</c:v>
                </c:pt>
                <c:pt idx="265">
                  <c:v>44907</c:v>
                </c:pt>
                <c:pt idx="266">
                  <c:v>44904</c:v>
                </c:pt>
                <c:pt idx="267">
                  <c:v>44903</c:v>
                </c:pt>
                <c:pt idx="268">
                  <c:v>44901</c:v>
                </c:pt>
                <c:pt idx="269">
                  <c:v>44900</c:v>
                </c:pt>
                <c:pt idx="270">
                  <c:v>44897</c:v>
                </c:pt>
                <c:pt idx="271">
                  <c:v>44896</c:v>
                </c:pt>
                <c:pt idx="272">
                  <c:v>44895</c:v>
                </c:pt>
                <c:pt idx="273">
                  <c:v>44894</c:v>
                </c:pt>
                <c:pt idx="274">
                  <c:v>44893</c:v>
                </c:pt>
                <c:pt idx="275">
                  <c:v>44890</c:v>
                </c:pt>
                <c:pt idx="276">
                  <c:v>44889</c:v>
                </c:pt>
                <c:pt idx="277">
                  <c:v>44888</c:v>
                </c:pt>
                <c:pt idx="278">
                  <c:v>44887</c:v>
                </c:pt>
                <c:pt idx="279">
                  <c:v>44886</c:v>
                </c:pt>
                <c:pt idx="280">
                  <c:v>44883</c:v>
                </c:pt>
                <c:pt idx="281">
                  <c:v>44882</c:v>
                </c:pt>
                <c:pt idx="282">
                  <c:v>44881</c:v>
                </c:pt>
                <c:pt idx="283">
                  <c:v>44880</c:v>
                </c:pt>
                <c:pt idx="284">
                  <c:v>44879</c:v>
                </c:pt>
                <c:pt idx="285">
                  <c:v>44876</c:v>
                </c:pt>
                <c:pt idx="286">
                  <c:v>44875</c:v>
                </c:pt>
                <c:pt idx="287">
                  <c:v>44874</c:v>
                </c:pt>
                <c:pt idx="288">
                  <c:v>44873</c:v>
                </c:pt>
                <c:pt idx="289">
                  <c:v>44869</c:v>
                </c:pt>
                <c:pt idx="290">
                  <c:v>44868</c:v>
                </c:pt>
                <c:pt idx="291">
                  <c:v>44867</c:v>
                </c:pt>
                <c:pt idx="292">
                  <c:v>44866</c:v>
                </c:pt>
                <c:pt idx="293">
                  <c:v>44865</c:v>
                </c:pt>
                <c:pt idx="294">
                  <c:v>44862</c:v>
                </c:pt>
                <c:pt idx="295">
                  <c:v>44861</c:v>
                </c:pt>
                <c:pt idx="296">
                  <c:v>44860</c:v>
                </c:pt>
                <c:pt idx="297">
                  <c:v>44859</c:v>
                </c:pt>
                <c:pt idx="298">
                  <c:v>44855</c:v>
                </c:pt>
                <c:pt idx="299">
                  <c:v>44854</c:v>
                </c:pt>
                <c:pt idx="300">
                  <c:v>44853</c:v>
                </c:pt>
                <c:pt idx="301">
                  <c:v>44852</c:v>
                </c:pt>
                <c:pt idx="302">
                  <c:v>44851</c:v>
                </c:pt>
                <c:pt idx="303">
                  <c:v>44848</c:v>
                </c:pt>
                <c:pt idx="304">
                  <c:v>44847</c:v>
                </c:pt>
                <c:pt idx="305">
                  <c:v>44846</c:v>
                </c:pt>
                <c:pt idx="306">
                  <c:v>44845</c:v>
                </c:pt>
                <c:pt idx="307">
                  <c:v>44841</c:v>
                </c:pt>
                <c:pt idx="308">
                  <c:v>44840</c:v>
                </c:pt>
                <c:pt idx="309">
                  <c:v>44839</c:v>
                </c:pt>
                <c:pt idx="310">
                  <c:v>44838</c:v>
                </c:pt>
                <c:pt idx="311">
                  <c:v>44837</c:v>
                </c:pt>
                <c:pt idx="312">
                  <c:v>44834</c:v>
                </c:pt>
                <c:pt idx="313">
                  <c:v>44833</c:v>
                </c:pt>
                <c:pt idx="314">
                  <c:v>44832</c:v>
                </c:pt>
                <c:pt idx="315">
                  <c:v>44831</c:v>
                </c:pt>
                <c:pt idx="316">
                  <c:v>44830</c:v>
                </c:pt>
                <c:pt idx="317">
                  <c:v>44827</c:v>
                </c:pt>
                <c:pt idx="318">
                  <c:v>44826</c:v>
                </c:pt>
                <c:pt idx="319">
                  <c:v>44825</c:v>
                </c:pt>
                <c:pt idx="320">
                  <c:v>44824</c:v>
                </c:pt>
                <c:pt idx="321">
                  <c:v>44823</c:v>
                </c:pt>
                <c:pt idx="322">
                  <c:v>44820</c:v>
                </c:pt>
                <c:pt idx="323">
                  <c:v>44819</c:v>
                </c:pt>
                <c:pt idx="324">
                  <c:v>44818</c:v>
                </c:pt>
                <c:pt idx="325">
                  <c:v>44817</c:v>
                </c:pt>
                <c:pt idx="326">
                  <c:v>44816</c:v>
                </c:pt>
                <c:pt idx="327">
                  <c:v>44813</c:v>
                </c:pt>
                <c:pt idx="328">
                  <c:v>44812</c:v>
                </c:pt>
                <c:pt idx="329">
                  <c:v>44811</c:v>
                </c:pt>
                <c:pt idx="330">
                  <c:v>44810</c:v>
                </c:pt>
                <c:pt idx="331">
                  <c:v>44809</c:v>
                </c:pt>
                <c:pt idx="332">
                  <c:v>44806</c:v>
                </c:pt>
                <c:pt idx="333">
                  <c:v>44805</c:v>
                </c:pt>
                <c:pt idx="334">
                  <c:v>44804</c:v>
                </c:pt>
                <c:pt idx="335">
                  <c:v>44803</c:v>
                </c:pt>
                <c:pt idx="336">
                  <c:v>44802</c:v>
                </c:pt>
                <c:pt idx="337">
                  <c:v>44799</c:v>
                </c:pt>
                <c:pt idx="338">
                  <c:v>44798</c:v>
                </c:pt>
                <c:pt idx="339">
                  <c:v>44797</c:v>
                </c:pt>
                <c:pt idx="340">
                  <c:v>44796</c:v>
                </c:pt>
                <c:pt idx="341">
                  <c:v>44795</c:v>
                </c:pt>
                <c:pt idx="342">
                  <c:v>44792</c:v>
                </c:pt>
                <c:pt idx="343">
                  <c:v>44791</c:v>
                </c:pt>
                <c:pt idx="344">
                  <c:v>44790</c:v>
                </c:pt>
                <c:pt idx="345">
                  <c:v>44789</c:v>
                </c:pt>
                <c:pt idx="346">
                  <c:v>44788</c:v>
                </c:pt>
                <c:pt idx="347">
                  <c:v>44785</c:v>
                </c:pt>
                <c:pt idx="348">
                  <c:v>44783</c:v>
                </c:pt>
                <c:pt idx="349">
                  <c:v>44782</c:v>
                </c:pt>
                <c:pt idx="350">
                  <c:v>44781</c:v>
                </c:pt>
                <c:pt idx="351">
                  <c:v>44778</c:v>
                </c:pt>
                <c:pt idx="352">
                  <c:v>44777</c:v>
                </c:pt>
                <c:pt idx="353">
                  <c:v>44776</c:v>
                </c:pt>
                <c:pt idx="354">
                  <c:v>44775</c:v>
                </c:pt>
                <c:pt idx="355">
                  <c:v>44774</c:v>
                </c:pt>
                <c:pt idx="356">
                  <c:v>44771</c:v>
                </c:pt>
                <c:pt idx="357">
                  <c:v>44770</c:v>
                </c:pt>
                <c:pt idx="358">
                  <c:v>44769</c:v>
                </c:pt>
                <c:pt idx="359">
                  <c:v>44768</c:v>
                </c:pt>
                <c:pt idx="360">
                  <c:v>44767</c:v>
                </c:pt>
                <c:pt idx="361">
                  <c:v>44764</c:v>
                </c:pt>
                <c:pt idx="362">
                  <c:v>44763</c:v>
                </c:pt>
                <c:pt idx="363">
                  <c:v>44762</c:v>
                </c:pt>
                <c:pt idx="364">
                  <c:v>44761</c:v>
                </c:pt>
                <c:pt idx="365">
                  <c:v>44760</c:v>
                </c:pt>
                <c:pt idx="366">
                  <c:v>44757</c:v>
                </c:pt>
                <c:pt idx="367">
                  <c:v>44756</c:v>
                </c:pt>
                <c:pt idx="368">
                  <c:v>44754</c:v>
                </c:pt>
                <c:pt idx="369">
                  <c:v>44753</c:v>
                </c:pt>
                <c:pt idx="370">
                  <c:v>44750</c:v>
                </c:pt>
                <c:pt idx="371">
                  <c:v>44749</c:v>
                </c:pt>
                <c:pt idx="372">
                  <c:v>44748</c:v>
                </c:pt>
                <c:pt idx="373">
                  <c:v>44747</c:v>
                </c:pt>
                <c:pt idx="374">
                  <c:v>44746</c:v>
                </c:pt>
                <c:pt idx="375">
                  <c:v>44743</c:v>
                </c:pt>
                <c:pt idx="376">
                  <c:v>44742</c:v>
                </c:pt>
                <c:pt idx="377">
                  <c:v>44741</c:v>
                </c:pt>
                <c:pt idx="378">
                  <c:v>44740</c:v>
                </c:pt>
                <c:pt idx="379">
                  <c:v>44739</c:v>
                </c:pt>
                <c:pt idx="380">
                  <c:v>44736</c:v>
                </c:pt>
                <c:pt idx="381">
                  <c:v>44735</c:v>
                </c:pt>
                <c:pt idx="382">
                  <c:v>44734</c:v>
                </c:pt>
                <c:pt idx="383">
                  <c:v>44733</c:v>
                </c:pt>
                <c:pt idx="384">
                  <c:v>44732</c:v>
                </c:pt>
                <c:pt idx="385">
                  <c:v>44729</c:v>
                </c:pt>
                <c:pt idx="386">
                  <c:v>44728</c:v>
                </c:pt>
                <c:pt idx="387">
                  <c:v>44727</c:v>
                </c:pt>
                <c:pt idx="388">
                  <c:v>44725</c:v>
                </c:pt>
                <c:pt idx="389">
                  <c:v>44722</c:v>
                </c:pt>
                <c:pt idx="390">
                  <c:v>44721</c:v>
                </c:pt>
                <c:pt idx="391">
                  <c:v>44720</c:v>
                </c:pt>
                <c:pt idx="392">
                  <c:v>44719</c:v>
                </c:pt>
                <c:pt idx="393">
                  <c:v>44718</c:v>
                </c:pt>
                <c:pt idx="394">
                  <c:v>44715</c:v>
                </c:pt>
                <c:pt idx="395">
                  <c:v>44714</c:v>
                </c:pt>
                <c:pt idx="396">
                  <c:v>44713</c:v>
                </c:pt>
                <c:pt idx="397">
                  <c:v>44712</c:v>
                </c:pt>
                <c:pt idx="398">
                  <c:v>44711</c:v>
                </c:pt>
                <c:pt idx="399">
                  <c:v>44708</c:v>
                </c:pt>
                <c:pt idx="400">
                  <c:v>44707</c:v>
                </c:pt>
                <c:pt idx="401">
                  <c:v>44706</c:v>
                </c:pt>
                <c:pt idx="402">
                  <c:v>44705</c:v>
                </c:pt>
                <c:pt idx="403">
                  <c:v>44704</c:v>
                </c:pt>
                <c:pt idx="404">
                  <c:v>44701</c:v>
                </c:pt>
                <c:pt idx="405">
                  <c:v>44700</c:v>
                </c:pt>
                <c:pt idx="406">
                  <c:v>44699</c:v>
                </c:pt>
                <c:pt idx="407">
                  <c:v>44698</c:v>
                </c:pt>
                <c:pt idx="408">
                  <c:v>44694</c:v>
                </c:pt>
                <c:pt idx="409">
                  <c:v>44693</c:v>
                </c:pt>
                <c:pt idx="410">
                  <c:v>44690</c:v>
                </c:pt>
                <c:pt idx="411">
                  <c:v>44687</c:v>
                </c:pt>
                <c:pt idx="412">
                  <c:v>44686</c:v>
                </c:pt>
                <c:pt idx="413">
                  <c:v>44685</c:v>
                </c:pt>
                <c:pt idx="414">
                  <c:v>44680</c:v>
                </c:pt>
                <c:pt idx="415">
                  <c:v>44679</c:v>
                </c:pt>
                <c:pt idx="416">
                  <c:v>44678</c:v>
                </c:pt>
                <c:pt idx="417">
                  <c:v>44677</c:v>
                </c:pt>
                <c:pt idx="418">
                  <c:v>44676</c:v>
                </c:pt>
                <c:pt idx="419">
                  <c:v>44659</c:v>
                </c:pt>
                <c:pt idx="420">
                  <c:v>44658</c:v>
                </c:pt>
                <c:pt idx="421">
                  <c:v>44657</c:v>
                </c:pt>
                <c:pt idx="422">
                  <c:v>44656</c:v>
                </c:pt>
                <c:pt idx="423">
                  <c:v>44655</c:v>
                </c:pt>
                <c:pt idx="424">
                  <c:v>44652</c:v>
                </c:pt>
                <c:pt idx="425">
                  <c:v>44651</c:v>
                </c:pt>
                <c:pt idx="426">
                  <c:v>44650</c:v>
                </c:pt>
                <c:pt idx="427">
                  <c:v>44649</c:v>
                </c:pt>
                <c:pt idx="428">
                  <c:v>44648</c:v>
                </c:pt>
                <c:pt idx="429">
                  <c:v>44645</c:v>
                </c:pt>
                <c:pt idx="430">
                  <c:v>44644</c:v>
                </c:pt>
                <c:pt idx="431">
                  <c:v>44643</c:v>
                </c:pt>
                <c:pt idx="432">
                  <c:v>44642</c:v>
                </c:pt>
                <c:pt idx="433">
                  <c:v>44641</c:v>
                </c:pt>
                <c:pt idx="434">
                  <c:v>44638</c:v>
                </c:pt>
                <c:pt idx="435">
                  <c:v>44636</c:v>
                </c:pt>
                <c:pt idx="436">
                  <c:v>44635</c:v>
                </c:pt>
                <c:pt idx="437">
                  <c:v>44634</c:v>
                </c:pt>
                <c:pt idx="438">
                  <c:v>44631</c:v>
                </c:pt>
                <c:pt idx="439">
                  <c:v>44630</c:v>
                </c:pt>
                <c:pt idx="440">
                  <c:v>44629</c:v>
                </c:pt>
                <c:pt idx="441">
                  <c:v>44628</c:v>
                </c:pt>
                <c:pt idx="442">
                  <c:v>44627</c:v>
                </c:pt>
                <c:pt idx="443">
                  <c:v>44624</c:v>
                </c:pt>
                <c:pt idx="444">
                  <c:v>44623</c:v>
                </c:pt>
                <c:pt idx="445">
                  <c:v>44622</c:v>
                </c:pt>
                <c:pt idx="446">
                  <c:v>44620</c:v>
                </c:pt>
                <c:pt idx="447">
                  <c:v>44617</c:v>
                </c:pt>
                <c:pt idx="448">
                  <c:v>44616</c:v>
                </c:pt>
                <c:pt idx="449">
                  <c:v>44615</c:v>
                </c:pt>
                <c:pt idx="450">
                  <c:v>44614</c:v>
                </c:pt>
                <c:pt idx="451">
                  <c:v>44613</c:v>
                </c:pt>
                <c:pt idx="452">
                  <c:v>44610</c:v>
                </c:pt>
                <c:pt idx="453">
                  <c:v>44609</c:v>
                </c:pt>
                <c:pt idx="454">
                  <c:v>44607</c:v>
                </c:pt>
                <c:pt idx="455">
                  <c:v>44606</c:v>
                </c:pt>
                <c:pt idx="456">
                  <c:v>44603</c:v>
                </c:pt>
                <c:pt idx="457">
                  <c:v>44602</c:v>
                </c:pt>
                <c:pt idx="458">
                  <c:v>44601</c:v>
                </c:pt>
                <c:pt idx="459">
                  <c:v>44600</c:v>
                </c:pt>
                <c:pt idx="460">
                  <c:v>44599</c:v>
                </c:pt>
                <c:pt idx="461">
                  <c:v>44595</c:v>
                </c:pt>
                <c:pt idx="462">
                  <c:v>44594</c:v>
                </c:pt>
                <c:pt idx="463">
                  <c:v>44593</c:v>
                </c:pt>
                <c:pt idx="464">
                  <c:v>44592</c:v>
                </c:pt>
                <c:pt idx="465">
                  <c:v>44589</c:v>
                </c:pt>
                <c:pt idx="466">
                  <c:v>44588</c:v>
                </c:pt>
                <c:pt idx="467">
                  <c:v>44587</c:v>
                </c:pt>
                <c:pt idx="468">
                  <c:v>44586</c:v>
                </c:pt>
                <c:pt idx="469">
                  <c:v>44585</c:v>
                </c:pt>
                <c:pt idx="470">
                  <c:v>44582</c:v>
                </c:pt>
                <c:pt idx="471">
                  <c:v>44581</c:v>
                </c:pt>
                <c:pt idx="472">
                  <c:v>44580</c:v>
                </c:pt>
                <c:pt idx="473">
                  <c:v>44579</c:v>
                </c:pt>
                <c:pt idx="474">
                  <c:v>44574</c:v>
                </c:pt>
                <c:pt idx="475">
                  <c:v>44573</c:v>
                </c:pt>
                <c:pt idx="476">
                  <c:v>44572</c:v>
                </c:pt>
                <c:pt idx="477">
                  <c:v>44571</c:v>
                </c:pt>
                <c:pt idx="478">
                  <c:v>44568</c:v>
                </c:pt>
                <c:pt idx="479">
                  <c:v>44567</c:v>
                </c:pt>
                <c:pt idx="480">
                  <c:v>44566</c:v>
                </c:pt>
                <c:pt idx="481">
                  <c:v>44565</c:v>
                </c:pt>
                <c:pt idx="482">
                  <c:v>44564</c:v>
                </c:pt>
                <c:pt idx="483">
                  <c:v>44561</c:v>
                </c:pt>
                <c:pt idx="484">
                  <c:v>44560</c:v>
                </c:pt>
                <c:pt idx="485">
                  <c:v>44559</c:v>
                </c:pt>
                <c:pt idx="486">
                  <c:v>44558</c:v>
                </c:pt>
                <c:pt idx="487">
                  <c:v>44557</c:v>
                </c:pt>
                <c:pt idx="488">
                  <c:v>44554</c:v>
                </c:pt>
                <c:pt idx="489">
                  <c:v>44553</c:v>
                </c:pt>
                <c:pt idx="490">
                  <c:v>44552</c:v>
                </c:pt>
                <c:pt idx="491">
                  <c:v>44551</c:v>
                </c:pt>
                <c:pt idx="492">
                  <c:v>44550</c:v>
                </c:pt>
                <c:pt idx="493">
                  <c:v>44547</c:v>
                </c:pt>
                <c:pt idx="494">
                  <c:v>44546</c:v>
                </c:pt>
                <c:pt idx="495">
                  <c:v>44545</c:v>
                </c:pt>
                <c:pt idx="496">
                  <c:v>44544</c:v>
                </c:pt>
                <c:pt idx="497">
                  <c:v>44543</c:v>
                </c:pt>
                <c:pt idx="498">
                  <c:v>44540</c:v>
                </c:pt>
                <c:pt idx="499">
                  <c:v>44539</c:v>
                </c:pt>
                <c:pt idx="500">
                  <c:v>44538</c:v>
                </c:pt>
                <c:pt idx="501">
                  <c:v>44537</c:v>
                </c:pt>
                <c:pt idx="502">
                  <c:v>44536</c:v>
                </c:pt>
                <c:pt idx="503">
                  <c:v>44533</c:v>
                </c:pt>
                <c:pt idx="504">
                  <c:v>44532</c:v>
                </c:pt>
                <c:pt idx="505">
                  <c:v>44531</c:v>
                </c:pt>
                <c:pt idx="506">
                  <c:v>44530</c:v>
                </c:pt>
                <c:pt idx="507">
                  <c:v>44529</c:v>
                </c:pt>
                <c:pt idx="508">
                  <c:v>44526</c:v>
                </c:pt>
                <c:pt idx="509">
                  <c:v>44525</c:v>
                </c:pt>
                <c:pt idx="510">
                  <c:v>44524</c:v>
                </c:pt>
                <c:pt idx="511">
                  <c:v>44523</c:v>
                </c:pt>
                <c:pt idx="512">
                  <c:v>44522</c:v>
                </c:pt>
                <c:pt idx="513">
                  <c:v>44519</c:v>
                </c:pt>
                <c:pt idx="514">
                  <c:v>44517</c:v>
                </c:pt>
                <c:pt idx="515">
                  <c:v>44516</c:v>
                </c:pt>
                <c:pt idx="516">
                  <c:v>44515</c:v>
                </c:pt>
                <c:pt idx="517">
                  <c:v>44512</c:v>
                </c:pt>
                <c:pt idx="518">
                  <c:v>44511</c:v>
                </c:pt>
                <c:pt idx="519">
                  <c:v>44510</c:v>
                </c:pt>
                <c:pt idx="520">
                  <c:v>44509</c:v>
                </c:pt>
                <c:pt idx="521">
                  <c:v>44508</c:v>
                </c:pt>
                <c:pt idx="522">
                  <c:v>44505</c:v>
                </c:pt>
                <c:pt idx="523">
                  <c:v>44503</c:v>
                </c:pt>
                <c:pt idx="524">
                  <c:v>44502</c:v>
                </c:pt>
                <c:pt idx="525">
                  <c:v>44501</c:v>
                </c:pt>
                <c:pt idx="526">
                  <c:v>44498</c:v>
                </c:pt>
                <c:pt idx="527">
                  <c:v>44497</c:v>
                </c:pt>
                <c:pt idx="528">
                  <c:v>44496</c:v>
                </c:pt>
                <c:pt idx="529">
                  <c:v>44495</c:v>
                </c:pt>
                <c:pt idx="530">
                  <c:v>44494</c:v>
                </c:pt>
                <c:pt idx="531">
                  <c:v>44491</c:v>
                </c:pt>
                <c:pt idx="532">
                  <c:v>44490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44477</c:v>
                </c:pt>
                <c:pt idx="540">
                  <c:v>44476</c:v>
                </c:pt>
                <c:pt idx="541">
                  <c:v>44475</c:v>
                </c:pt>
                <c:pt idx="542">
                  <c:v>44474</c:v>
                </c:pt>
                <c:pt idx="543">
                  <c:v>44473</c:v>
                </c:pt>
                <c:pt idx="544">
                  <c:v>44470</c:v>
                </c:pt>
                <c:pt idx="545">
                  <c:v>44469</c:v>
                </c:pt>
                <c:pt idx="546">
                  <c:v>44468</c:v>
                </c:pt>
                <c:pt idx="547">
                  <c:v>44467</c:v>
                </c:pt>
                <c:pt idx="548">
                  <c:v>44466</c:v>
                </c:pt>
                <c:pt idx="549">
                  <c:v>44463</c:v>
                </c:pt>
                <c:pt idx="550">
                  <c:v>44462</c:v>
                </c:pt>
                <c:pt idx="551">
                  <c:v>44461</c:v>
                </c:pt>
                <c:pt idx="552">
                  <c:v>44460</c:v>
                </c:pt>
                <c:pt idx="553">
                  <c:v>44456</c:v>
                </c:pt>
                <c:pt idx="554">
                  <c:v>44455</c:v>
                </c:pt>
                <c:pt idx="555">
                  <c:v>44454</c:v>
                </c:pt>
                <c:pt idx="556">
                  <c:v>44453</c:v>
                </c:pt>
                <c:pt idx="557">
                  <c:v>44452</c:v>
                </c:pt>
                <c:pt idx="558">
                  <c:v>44449</c:v>
                </c:pt>
                <c:pt idx="559">
                  <c:v>44448</c:v>
                </c:pt>
                <c:pt idx="560">
                  <c:v>44447</c:v>
                </c:pt>
                <c:pt idx="561">
                  <c:v>44446</c:v>
                </c:pt>
                <c:pt idx="562">
                  <c:v>44445</c:v>
                </c:pt>
                <c:pt idx="563">
                  <c:v>44442</c:v>
                </c:pt>
                <c:pt idx="564">
                  <c:v>44441</c:v>
                </c:pt>
                <c:pt idx="565">
                  <c:v>44440</c:v>
                </c:pt>
                <c:pt idx="566">
                  <c:v>44439</c:v>
                </c:pt>
                <c:pt idx="567">
                  <c:v>44438</c:v>
                </c:pt>
                <c:pt idx="568">
                  <c:v>44435</c:v>
                </c:pt>
                <c:pt idx="569">
                  <c:v>44434</c:v>
                </c:pt>
                <c:pt idx="570">
                  <c:v>44433</c:v>
                </c:pt>
                <c:pt idx="571">
                  <c:v>44432</c:v>
                </c:pt>
                <c:pt idx="572">
                  <c:v>44431</c:v>
                </c:pt>
                <c:pt idx="573">
                  <c:v>44428</c:v>
                </c:pt>
                <c:pt idx="574">
                  <c:v>44427</c:v>
                </c:pt>
                <c:pt idx="575">
                  <c:v>44426</c:v>
                </c:pt>
                <c:pt idx="576">
                  <c:v>44425</c:v>
                </c:pt>
                <c:pt idx="577">
                  <c:v>44424</c:v>
                </c:pt>
                <c:pt idx="578">
                  <c:v>44421</c:v>
                </c:pt>
                <c:pt idx="579">
                  <c:v>44420</c:v>
                </c:pt>
                <c:pt idx="580">
                  <c:v>44419</c:v>
                </c:pt>
                <c:pt idx="581">
                  <c:v>44418</c:v>
                </c:pt>
                <c:pt idx="582">
                  <c:v>44417</c:v>
                </c:pt>
                <c:pt idx="583">
                  <c:v>44414</c:v>
                </c:pt>
                <c:pt idx="584">
                  <c:v>44413</c:v>
                </c:pt>
                <c:pt idx="585">
                  <c:v>44412</c:v>
                </c:pt>
                <c:pt idx="586">
                  <c:v>44411</c:v>
                </c:pt>
                <c:pt idx="587">
                  <c:v>44410</c:v>
                </c:pt>
                <c:pt idx="588">
                  <c:v>44407</c:v>
                </c:pt>
                <c:pt idx="589">
                  <c:v>44406</c:v>
                </c:pt>
                <c:pt idx="590">
                  <c:v>44405</c:v>
                </c:pt>
                <c:pt idx="591">
                  <c:v>44404</c:v>
                </c:pt>
                <c:pt idx="592">
                  <c:v>44403</c:v>
                </c:pt>
                <c:pt idx="593">
                  <c:v>44399</c:v>
                </c:pt>
                <c:pt idx="594">
                  <c:v>44397</c:v>
                </c:pt>
                <c:pt idx="595">
                  <c:v>44396</c:v>
                </c:pt>
                <c:pt idx="596">
                  <c:v>44393</c:v>
                </c:pt>
                <c:pt idx="597">
                  <c:v>44392</c:v>
                </c:pt>
                <c:pt idx="598">
                  <c:v>44391</c:v>
                </c:pt>
                <c:pt idx="599">
                  <c:v>44390</c:v>
                </c:pt>
                <c:pt idx="600">
                  <c:v>44389</c:v>
                </c:pt>
                <c:pt idx="601">
                  <c:v>44386</c:v>
                </c:pt>
                <c:pt idx="602">
                  <c:v>44385</c:v>
                </c:pt>
                <c:pt idx="603">
                  <c:v>44384</c:v>
                </c:pt>
                <c:pt idx="604">
                  <c:v>44383</c:v>
                </c:pt>
                <c:pt idx="605">
                  <c:v>44382</c:v>
                </c:pt>
                <c:pt idx="606">
                  <c:v>44379</c:v>
                </c:pt>
                <c:pt idx="607">
                  <c:v>44378</c:v>
                </c:pt>
                <c:pt idx="608">
                  <c:v>44377</c:v>
                </c:pt>
                <c:pt idx="609">
                  <c:v>44376</c:v>
                </c:pt>
                <c:pt idx="610">
                  <c:v>44375</c:v>
                </c:pt>
                <c:pt idx="611">
                  <c:v>44372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44361</c:v>
                </c:pt>
                <c:pt idx="620">
                  <c:v>44358</c:v>
                </c:pt>
                <c:pt idx="621">
                  <c:v>44357</c:v>
                </c:pt>
                <c:pt idx="622">
                  <c:v>44356</c:v>
                </c:pt>
                <c:pt idx="623">
                  <c:v>44355</c:v>
                </c:pt>
                <c:pt idx="624">
                  <c:v>44354</c:v>
                </c:pt>
                <c:pt idx="625">
                  <c:v>44351</c:v>
                </c:pt>
                <c:pt idx="626">
                  <c:v>44350</c:v>
                </c:pt>
                <c:pt idx="627">
                  <c:v>44349</c:v>
                </c:pt>
                <c:pt idx="628">
                  <c:v>44348</c:v>
                </c:pt>
                <c:pt idx="629">
                  <c:v>44347</c:v>
                </c:pt>
                <c:pt idx="630">
                  <c:v>44344</c:v>
                </c:pt>
                <c:pt idx="631">
                  <c:v>44341</c:v>
                </c:pt>
                <c:pt idx="632">
                  <c:v>44340</c:v>
                </c:pt>
                <c:pt idx="633">
                  <c:v>44337</c:v>
                </c:pt>
                <c:pt idx="634">
                  <c:v>44336</c:v>
                </c:pt>
                <c:pt idx="635">
                  <c:v>44335</c:v>
                </c:pt>
                <c:pt idx="636">
                  <c:v>44334</c:v>
                </c:pt>
                <c:pt idx="637">
                  <c:v>44333</c:v>
                </c:pt>
                <c:pt idx="638">
                  <c:v>44329</c:v>
                </c:pt>
                <c:pt idx="639">
                  <c:v>44328</c:v>
                </c:pt>
                <c:pt idx="640">
                  <c:v>44327</c:v>
                </c:pt>
                <c:pt idx="641">
                  <c:v>44326</c:v>
                </c:pt>
                <c:pt idx="642">
                  <c:v>44323</c:v>
                </c:pt>
                <c:pt idx="643">
                  <c:v>44322</c:v>
                </c:pt>
                <c:pt idx="644">
                  <c:v>44321</c:v>
                </c:pt>
                <c:pt idx="645">
                  <c:v>44320</c:v>
                </c:pt>
                <c:pt idx="646">
                  <c:v>44319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44309</c:v>
                </c:pt>
                <c:pt idx="652">
                  <c:v>44308</c:v>
                </c:pt>
                <c:pt idx="653">
                  <c:v>44307</c:v>
                </c:pt>
                <c:pt idx="654">
                  <c:v>44306</c:v>
                </c:pt>
                <c:pt idx="655">
                  <c:v>44305</c:v>
                </c:pt>
                <c:pt idx="656">
                  <c:v>44302</c:v>
                </c:pt>
                <c:pt idx="657">
                  <c:v>44301</c:v>
                </c:pt>
                <c:pt idx="658">
                  <c:v>44298</c:v>
                </c:pt>
                <c:pt idx="659">
                  <c:v>44295</c:v>
                </c:pt>
                <c:pt idx="660">
                  <c:v>44294</c:v>
                </c:pt>
                <c:pt idx="661">
                  <c:v>44293</c:v>
                </c:pt>
                <c:pt idx="662">
                  <c:v>44292</c:v>
                </c:pt>
                <c:pt idx="663">
                  <c:v>44291</c:v>
                </c:pt>
                <c:pt idx="664">
                  <c:v>44287</c:v>
                </c:pt>
                <c:pt idx="665">
                  <c:v>44286</c:v>
                </c:pt>
                <c:pt idx="666">
                  <c:v>44285</c:v>
                </c:pt>
                <c:pt idx="667">
                  <c:v>44284</c:v>
                </c:pt>
                <c:pt idx="668">
                  <c:v>44281</c:v>
                </c:pt>
                <c:pt idx="669">
                  <c:v>44280</c:v>
                </c:pt>
                <c:pt idx="670">
                  <c:v>44279</c:v>
                </c:pt>
                <c:pt idx="671">
                  <c:v>44278</c:v>
                </c:pt>
                <c:pt idx="672">
                  <c:v>44277</c:v>
                </c:pt>
                <c:pt idx="673">
                  <c:v>44274</c:v>
                </c:pt>
                <c:pt idx="674">
                  <c:v>44273</c:v>
                </c:pt>
                <c:pt idx="675">
                  <c:v>44272</c:v>
                </c:pt>
                <c:pt idx="676">
                  <c:v>44271</c:v>
                </c:pt>
                <c:pt idx="677">
                  <c:v>44270</c:v>
                </c:pt>
                <c:pt idx="678">
                  <c:v>44267</c:v>
                </c:pt>
                <c:pt idx="679">
                  <c:v>44265</c:v>
                </c:pt>
                <c:pt idx="680">
                  <c:v>44264</c:v>
                </c:pt>
                <c:pt idx="681">
                  <c:v>44263</c:v>
                </c:pt>
                <c:pt idx="682">
                  <c:v>44260</c:v>
                </c:pt>
                <c:pt idx="683">
                  <c:v>44259</c:v>
                </c:pt>
                <c:pt idx="684">
                  <c:v>44258</c:v>
                </c:pt>
                <c:pt idx="685">
                  <c:v>44257</c:v>
                </c:pt>
                <c:pt idx="686">
                  <c:v>44256</c:v>
                </c:pt>
                <c:pt idx="687">
                  <c:v>44252</c:v>
                </c:pt>
                <c:pt idx="688">
                  <c:v>44251</c:v>
                </c:pt>
                <c:pt idx="689">
                  <c:v>44250</c:v>
                </c:pt>
                <c:pt idx="690">
                  <c:v>44249</c:v>
                </c:pt>
                <c:pt idx="691">
                  <c:v>44246</c:v>
                </c:pt>
                <c:pt idx="692">
                  <c:v>44245</c:v>
                </c:pt>
                <c:pt idx="693">
                  <c:v>44244</c:v>
                </c:pt>
                <c:pt idx="694">
                  <c:v>44243</c:v>
                </c:pt>
                <c:pt idx="695">
                  <c:v>44242</c:v>
                </c:pt>
                <c:pt idx="696">
                  <c:v>44239</c:v>
                </c:pt>
                <c:pt idx="697">
                  <c:v>44238</c:v>
                </c:pt>
                <c:pt idx="698">
                  <c:v>44237</c:v>
                </c:pt>
                <c:pt idx="699">
                  <c:v>44236</c:v>
                </c:pt>
                <c:pt idx="700">
                  <c:v>44235</c:v>
                </c:pt>
                <c:pt idx="701">
                  <c:v>44232</c:v>
                </c:pt>
                <c:pt idx="702">
                  <c:v>44230</c:v>
                </c:pt>
                <c:pt idx="703">
                  <c:v>44229</c:v>
                </c:pt>
                <c:pt idx="704">
                  <c:v>44228</c:v>
                </c:pt>
                <c:pt idx="705">
                  <c:v>44225</c:v>
                </c:pt>
                <c:pt idx="706">
                  <c:v>44223</c:v>
                </c:pt>
                <c:pt idx="707">
                  <c:v>44222</c:v>
                </c:pt>
                <c:pt idx="708">
                  <c:v>44221</c:v>
                </c:pt>
                <c:pt idx="709">
                  <c:v>44218</c:v>
                </c:pt>
                <c:pt idx="710">
                  <c:v>44217</c:v>
                </c:pt>
                <c:pt idx="711">
                  <c:v>44216</c:v>
                </c:pt>
                <c:pt idx="712">
                  <c:v>44215</c:v>
                </c:pt>
                <c:pt idx="713">
                  <c:v>44214</c:v>
                </c:pt>
                <c:pt idx="714">
                  <c:v>44211</c:v>
                </c:pt>
                <c:pt idx="715">
                  <c:v>44209</c:v>
                </c:pt>
                <c:pt idx="716">
                  <c:v>44208</c:v>
                </c:pt>
                <c:pt idx="717">
                  <c:v>44207</c:v>
                </c:pt>
                <c:pt idx="718">
                  <c:v>44204</c:v>
                </c:pt>
                <c:pt idx="719">
                  <c:v>44203</c:v>
                </c:pt>
                <c:pt idx="720">
                  <c:v>44202</c:v>
                </c:pt>
                <c:pt idx="721">
                  <c:v>44201</c:v>
                </c:pt>
                <c:pt idx="722">
                  <c:v>44200</c:v>
                </c:pt>
              </c:numCache>
            </c:numRef>
          </c:cat>
          <c:val>
            <c:numRef>
              <c:f>'Price volume'!$B$4:$B$725</c:f>
            </c:numRef>
          </c:val>
          <c:smooth val="0"/>
          <c:extLst>
            <c:ext xmlns:c16="http://schemas.microsoft.com/office/drawing/2014/chart" uri="{C3380CC4-5D6E-409C-BE32-E72D297353CC}">
              <c16:uniqueId val="{00000000-908F-4BD6-A328-2AF6745D63C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'Price volume'!$A$3:$A$725</c:f>
              <c:numCache>
                <c:formatCode>m/d/yyyy</c:formatCode>
                <c:ptCount val="723"/>
                <c:pt idx="0">
                  <c:v>45307</c:v>
                </c:pt>
                <c:pt idx="1">
                  <c:v>45302</c:v>
                </c:pt>
                <c:pt idx="2">
                  <c:v>45301</c:v>
                </c:pt>
                <c:pt idx="3">
                  <c:v>45300</c:v>
                </c:pt>
                <c:pt idx="4">
                  <c:v>45299</c:v>
                </c:pt>
                <c:pt idx="5">
                  <c:v>45296</c:v>
                </c:pt>
                <c:pt idx="6">
                  <c:v>45295</c:v>
                </c:pt>
                <c:pt idx="7">
                  <c:v>45294</c:v>
                </c:pt>
                <c:pt idx="8">
                  <c:v>45293</c:v>
                </c:pt>
                <c:pt idx="9">
                  <c:v>45289</c:v>
                </c:pt>
                <c:pt idx="10">
                  <c:v>45288</c:v>
                </c:pt>
                <c:pt idx="11">
                  <c:v>45287</c:v>
                </c:pt>
                <c:pt idx="12">
                  <c:v>45282</c:v>
                </c:pt>
                <c:pt idx="13">
                  <c:v>45281</c:v>
                </c:pt>
                <c:pt idx="14">
                  <c:v>45280</c:v>
                </c:pt>
                <c:pt idx="15">
                  <c:v>45279</c:v>
                </c:pt>
                <c:pt idx="16">
                  <c:v>45278</c:v>
                </c:pt>
                <c:pt idx="17">
                  <c:v>45275</c:v>
                </c:pt>
                <c:pt idx="18">
                  <c:v>45274</c:v>
                </c:pt>
                <c:pt idx="19">
                  <c:v>45274</c:v>
                </c:pt>
                <c:pt idx="20">
                  <c:v>45273</c:v>
                </c:pt>
                <c:pt idx="21">
                  <c:v>45272</c:v>
                </c:pt>
                <c:pt idx="22">
                  <c:v>45271</c:v>
                </c:pt>
                <c:pt idx="23">
                  <c:v>45268</c:v>
                </c:pt>
                <c:pt idx="24">
                  <c:v>45267</c:v>
                </c:pt>
                <c:pt idx="25">
                  <c:v>45266</c:v>
                </c:pt>
                <c:pt idx="26">
                  <c:v>45265</c:v>
                </c:pt>
                <c:pt idx="27">
                  <c:v>45264</c:v>
                </c:pt>
                <c:pt idx="28">
                  <c:v>45261</c:v>
                </c:pt>
                <c:pt idx="29">
                  <c:v>45260</c:v>
                </c:pt>
                <c:pt idx="30">
                  <c:v>45259</c:v>
                </c:pt>
                <c:pt idx="31">
                  <c:v>45258</c:v>
                </c:pt>
                <c:pt idx="32">
                  <c:v>45257</c:v>
                </c:pt>
                <c:pt idx="33">
                  <c:v>45254</c:v>
                </c:pt>
                <c:pt idx="34">
                  <c:v>45253</c:v>
                </c:pt>
                <c:pt idx="35">
                  <c:v>45252</c:v>
                </c:pt>
                <c:pt idx="36">
                  <c:v>45251</c:v>
                </c:pt>
                <c:pt idx="37">
                  <c:v>45250</c:v>
                </c:pt>
                <c:pt idx="38">
                  <c:v>45247</c:v>
                </c:pt>
                <c:pt idx="39">
                  <c:v>45246</c:v>
                </c:pt>
                <c:pt idx="40">
                  <c:v>45245</c:v>
                </c:pt>
                <c:pt idx="41">
                  <c:v>45244</c:v>
                </c:pt>
                <c:pt idx="42">
                  <c:v>45243</c:v>
                </c:pt>
                <c:pt idx="43">
                  <c:v>45240</c:v>
                </c:pt>
                <c:pt idx="44">
                  <c:v>45239</c:v>
                </c:pt>
                <c:pt idx="45">
                  <c:v>45238</c:v>
                </c:pt>
                <c:pt idx="46">
                  <c:v>45237</c:v>
                </c:pt>
                <c:pt idx="47">
                  <c:v>45236</c:v>
                </c:pt>
                <c:pt idx="48">
                  <c:v>45233</c:v>
                </c:pt>
                <c:pt idx="49">
                  <c:v>45232</c:v>
                </c:pt>
                <c:pt idx="50">
                  <c:v>45231</c:v>
                </c:pt>
                <c:pt idx="51">
                  <c:v>45230</c:v>
                </c:pt>
                <c:pt idx="52">
                  <c:v>45229</c:v>
                </c:pt>
                <c:pt idx="53">
                  <c:v>45226</c:v>
                </c:pt>
                <c:pt idx="54">
                  <c:v>45225</c:v>
                </c:pt>
                <c:pt idx="55">
                  <c:v>45224</c:v>
                </c:pt>
                <c:pt idx="56">
                  <c:v>45223</c:v>
                </c:pt>
                <c:pt idx="57">
                  <c:v>45222</c:v>
                </c:pt>
                <c:pt idx="58">
                  <c:v>45219</c:v>
                </c:pt>
                <c:pt idx="59">
                  <c:v>45218</c:v>
                </c:pt>
                <c:pt idx="60">
                  <c:v>45217</c:v>
                </c:pt>
                <c:pt idx="61">
                  <c:v>45216</c:v>
                </c:pt>
                <c:pt idx="62">
                  <c:v>45215</c:v>
                </c:pt>
                <c:pt idx="63">
                  <c:v>45212</c:v>
                </c:pt>
                <c:pt idx="64">
                  <c:v>45211</c:v>
                </c:pt>
                <c:pt idx="65">
                  <c:v>45210</c:v>
                </c:pt>
                <c:pt idx="66">
                  <c:v>45209</c:v>
                </c:pt>
                <c:pt idx="67">
                  <c:v>45208</c:v>
                </c:pt>
                <c:pt idx="68">
                  <c:v>45205</c:v>
                </c:pt>
                <c:pt idx="69">
                  <c:v>45204</c:v>
                </c:pt>
                <c:pt idx="70">
                  <c:v>45203</c:v>
                </c:pt>
                <c:pt idx="71">
                  <c:v>45202</c:v>
                </c:pt>
                <c:pt idx="72">
                  <c:v>45201</c:v>
                </c:pt>
                <c:pt idx="73">
                  <c:v>45196</c:v>
                </c:pt>
                <c:pt idx="74">
                  <c:v>45195</c:v>
                </c:pt>
                <c:pt idx="75">
                  <c:v>45194</c:v>
                </c:pt>
                <c:pt idx="76">
                  <c:v>45191</c:v>
                </c:pt>
                <c:pt idx="77">
                  <c:v>45190</c:v>
                </c:pt>
                <c:pt idx="78">
                  <c:v>45189</c:v>
                </c:pt>
                <c:pt idx="79">
                  <c:v>45188</c:v>
                </c:pt>
                <c:pt idx="80">
                  <c:v>45187</c:v>
                </c:pt>
                <c:pt idx="81">
                  <c:v>45184</c:v>
                </c:pt>
                <c:pt idx="82">
                  <c:v>45183</c:v>
                </c:pt>
                <c:pt idx="83">
                  <c:v>45182</c:v>
                </c:pt>
                <c:pt idx="84">
                  <c:v>45181</c:v>
                </c:pt>
                <c:pt idx="85">
                  <c:v>45180</c:v>
                </c:pt>
                <c:pt idx="86">
                  <c:v>45177</c:v>
                </c:pt>
                <c:pt idx="87">
                  <c:v>45176</c:v>
                </c:pt>
                <c:pt idx="88">
                  <c:v>45175</c:v>
                </c:pt>
                <c:pt idx="89">
                  <c:v>45174</c:v>
                </c:pt>
                <c:pt idx="90">
                  <c:v>45173</c:v>
                </c:pt>
                <c:pt idx="91">
                  <c:v>45170</c:v>
                </c:pt>
                <c:pt idx="92">
                  <c:v>45169</c:v>
                </c:pt>
                <c:pt idx="93">
                  <c:v>45167</c:v>
                </c:pt>
                <c:pt idx="94">
                  <c:v>45166</c:v>
                </c:pt>
                <c:pt idx="95">
                  <c:v>45163</c:v>
                </c:pt>
                <c:pt idx="96">
                  <c:v>45162</c:v>
                </c:pt>
                <c:pt idx="97">
                  <c:v>45161</c:v>
                </c:pt>
                <c:pt idx="98">
                  <c:v>45160</c:v>
                </c:pt>
                <c:pt idx="99">
                  <c:v>45159</c:v>
                </c:pt>
                <c:pt idx="100">
                  <c:v>45156</c:v>
                </c:pt>
                <c:pt idx="101">
                  <c:v>45155</c:v>
                </c:pt>
                <c:pt idx="102">
                  <c:v>45154</c:v>
                </c:pt>
                <c:pt idx="103">
                  <c:v>45153</c:v>
                </c:pt>
                <c:pt idx="104">
                  <c:v>45152</c:v>
                </c:pt>
                <c:pt idx="105">
                  <c:v>45149</c:v>
                </c:pt>
                <c:pt idx="106">
                  <c:v>45148</c:v>
                </c:pt>
                <c:pt idx="107">
                  <c:v>45147</c:v>
                </c:pt>
                <c:pt idx="108">
                  <c:v>45146</c:v>
                </c:pt>
                <c:pt idx="109">
                  <c:v>45145</c:v>
                </c:pt>
                <c:pt idx="110">
                  <c:v>45142</c:v>
                </c:pt>
                <c:pt idx="111">
                  <c:v>45141</c:v>
                </c:pt>
                <c:pt idx="112">
                  <c:v>45140</c:v>
                </c:pt>
                <c:pt idx="113">
                  <c:v>45138</c:v>
                </c:pt>
                <c:pt idx="114">
                  <c:v>45135</c:v>
                </c:pt>
                <c:pt idx="115">
                  <c:v>45134</c:v>
                </c:pt>
                <c:pt idx="116">
                  <c:v>45133</c:v>
                </c:pt>
                <c:pt idx="117">
                  <c:v>45132</c:v>
                </c:pt>
                <c:pt idx="118">
                  <c:v>45131</c:v>
                </c:pt>
                <c:pt idx="119">
                  <c:v>45128</c:v>
                </c:pt>
                <c:pt idx="120">
                  <c:v>45127</c:v>
                </c:pt>
                <c:pt idx="121">
                  <c:v>45126</c:v>
                </c:pt>
                <c:pt idx="122">
                  <c:v>45125</c:v>
                </c:pt>
                <c:pt idx="123">
                  <c:v>45124</c:v>
                </c:pt>
                <c:pt idx="124">
                  <c:v>45121</c:v>
                </c:pt>
                <c:pt idx="125">
                  <c:v>45120</c:v>
                </c:pt>
                <c:pt idx="126">
                  <c:v>45119</c:v>
                </c:pt>
                <c:pt idx="127">
                  <c:v>45118</c:v>
                </c:pt>
                <c:pt idx="128">
                  <c:v>45117</c:v>
                </c:pt>
                <c:pt idx="129">
                  <c:v>45114</c:v>
                </c:pt>
                <c:pt idx="130">
                  <c:v>45113</c:v>
                </c:pt>
                <c:pt idx="131">
                  <c:v>45112</c:v>
                </c:pt>
                <c:pt idx="132">
                  <c:v>45111</c:v>
                </c:pt>
                <c:pt idx="133">
                  <c:v>45105</c:v>
                </c:pt>
                <c:pt idx="134">
                  <c:v>45104</c:v>
                </c:pt>
                <c:pt idx="135">
                  <c:v>45103</c:v>
                </c:pt>
                <c:pt idx="136">
                  <c:v>45100</c:v>
                </c:pt>
                <c:pt idx="137">
                  <c:v>45099</c:v>
                </c:pt>
                <c:pt idx="138">
                  <c:v>45098</c:v>
                </c:pt>
                <c:pt idx="139">
                  <c:v>45097</c:v>
                </c:pt>
                <c:pt idx="140">
                  <c:v>45096</c:v>
                </c:pt>
                <c:pt idx="141">
                  <c:v>45093</c:v>
                </c:pt>
                <c:pt idx="142">
                  <c:v>45092</c:v>
                </c:pt>
                <c:pt idx="143">
                  <c:v>45091</c:v>
                </c:pt>
                <c:pt idx="144">
                  <c:v>45090</c:v>
                </c:pt>
                <c:pt idx="145">
                  <c:v>45089</c:v>
                </c:pt>
                <c:pt idx="146">
                  <c:v>45086</c:v>
                </c:pt>
                <c:pt idx="147">
                  <c:v>45085</c:v>
                </c:pt>
                <c:pt idx="148">
                  <c:v>45084</c:v>
                </c:pt>
                <c:pt idx="149">
                  <c:v>45083</c:v>
                </c:pt>
                <c:pt idx="150">
                  <c:v>45082</c:v>
                </c:pt>
                <c:pt idx="151">
                  <c:v>45079</c:v>
                </c:pt>
                <c:pt idx="152">
                  <c:v>45078</c:v>
                </c:pt>
                <c:pt idx="153">
                  <c:v>45077</c:v>
                </c:pt>
                <c:pt idx="154">
                  <c:v>45076</c:v>
                </c:pt>
                <c:pt idx="155">
                  <c:v>45075</c:v>
                </c:pt>
                <c:pt idx="156">
                  <c:v>45072</c:v>
                </c:pt>
                <c:pt idx="157">
                  <c:v>45071</c:v>
                </c:pt>
                <c:pt idx="158">
                  <c:v>45070</c:v>
                </c:pt>
                <c:pt idx="159">
                  <c:v>45069</c:v>
                </c:pt>
                <c:pt idx="160">
                  <c:v>45068</c:v>
                </c:pt>
                <c:pt idx="161">
                  <c:v>45065</c:v>
                </c:pt>
                <c:pt idx="162">
                  <c:v>45064</c:v>
                </c:pt>
                <c:pt idx="163">
                  <c:v>45063</c:v>
                </c:pt>
                <c:pt idx="164">
                  <c:v>45062</c:v>
                </c:pt>
                <c:pt idx="165">
                  <c:v>45061</c:v>
                </c:pt>
                <c:pt idx="166">
                  <c:v>45058</c:v>
                </c:pt>
                <c:pt idx="167">
                  <c:v>45057</c:v>
                </c:pt>
                <c:pt idx="168">
                  <c:v>45056</c:v>
                </c:pt>
                <c:pt idx="169">
                  <c:v>45055</c:v>
                </c:pt>
                <c:pt idx="170">
                  <c:v>45054</c:v>
                </c:pt>
                <c:pt idx="171">
                  <c:v>45050</c:v>
                </c:pt>
                <c:pt idx="172">
                  <c:v>45049</c:v>
                </c:pt>
                <c:pt idx="173">
                  <c:v>45048</c:v>
                </c:pt>
                <c:pt idx="174">
                  <c:v>45044</c:v>
                </c:pt>
                <c:pt idx="175">
                  <c:v>45043</c:v>
                </c:pt>
                <c:pt idx="176">
                  <c:v>45042</c:v>
                </c:pt>
                <c:pt idx="177">
                  <c:v>45041</c:v>
                </c:pt>
                <c:pt idx="178">
                  <c:v>45040</c:v>
                </c:pt>
                <c:pt idx="179">
                  <c:v>45037</c:v>
                </c:pt>
                <c:pt idx="180">
                  <c:v>45036</c:v>
                </c:pt>
                <c:pt idx="181">
                  <c:v>45035</c:v>
                </c:pt>
                <c:pt idx="182">
                  <c:v>45034</c:v>
                </c:pt>
                <c:pt idx="183">
                  <c:v>45033</c:v>
                </c:pt>
                <c:pt idx="184">
                  <c:v>45028</c:v>
                </c:pt>
                <c:pt idx="185">
                  <c:v>45027</c:v>
                </c:pt>
                <c:pt idx="186">
                  <c:v>45026</c:v>
                </c:pt>
                <c:pt idx="187">
                  <c:v>45022</c:v>
                </c:pt>
                <c:pt idx="188">
                  <c:v>45020</c:v>
                </c:pt>
                <c:pt idx="189">
                  <c:v>45019</c:v>
                </c:pt>
                <c:pt idx="190">
                  <c:v>45016</c:v>
                </c:pt>
                <c:pt idx="191">
                  <c:v>45015</c:v>
                </c:pt>
                <c:pt idx="192">
                  <c:v>45014</c:v>
                </c:pt>
                <c:pt idx="193">
                  <c:v>45013</c:v>
                </c:pt>
                <c:pt idx="194">
                  <c:v>45012</c:v>
                </c:pt>
                <c:pt idx="195">
                  <c:v>45009</c:v>
                </c:pt>
                <c:pt idx="196">
                  <c:v>45008</c:v>
                </c:pt>
                <c:pt idx="197">
                  <c:v>45007</c:v>
                </c:pt>
                <c:pt idx="198">
                  <c:v>45006</c:v>
                </c:pt>
                <c:pt idx="199">
                  <c:v>45005</c:v>
                </c:pt>
                <c:pt idx="200">
                  <c:v>45002</c:v>
                </c:pt>
                <c:pt idx="201">
                  <c:v>45001</c:v>
                </c:pt>
                <c:pt idx="202">
                  <c:v>45000</c:v>
                </c:pt>
                <c:pt idx="203">
                  <c:v>44999</c:v>
                </c:pt>
                <c:pt idx="204">
                  <c:v>44998</c:v>
                </c:pt>
                <c:pt idx="205">
                  <c:v>44995</c:v>
                </c:pt>
                <c:pt idx="206">
                  <c:v>44994</c:v>
                </c:pt>
                <c:pt idx="207">
                  <c:v>44993</c:v>
                </c:pt>
                <c:pt idx="208">
                  <c:v>44992</c:v>
                </c:pt>
                <c:pt idx="209">
                  <c:v>44988</c:v>
                </c:pt>
                <c:pt idx="210">
                  <c:v>44987</c:v>
                </c:pt>
                <c:pt idx="211">
                  <c:v>44986</c:v>
                </c:pt>
                <c:pt idx="212">
                  <c:v>44985</c:v>
                </c:pt>
                <c:pt idx="213">
                  <c:v>44984</c:v>
                </c:pt>
                <c:pt idx="214">
                  <c:v>44981</c:v>
                </c:pt>
                <c:pt idx="215">
                  <c:v>44980</c:v>
                </c:pt>
                <c:pt idx="216">
                  <c:v>44979</c:v>
                </c:pt>
                <c:pt idx="217">
                  <c:v>44978</c:v>
                </c:pt>
                <c:pt idx="218">
                  <c:v>44977</c:v>
                </c:pt>
                <c:pt idx="219">
                  <c:v>44974</c:v>
                </c:pt>
                <c:pt idx="220">
                  <c:v>44973</c:v>
                </c:pt>
                <c:pt idx="221">
                  <c:v>44972</c:v>
                </c:pt>
                <c:pt idx="222">
                  <c:v>44971</c:v>
                </c:pt>
                <c:pt idx="223">
                  <c:v>44970</c:v>
                </c:pt>
                <c:pt idx="224">
                  <c:v>44967</c:v>
                </c:pt>
                <c:pt idx="225">
                  <c:v>44966</c:v>
                </c:pt>
                <c:pt idx="226">
                  <c:v>44965</c:v>
                </c:pt>
                <c:pt idx="227">
                  <c:v>44964</c:v>
                </c:pt>
                <c:pt idx="228">
                  <c:v>44963</c:v>
                </c:pt>
                <c:pt idx="229">
                  <c:v>44960</c:v>
                </c:pt>
                <c:pt idx="230">
                  <c:v>44959</c:v>
                </c:pt>
                <c:pt idx="231">
                  <c:v>44958</c:v>
                </c:pt>
                <c:pt idx="232">
                  <c:v>44957</c:v>
                </c:pt>
                <c:pt idx="233">
                  <c:v>44956</c:v>
                </c:pt>
                <c:pt idx="234">
                  <c:v>44953</c:v>
                </c:pt>
                <c:pt idx="235">
                  <c:v>44952</c:v>
                </c:pt>
                <c:pt idx="236">
                  <c:v>44951</c:v>
                </c:pt>
                <c:pt idx="237">
                  <c:v>44950</c:v>
                </c:pt>
                <c:pt idx="238">
                  <c:v>44949</c:v>
                </c:pt>
                <c:pt idx="239">
                  <c:v>44946</c:v>
                </c:pt>
                <c:pt idx="240">
                  <c:v>44945</c:v>
                </c:pt>
                <c:pt idx="241">
                  <c:v>44944</c:v>
                </c:pt>
                <c:pt idx="242">
                  <c:v>44943</c:v>
                </c:pt>
                <c:pt idx="243">
                  <c:v>44939</c:v>
                </c:pt>
                <c:pt idx="244">
                  <c:v>44938</c:v>
                </c:pt>
                <c:pt idx="245">
                  <c:v>44937</c:v>
                </c:pt>
                <c:pt idx="246">
                  <c:v>44936</c:v>
                </c:pt>
                <c:pt idx="247">
                  <c:v>44935</c:v>
                </c:pt>
                <c:pt idx="248">
                  <c:v>44931</c:v>
                </c:pt>
                <c:pt idx="249">
                  <c:v>44930</c:v>
                </c:pt>
                <c:pt idx="250">
                  <c:v>44929</c:v>
                </c:pt>
                <c:pt idx="251">
                  <c:v>44928</c:v>
                </c:pt>
                <c:pt idx="252">
                  <c:v>44925</c:v>
                </c:pt>
                <c:pt idx="253">
                  <c:v>44924</c:v>
                </c:pt>
                <c:pt idx="254">
                  <c:v>44923</c:v>
                </c:pt>
                <c:pt idx="255">
                  <c:v>44922</c:v>
                </c:pt>
                <c:pt idx="256">
                  <c:v>44918</c:v>
                </c:pt>
                <c:pt idx="257">
                  <c:v>44917</c:v>
                </c:pt>
                <c:pt idx="258">
                  <c:v>44916</c:v>
                </c:pt>
                <c:pt idx="259">
                  <c:v>44915</c:v>
                </c:pt>
                <c:pt idx="260">
                  <c:v>44914</c:v>
                </c:pt>
                <c:pt idx="261">
                  <c:v>44911</c:v>
                </c:pt>
                <c:pt idx="262">
                  <c:v>44910</c:v>
                </c:pt>
                <c:pt idx="263">
                  <c:v>44909</c:v>
                </c:pt>
                <c:pt idx="264">
                  <c:v>44908</c:v>
                </c:pt>
                <c:pt idx="265">
                  <c:v>44907</c:v>
                </c:pt>
                <c:pt idx="266">
                  <c:v>44904</c:v>
                </c:pt>
                <c:pt idx="267">
                  <c:v>44903</c:v>
                </c:pt>
                <c:pt idx="268">
                  <c:v>44901</c:v>
                </c:pt>
                <c:pt idx="269">
                  <c:v>44900</c:v>
                </c:pt>
                <c:pt idx="270">
                  <c:v>44897</c:v>
                </c:pt>
                <c:pt idx="271">
                  <c:v>44896</c:v>
                </c:pt>
                <c:pt idx="272">
                  <c:v>44895</c:v>
                </c:pt>
                <c:pt idx="273">
                  <c:v>44894</c:v>
                </c:pt>
                <c:pt idx="274">
                  <c:v>44893</c:v>
                </c:pt>
                <c:pt idx="275">
                  <c:v>44890</c:v>
                </c:pt>
                <c:pt idx="276">
                  <c:v>44889</c:v>
                </c:pt>
                <c:pt idx="277">
                  <c:v>44888</c:v>
                </c:pt>
                <c:pt idx="278">
                  <c:v>44887</c:v>
                </c:pt>
                <c:pt idx="279">
                  <c:v>44886</c:v>
                </c:pt>
                <c:pt idx="280">
                  <c:v>44883</c:v>
                </c:pt>
                <c:pt idx="281">
                  <c:v>44882</c:v>
                </c:pt>
                <c:pt idx="282">
                  <c:v>44881</c:v>
                </c:pt>
                <c:pt idx="283">
                  <c:v>44880</c:v>
                </c:pt>
                <c:pt idx="284">
                  <c:v>44879</c:v>
                </c:pt>
                <c:pt idx="285">
                  <c:v>44876</c:v>
                </c:pt>
                <c:pt idx="286">
                  <c:v>44875</c:v>
                </c:pt>
                <c:pt idx="287">
                  <c:v>44874</c:v>
                </c:pt>
                <c:pt idx="288">
                  <c:v>44873</c:v>
                </c:pt>
                <c:pt idx="289">
                  <c:v>44869</c:v>
                </c:pt>
                <c:pt idx="290">
                  <c:v>44868</c:v>
                </c:pt>
                <c:pt idx="291">
                  <c:v>44867</c:v>
                </c:pt>
                <c:pt idx="292">
                  <c:v>44866</c:v>
                </c:pt>
                <c:pt idx="293">
                  <c:v>44865</c:v>
                </c:pt>
                <c:pt idx="294">
                  <c:v>44862</c:v>
                </c:pt>
                <c:pt idx="295">
                  <c:v>44861</c:v>
                </c:pt>
                <c:pt idx="296">
                  <c:v>44860</c:v>
                </c:pt>
                <c:pt idx="297">
                  <c:v>44859</c:v>
                </c:pt>
                <c:pt idx="298">
                  <c:v>44855</c:v>
                </c:pt>
                <c:pt idx="299">
                  <c:v>44854</c:v>
                </c:pt>
                <c:pt idx="300">
                  <c:v>44853</c:v>
                </c:pt>
                <c:pt idx="301">
                  <c:v>44852</c:v>
                </c:pt>
                <c:pt idx="302">
                  <c:v>44851</c:v>
                </c:pt>
                <c:pt idx="303">
                  <c:v>44848</c:v>
                </c:pt>
                <c:pt idx="304">
                  <c:v>44847</c:v>
                </c:pt>
                <c:pt idx="305">
                  <c:v>44846</c:v>
                </c:pt>
                <c:pt idx="306">
                  <c:v>44845</c:v>
                </c:pt>
                <c:pt idx="307">
                  <c:v>44841</c:v>
                </c:pt>
                <c:pt idx="308">
                  <c:v>44840</c:v>
                </c:pt>
                <c:pt idx="309">
                  <c:v>44839</c:v>
                </c:pt>
                <c:pt idx="310">
                  <c:v>44838</c:v>
                </c:pt>
                <c:pt idx="311">
                  <c:v>44837</c:v>
                </c:pt>
                <c:pt idx="312">
                  <c:v>44834</c:v>
                </c:pt>
                <c:pt idx="313">
                  <c:v>44833</c:v>
                </c:pt>
                <c:pt idx="314">
                  <c:v>44832</c:v>
                </c:pt>
                <c:pt idx="315">
                  <c:v>44831</c:v>
                </c:pt>
                <c:pt idx="316">
                  <c:v>44830</c:v>
                </c:pt>
                <c:pt idx="317">
                  <c:v>44827</c:v>
                </c:pt>
                <c:pt idx="318">
                  <c:v>44826</c:v>
                </c:pt>
                <c:pt idx="319">
                  <c:v>44825</c:v>
                </c:pt>
                <c:pt idx="320">
                  <c:v>44824</c:v>
                </c:pt>
                <c:pt idx="321">
                  <c:v>44823</c:v>
                </c:pt>
                <c:pt idx="322">
                  <c:v>44820</c:v>
                </c:pt>
                <c:pt idx="323">
                  <c:v>44819</c:v>
                </c:pt>
                <c:pt idx="324">
                  <c:v>44818</c:v>
                </c:pt>
                <c:pt idx="325">
                  <c:v>44817</c:v>
                </c:pt>
                <c:pt idx="326">
                  <c:v>44816</c:v>
                </c:pt>
                <c:pt idx="327">
                  <c:v>44813</c:v>
                </c:pt>
                <c:pt idx="328">
                  <c:v>44812</c:v>
                </c:pt>
                <c:pt idx="329">
                  <c:v>44811</c:v>
                </c:pt>
                <c:pt idx="330">
                  <c:v>44810</c:v>
                </c:pt>
                <c:pt idx="331">
                  <c:v>44809</c:v>
                </c:pt>
                <c:pt idx="332">
                  <c:v>44806</c:v>
                </c:pt>
                <c:pt idx="333">
                  <c:v>44805</c:v>
                </c:pt>
                <c:pt idx="334">
                  <c:v>44804</c:v>
                </c:pt>
                <c:pt idx="335">
                  <c:v>44803</c:v>
                </c:pt>
                <c:pt idx="336">
                  <c:v>44802</c:v>
                </c:pt>
                <c:pt idx="337">
                  <c:v>44799</c:v>
                </c:pt>
                <c:pt idx="338">
                  <c:v>44798</c:v>
                </c:pt>
                <c:pt idx="339">
                  <c:v>44797</c:v>
                </c:pt>
                <c:pt idx="340">
                  <c:v>44796</c:v>
                </c:pt>
                <c:pt idx="341">
                  <c:v>44795</c:v>
                </c:pt>
                <c:pt idx="342">
                  <c:v>44792</c:v>
                </c:pt>
                <c:pt idx="343">
                  <c:v>44791</c:v>
                </c:pt>
                <c:pt idx="344">
                  <c:v>44790</c:v>
                </c:pt>
                <c:pt idx="345">
                  <c:v>44789</c:v>
                </c:pt>
                <c:pt idx="346">
                  <c:v>44788</c:v>
                </c:pt>
                <c:pt idx="347">
                  <c:v>44785</c:v>
                </c:pt>
                <c:pt idx="348">
                  <c:v>44783</c:v>
                </c:pt>
                <c:pt idx="349">
                  <c:v>44782</c:v>
                </c:pt>
                <c:pt idx="350">
                  <c:v>44781</c:v>
                </c:pt>
                <c:pt idx="351">
                  <c:v>44778</c:v>
                </c:pt>
                <c:pt idx="352">
                  <c:v>44777</c:v>
                </c:pt>
                <c:pt idx="353">
                  <c:v>44776</c:v>
                </c:pt>
                <c:pt idx="354">
                  <c:v>44775</c:v>
                </c:pt>
                <c:pt idx="355">
                  <c:v>44774</c:v>
                </c:pt>
                <c:pt idx="356">
                  <c:v>44771</c:v>
                </c:pt>
                <c:pt idx="357">
                  <c:v>44770</c:v>
                </c:pt>
                <c:pt idx="358">
                  <c:v>44769</c:v>
                </c:pt>
                <c:pt idx="359">
                  <c:v>44768</c:v>
                </c:pt>
                <c:pt idx="360">
                  <c:v>44767</c:v>
                </c:pt>
                <c:pt idx="361">
                  <c:v>44764</c:v>
                </c:pt>
                <c:pt idx="362">
                  <c:v>44763</c:v>
                </c:pt>
                <c:pt idx="363">
                  <c:v>44762</c:v>
                </c:pt>
                <c:pt idx="364">
                  <c:v>44761</c:v>
                </c:pt>
                <c:pt idx="365">
                  <c:v>44760</c:v>
                </c:pt>
                <c:pt idx="366">
                  <c:v>44757</c:v>
                </c:pt>
                <c:pt idx="367">
                  <c:v>44756</c:v>
                </c:pt>
                <c:pt idx="368">
                  <c:v>44754</c:v>
                </c:pt>
                <c:pt idx="369">
                  <c:v>44753</c:v>
                </c:pt>
                <c:pt idx="370">
                  <c:v>44750</c:v>
                </c:pt>
                <c:pt idx="371">
                  <c:v>44749</c:v>
                </c:pt>
                <c:pt idx="372">
                  <c:v>44748</c:v>
                </c:pt>
                <c:pt idx="373">
                  <c:v>44747</c:v>
                </c:pt>
                <c:pt idx="374">
                  <c:v>44746</c:v>
                </c:pt>
                <c:pt idx="375">
                  <c:v>44743</c:v>
                </c:pt>
                <c:pt idx="376">
                  <c:v>44742</c:v>
                </c:pt>
                <c:pt idx="377">
                  <c:v>44741</c:v>
                </c:pt>
                <c:pt idx="378">
                  <c:v>44740</c:v>
                </c:pt>
                <c:pt idx="379">
                  <c:v>44739</c:v>
                </c:pt>
                <c:pt idx="380">
                  <c:v>44736</c:v>
                </c:pt>
                <c:pt idx="381">
                  <c:v>44735</c:v>
                </c:pt>
                <c:pt idx="382">
                  <c:v>44734</c:v>
                </c:pt>
                <c:pt idx="383">
                  <c:v>44733</c:v>
                </c:pt>
                <c:pt idx="384">
                  <c:v>44732</c:v>
                </c:pt>
                <c:pt idx="385">
                  <c:v>44729</c:v>
                </c:pt>
                <c:pt idx="386">
                  <c:v>44728</c:v>
                </c:pt>
                <c:pt idx="387">
                  <c:v>44727</c:v>
                </c:pt>
                <c:pt idx="388">
                  <c:v>44725</c:v>
                </c:pt>
                <c:pt idx="389">
                  <c:v>44722</c:v>
                </c:pt>
                <c:pt idx="390">
                  <c:v>44721</c:v>
                </c:pt>
                <c:pt idx="391">
                  <c:v>44720</c:v>
                </c:pt>
                <c:pt idx="392">
                  <c:v>44719</c:v>
                </c:pt>
                <c:pt idx="393">
                  <c:v>44718</c:v>
                </c:pt>
                <c:pt idx="394">
                  <c:v>44715</c:v>
                </c:pt>
                <c:pt idx="395">
                  <c:v>44714</c:v>
                </c:pt>
                <c:pt idx="396">
                  <c:v>44713</c:v>
                </c:pt>
                <c:pt idx="397">
                  <c:v>44712</c:v>
                </c:pt>
                <c:pt idx="398">
                  <c:v>44711</c:v>
                </c:pt>
                <c:pt idx="399">
                  <c:v>44708</c:v>
                </c:pt>
                <c:pt idx="400">
                  <c:v>44707</c:v>
                </c:pt>
                <c:pt idx="401">
                  <c:v>44706</c:v>
                </c:pt>
                <c:pt idx="402">
                  <c:v>44705</c:v>
                </c:pt>
                <c:pt idx="403">
                  <c:v>44704</c:v>
                </c:pt>
                <c:pt idx="404">
                  <c:v>44701</c:v>
                </c:pt>
                <c:pt idx="405">
                  <c:v>44700</c:v>
                </c:pt>
                <c:pt idx="406">
                  <c:v>44699</c:v>
                </c:pt>
                <c:pt idx="407">
                  <c:v>44698</c:v>
                </c:pt>
                <c:pt idx="408">
                  <c:v>44694</c:v>
                </c:pt>
                <c:pt idx="409">
                  <c:v>44693</c:v>
                </c:pt>
                <c:pt idx="410">
                  <c:v>44690</c:v>
                </c:pt>
                <c:pt idx="411">
                  <c:v>44687</c:v>
                </c:pt>
                <c:pt idx="412">
                  <c:v>44686</c:v>
                </c:pt>
                <c:pt idx="413">
                  <c:v>44685</c:v>
                </c:pt>
                <c:pt idx="414">
                  <c:v>44680</c:v>
                </c:pt>
                <c:pt idx="415">
                  <c:v>44679</c:v>
                </c:pt>
                <c:pt idx="416">
                  <c:v>44678</c:v>
                </c:pt>
                <c:pt idx="417">
                  <c:v>44677</c:v>
                </c:pt>
                <c:pt idx="418">
                  <c:v>44676</c:v>
                </c:pt>
                <c:pt idx="419">
                  <c:v>44659</c:v>
                </c:pt>
                <c:pt idx="420">
                  <c:v>44658</c:v>
                </c:pt>
                <c:pt idx="421">
                  <c:v>44657</c:v>
                </c:pt>
                <c:pt idx="422">
                  <c:v>44656</c:v>
                </c:pt>
                <c:pt idx="423">
                  <c:v>44655</c:v>
                </c:pt>
                <c:pt idx="424">
                  <c:v>44652</c:v>
                </c:pt>
                <c:pt idx="425">
                  <c:v>44651</c:v>
                </c:pt>
                <c:pt idx="426">
                  <c:v>44650</c:v>
                </c:pt>
                <c:pt idx="427">
                  <c:v>44649</c:v>
                </c:pt>
                <c:pt idx="428">
                  <c:v>44648</c:v>
                </c:pt>
                <c:pt idx="429">
                  <c:v>44645</c:v>
                </c:pt>
                <c:pt idx="430">
                  <c:v>44644</c:v>
                </c:pt>
                <c:pt idx="431">
                  <c:v>44643</c:v>
                </c:pt>
                <c:pt idx="432">
                  <c:v>44642</c:v>
                </c:pt>
                <c:pt idx="433">
                  <c:v>44641</c:v>
                </c:pt>
                <c:pt idx="434">
                  <c:v>44638</c:v>
                </c:pt>
                <c:pt idx="435">
                  <c:v>44636</c:v>
                </c:pt>
                <c:pt idx="436">
                  <c:v>44635</c:v>
                </c:pt>
                <c:pt idx="437">
                  <c:v>44634</c:v>
                </c:pt>
                <c:pt idx="438">
                  <c:v>44631</c:v>
                </c:pt>
                <c:pt idx="439">
                  <c:v>44630</c:v>
                </c:pt>
                <c:pt idx="440">
                  <c:v>44629</c:v>
                </c:pt>
                <c:pt idx="441">
                  <c:v>44628</c:v>
                </c:pt>
                <c:pt idx="442">
                  <c:v>44627</c:v>
                </c:pt>
                <c:pt idx="443">
                  <c:v>44624</c:v>
                </c:pt>
                <c:pt idx="444">
                  <c:v>44623</c:v>
                </c:pt>
                <c:pt idx="445">
                  <c:v>44622</c:v>
                </c:pt>
                <c:pt idx="446">
                  <c:v>44620</c:v>
                </c:pt>
                <c:pt idx="447">
                  <c:v>44617</c:v>
                </c:pt>
                <c:pt idx="448">
                  <c:v>44616</c:v>
                </c:pt>
                <c:pt idx="449">
                  <c:v>44615</c:v>
                </c:pt>
                <c:pt idx="450">
                  <c:v>44614</c:v>
                </c:pt>
                <c:pt idx="451">
                  <c:v>44613</c:v>
                </c:pt>
                <c:pt idx="452">
                  <c:v>44610</c:v>
                </c:pt>
                <c:pt idx="453">
                  <c:v>44609</c:v>
                </c:pt>
                <c:pt idx="454">
                  <c:v>44607</c:v>
                </c:pt>
                <c:pt idx="455">
                  <c:v>44606</c:v>
                </c:pt>
                <c:pt idx="456">
                  <c:v>44603</c:v>
                </c:pt>
                <c:pt idx="457">
                  <c:v>44602</c:v>
                </c:pt>
                <c:pt idx="458">
                  <c:v>44601</c:v>
                </c:pt>
                <c:pt idx="459">
                  <c:v>44600</c:v>
                </c:pt>
                <c:pt idx="460">
                  <c:v>44599</c:v>
                </c:pt>
                <c:pt idx="461">
                  <c:v>44595</c:v>
                </c:pt>
                <c:pt idx="462">
                  <c:v>44594</c:v>
                </c:pt>
                <c:pt idx="463">
                  <c:v>44593</c:v>
                </c:pt>
                <c:pt idx="464">
                  <c:v>44592</c:v>
                </c:pt>
                <c:pt idx="465">
                  <c:v>44589</c:v>
                </c:pt>
                <c:pt idx="466">
                  <c:v>44588</c:v>
                </c:pt>
                <c:pt idx="467">
                  <c:v>44587</c:v>
                </c:pt>
                <c:pt idx="468">
                  <c:v>44586</c:v>
                </c:pt>
                <c:pt idx="469">
                  <c:v>44585</c:v>
                </c:pt>
                <c:pt idx="470">
                  <c:v>44582</c:v>
                </c:pt>
                <c:pt idx="471">
                  <c:v>44581</c:v>
                </c:pt>
                <c:pt idx="472">
                  <c:v>44580</c:v>
                </c:pt>
                <c:pt idx="473">
                  <c:v>44579</c:v>
                </c:pt>
                <c:pt idx="474">
                  <c:v>44574</c:v>
                </c:pt>
                <c:pt idx="475">
                  <c:v>44573</c:v>
                </c:pt>
                <c:pt idx="476">
                  <c:v>44572</c:v>
                </c:pt>
                <c:pt idx="477">
                  <c:v>44571</c:v>
                </c:pt>
                <c:pt idx="478">
                  <c:v>44568</c:v>
                </c:pt>
                <c:pt idx="479">
                  <c:v>44567</c:v>
                </c:pt>
                <c:pt idx="480">
                  <c:v>44566</c:v>
                </c:pt>
                <c:pt idx="481">
                  <c:v>44565</c:v>
                </c:pt>
                <c:pt idx="482">
                  <c:v>44564</c:v>
                </c:pt>
                <c:pt idx="483">
                  <c:v>44561</c:v>
                </c:pt>
                <c:pt idx="484">
                  <c:v>44560</c:v>
                </c:pt>
                <c:pt idx="485">
                  <c:v>44559</c:v>
                </c:pt>
                <c:pt idx="486">
                  <c:v>44558</c:v>
                </c:pt>
                <c:pt idx="487">
                  <c:v>44557</c:v>
                </c:pt>
                <c:pt idx="488">
                  <c:v>44554</c:v>
                </c:pt>
                <c:pt idx="489">
                  <c:v>44553</c:v>
                </c:pt>
                <c:pt idx="490">
                  <c:v>44552</c:v>
                </c:pt>
                <c:pt idx="491">
                  <c:v>44551</c:v>
                </c:pt>
                <c:pt idx="492">
                  <c:v>44550</c:v>
                </c:pt>
                <c:pt idx="493">
                  <c:v>44547</c:v>
                </c:pt>
                <c:pt idx="494">
                  <c:v>44546</c:v>
                </c:pt>
                <c:pt idx="495">
                  <c:v>44545</c:v>
                </c:pt>
                <c:pt idx="496">
                  <c:v>44544</c:v>
                </c:pt>
                <c:pt idx="497">
                  <c:v>44543</c:v>
                </c:pt>
                <c:pt idx="498">
                  <c:v>44540</c:v>
                </c:pt>
                <c:pt idx="499">
                  <c:v>44539</c:v>
                </c:pt>
                <c:pt idx="500">
                  <c:v>44538</c:v>
                </c:pt>
                <c:pt idx="501">
                  <c:v>44537</c:v>
                </c:pt>
                <c:pt idx="502">
                  <c:v>44536</c:v>
                </c:pt>
                <c:pt idx="503">
                  <c:v>44533</c:v>
                </c:pt>
                <c:pt idx="504">
                  <c:v>44532</c:v>
                </c:pt>
                <c:pt idx="505">
                  <c:v>44531</c:v>
                </c:pt>
                <c:pt idx="506">
                  <c:v>44530</c:v>
                </c:pt>
                <c:pt idx="507">
                  <c:v>44529</c:v>
                </c:pt>
                <c:pt idx="508">
                  <c:v>44526</c:v>
                </c:pt>
                <c:pt idx="509">
                  <c:v>44525</c:v>
                </c:pt>
                <c:pt idx="510">
                  <c:v>44524</c:v>
                </c:pt>
                <c:pt idx="511">
                  <c:v>44523</c:v>
                </c:pt>
                <c:pt idx="512">
                  <c:v>44522</c:v>
                </c:pt>
                <c:pt idx="513">
                  <c:v>44519</c:v>
                </c:pt>
                <c:pt idx="514">
                  <c:v>44517</c:v>
                </c:pt>
                <c:pt idx="515">
                  <c:v>44516</c:v>
                </c:pt>
                <c:pt idx="516">
                  <c:v>44515</c:v>
                </c:pt>
                <c:pt idx="517">
                  <c:v>44512</c:v>
                </c:pt>
                <c:pt idx="518">
                  <c:v>44511</c:v>
                </c:pt>
                <c:pt idx="519">
                  <c:v>44510</c:v>
                </c:pt>
                <c:pt idx="520">
                  <c:v>44509</c:v>
                </c:pt>
                <c:pt idx="521">
                  <c:v>44508</c:v>
                </c:pt>
                <c:pt idx="522">
                  <c:v>44505</c:v>
                </c:pt>
                <c:pt idx="523">
                  <c:v>44503</c:v>
                </c:pt>
                <c:pt idx="524">
                  <c:v>44502</c:v>
                </c:pt>
                <c:pt idx="525">
                  <c:v>44501</c:v>
                </c:pt>
                <c:pt idx="526">
                  <c:v>44498</c:v>
                </c:pt>
                <c:pt idx="527">
                  <c:v>44497</c:v>
                </c:pt>
                <c:pt idx="528">
                  <c:v>44496</c:v>
                </c:pt>
                <c:pt idx="529">
                  <c:v>44495</c:v>
                </c:pt>
                <c:pt idx="530">
                  <c:v>44494</c:v>
                </c:pt>
                <c:pt idx="531">
                  <c:v>44491</c:v>
                </c:pt>
                <c:pt idx="532">
                  <c:v>44490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44477</c:v>
                </c:pt>
                <c:pt idx="540">
                  <c:v>44476</c:v>
                </c:pt>
                <c:pt idx="541">
                  <c:v>44475</c:v>
                </c:pt>
                <c:pt idx="542">
                  <c:v>44474</c:v>
                </c:pt>
                <c:pt idx="543">
                  <c:v>44473</c:v>
                </c:pt>
                <c:pt idx="544">
                  <c:v>44470</c:v>
                </c:pt>
                <c:pt idx="545">
                  <c:v>44469</c:v>
                </c:pt>
                <c:pt idx="546">
                  <c:v>44468</c:v>
                </c:pt>
                <c:pt idx="547">
                  <c:v>44467</c:v>
                </c:pt>
                <c:pt idx="548">
                  <c:v>44466</c:v>
                </c:pt>
                <c:pt idx="549">
                  <c:v>44463</c:v>
                </c:pt>
                <c:pt idx="550">
                  <c:v>44462</c:v>
                </c:pt>
                <c:pt idx="551">
                  <c:v>44461</c:v>
                </c:pt>
                <c:pt idx="552">
                  <c:v>44460</c:v>
                </c:pt>
                <c:pt idx="553">
                  <c:v>44456</c:v>
                </c:pt>
                <c:pt idx="554">
                  <c:v>44455</c:v>
                </c:pt>
                <c:pt idx="555">
                  <c:v>44454</c:v>
                </c:pt>
                <c:pt idx="556">
                  <c:v>44453</c:v>
                </c:pt>
                <c:pt idx="557">
                  <c:v>44452</c:v>
                </c:pt>
                <c:pt idx="558">
                  <c:v>44449</c:v>
                </c:pt>
                <c:pt idx="559">
                  <c:v>44448</c:v>
                </c:pt>
                <c:pt idx="560">
                  <c:v>44447</c:v>
                </c:pt>
                <c:pt idx="561">
                  <c:v>44446</c:v>
                </c:pt>
                <c:pt idx="562">
                  <c:v>44445</c:v>
                </c:pt>
                <c:pt idx="563">
                  <c:v>44442</c:v>
                </c:pt>
                <c:pt idx="564">
                  <c:v>44441</c:v>
                </c:pt>
                <c:pt idx="565">
                  <c:v>44440</c:v>
                </c:pt>
                <c:pt idx="566">
                  <c:v>44439</c:v>
                </c:pt>
                <c:pt idx="567">
                  <c:v>44438</c:v>
                </c:pt>
                <c:pt idx="568">
                  <c:v>44435</c:v>
                </c:pt>
                <c:pt idx="569">
                  <c:v>44434</c:v>
                </c:pt>
                <c:pt idx="570">
                  <c:v>44433</c:v>
                </c:pt>
                <c:pt idx="571">
                  <c:v>44432</c:v>
                </c:pt>
                <c:pt idx="572">
                  <c:v>44431</c:v>
                </c:pt>
                <c:pt idx="573">
                  <c:v>44428</c:v>
                </c:pt>
                <c:pt idx="574">
                  <c:v>44427</c:v>
                </c:pt>
                <c:pt idx="575">
                  <c:v>44426</c:v>
                </c:pt>
                <c:pt idx="576">
                  <c:v>44425</c:v>
                </c:pt>
                <c:pt idx="577">
                  <c:v>44424</c:v>
                </c:pt>
                <c:pt idx="578">
                  <c:v>44421</c:v>
                </c:pt>
                <c:pt idx="579">
                  <c:v>44420</c:v>
                </c:pt>
                <c:pt idx="580">
                  <c:v>44419</c:v>
                </c:pt>
                <c:pt idx="581">
                  <c:v>44418</c:v>
                </c:pt>
                <c:pt idx="582">
                  <c:v>44417</c:v>
                </c:pt>
                <c:pt idx="583">
                  <c:v>44414</c:v>
                </c:pt>
                <c:pt idx="584">
                  <c:v>44413</c:v>
                </c:pt>
                <c:pt idx="585">
                  <c:v>44412</c:v>
                </c:pt>
                <c:pt idx="586">
                  <c:v>44411</c:v>
                </c:pt>
                <c:pt idx="587">
                  <c:v>44410</c:v>
                </c:pt>
                <c:pt idx="588">
                  <c:v>44407</c:v>
                </c:pt>
                <c:pt idx="589">
                  <c:v>44406</c:v>
                </c:pt>
                <c:pt idx="590">
                  <c:v>44405</c:v>
                </c:pt>
                <c:pt idx="591">
                  <c:v>44404</c:v>
                </c:pt>
                <c:pt idx="592">
                  <c:v>44403</c:v>
                </c:pt>
                <c:pt idx="593">
                  <c:v>44399</c:v>
                </c:pt>
                <c:pt idx="594">
                  <c:v>44397</c:v>
                </c:pt>
                <c:pt idx="595">
                  <c:v>44396</c:v>
                </c:pt>
                <c:pt idx="596">
                  <c:v>44393</c:v>
                </c:pt>
                <c:pt idx="597">
                  <c:v>44392</c:v>
                </c:pt>
                <c:pt idx="598">
                  <c:v>44391</c:v>
                </c:pt>
                <c:pt idx="599">
                  <c:v>44390</c:v>
                </c:pt>
                <c:pt idx="600">
                  <c:v>44389</c:v>
                </c:pt>
                <c:pt idx="601">
                  <c:v>44386</c:v>
                </c:pt>
                <c:pt idx="602">
                  <c:v>44385</c:v>
                </c:pt>
                <c:pt idx="603">
                  <c:v>44384</c:v>
                </c:pt>
                <c:pt idx="604">
                  <c:v>44383</c:v>
                </c:pt>
                <c:pt idx="605">
                  <c:v>44382</c:v>
                </c:pt>
                <c:pt idx="606">
                  <c:v>44379</c:v>
                </c:pt>
                <c:pt idx="607">
                  <c:v>44378</c:v>
                </c:pt>
                <c:pt idx="608">
                  <c:v>44377</c:v>
                </c:pt>
                <c:pt idx="609">
                  <c:v>44376</c:v>
                </c:pt>
                <c:pt idx="610">
                  <c:v>44375</c:v>
                </c:pt>
                <c:pt idx="611">
                  <c:v>44372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44361</c:v>
                </c:pt>
                <c:pt idx="620">
                  <c:v>44358</c:v>
                </c:pt>
                <c:pt idx="621">
                  <c:v>44357</c:v>
                </c:pt>
                <c:pt idx="622">
                  <c:v>44356</c:v>
                </c:pt>
                <c:pt idx="623">
                  <c:v>44355</c:v>
                </c:pt>
                <c:pt idx="624">
                  <c:v>44354</c:v>
                </c:pt>
                <c:pt idx="625">
                  <c:v>44351</c:v>
                </c:pt>
                <c:pt idx="626">
                  <c:v>44350</c:v>
                </c:pt>
                <c:pt idx="627">
                  <c:v>44349</c:v>
                </c:pt>
                <c:pt idx="628">
                  <c:v>44348</c:v>
                </c:pt>
                <c:pt idx="629">
                  <c:v>44347</c:v>
                </c:pt>
                <c:pt idx="630">
                  <c:v>44344</c:v>
                </c:pt>
                <c:pt idx="631">
                  <c:v>44341</c:v>
                </c:pt>
                <c:pt idx="632">
                  <c:v>44340</c:v>
                </c:pt>
                <c:pt idx="633">
                  <c:v>44337</c:v>
                </c:pt>
                <c:pt idx="634">
                  <c:v>44336</c:v>
                </c:pt>
                <c:pt idx="635">
                  <c:v>44335</c:v>
                </c:pt>
                <c:pt idx="636">
                  <c:v>44334</c:v>
                </c:pt>
                <c:pt idx="637">
                  <c:v>44333</c:v>
                </c:pt>
                <c:pt idx="638">
                  <c:v>44329</c:v>
                </c:pt>
                <c:pt idx="639">
                  <c:v>44328</c:v>
                </c:pt>
                <c:pt idx="640">
                  <c:v>44327</c:v>
                </c:pt>
                <c:pt idx="641">
                  <c:v>44326</c:v>
                </c:pt>
                <c:pt idx="642">
                  <c:v>44323</c:v>
                </c:pt>
                <c:pt idx="643">
                  <c:v>44322</c:v>
                </c:pt>
                <c:pt idx="644">
                  <c:v>44321</c:v>
                </c:pt>
                <c:pt idx="645">
                  <c:v>44320</c:v>
                </c:pt>
                <c:pt idx="646">
                  <c:v>44319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44309</c:v>
                </c:pt>
                <c:pt idx="652">
                  <c:v>44308</c:v>
                </c:pt>
                <c:pt idx="653">
                  <c:v>44307</c:v>
                </c:pt>
                <c:pt idx="654">
                  <c:v>44306</c:v>
                </c:pt>
                <c:pt idx="655">
                  <c:v>44305</c:v>
                </c:pt>
                <c:pt idx="656">
                  <c:v>44302</c:v>
                </c:pt>
                <c:pt idx="657">
                  <c:v>44301</c:v>
                </c:pt>
                <c:pt idx="658">
                  <c:v>44298</c:v>
                </c:pt>
                <c:pt idx="659">
                  <c:v>44295</c:v>
                </c:pt>
                <c:pt idx="660">
                  <c:v>44294</c:v>
                </c:pt>
                <c:pt idx="661">
                  <c:v>44293</c:v>
                </c:pt>
                <c:pt idx="662">
                  <c:v>44292</c:v>
                </c:pt>
                <c:pt idx="663">
                  <c:v>44291</c:v>
                </c:pt>
                <c:pt idx="664">
                  <c:v>44287</c:v>
                </c:pt>
                <c:pt idx="665">
                  <c:v>44286</c:v>
                </c:pt>
                <c:pt idx="666">
                  <c:v>44285</c:v>
                </c:pt>
                <c:pt idx="667">
                  <c:v>44284</c:v>
                </c:pt>
                <c:pt idx="668">
                  <c:v>44281</c:v>
                </c:pt>
                <c:pt idx="669">
                  <c:v>44280</c:v>
                </c:pt>
                <c:pt idx="670">
                  <c:v>44279</c:v>
                </c:pt>
                <c:pt idx="671">
                  <c:v>44278</c:v>
                </c:pt>
                <c:pt idx="672">
                  <c:v>44277</c:v>
                </c:pt>
                <c:pt idx="673">
                  <c:v>44274</c:v>
                </c:pt>
                <c:pt idx="674">
                  <c:v>44273</c:v>
                </c:pt>
                <c:pt idx="675">
                  <c:v>44272</c:v>
                </c:pt>
                <c:pt idx="676">
                  <c:v>44271</c:v>
                </c:pt>
                <c:pt idx="677">
                  <c:v>44270</c:v>
                </c:pt>
                <c:pt idx="678">
                  <c:v>44267</c:v>
                </c:pt>
                <c:pt idx="679">
                  <c:v>44265</c:v>
                </c:pt>
                <c:pt idx="680">
                  <c:v>44264</c:v>
                </c:pt>
                <c:pt idx="681">
                  <c:v>44263</c:v>
                </c:pt>
                <c:pt idx="682">
                  <c:v>44260</c:v>
                </c:pt>
                <c:pt idx="683">
                  <c:v>44259</c:v>
                </c:pt>
                <c:pt idx="684">
                  <c:v>44258</c:v>
                </c:pt>
                <c:pt idx="685">
                  <c:v>44257</c:v>
                </c:pt>
                <c:pt idx="686">
                  <c:v>44256</c:v>
                </c:pt>
                <c:pt idx="687">
                  <c:v>44252</c:v>
                </c:pt>
                <c:pt idx="688">
                  <c:v>44251</c:v>
                </c:pt>
                <c:pt idx="689">
                  <c:v>44250</c:v>
                </c:pt>
                <c:pt idx="690">
                  <c:v>44249</c:v>
                </c:pt>
                <c:pt idx="691">
                  <c:v>44246</c:v>
                </c:pt>
                <c:pt idx="692">
                  <c:v>44245</c:v>
                </c:pt>
                <c:pt idx="693">
                  <c:v>44244</c:v>
                </c:pt>
                <c:pt idx="694">
                  <c:v>44243</c:v>
                </c:pt>
                <c:pt idx="695">
                  <c:v>44242</c:v>
                </c:pt>
                <c:pt idx="696">
                  <c:v>44239</c:v>
                </c:pt>
                <c:pt idx="697">
                  <c:v>44238</c:v>
                </c:pt>
                <c:pt idx="698">
                  <c:v>44237</c:v>
                </c:pt>
                <c:pt idx="699">
                  <c:v>44236</c:v>
                </c:pt>
                <c:pt idx="700">
                  <c:v>44235</c:v>
                </c:pt>
                <c:pt idx="701">
                  <c:v>44232</c:v>
                </c:pt>
                <c:pt idx="702">
                  <c:v>44230</c:v>
                </c:pt>
                <c:pt idx="703">
                  <c:v>44229</c:v>
                </c:pt>
                <c:pt idx="704">
                  <c:v>44228</c:v>
                </c:pt>
                <c:pt idx="705">
                  <c:v>44225</c:v>
                </c:pt>
                <c:pt idx="706">
                  <c:v>44223</c:v>
                </c:pt>
                <c:pt idx="707">
                  <c:v>44222</c:v>
                </c:pt>
                <c:pt idx="708">
                  <c:v>44221</c:v>
                </c:pt>
                <c:pt idx="709">
                  <c:v>44218</c:v>
                </c:pt>
                <c:pt idx="710">
                  <c:v>44217</c:v>
                </c:pt>
                <c:pt idx="711">
                  <c:v>44216</c:v>
                </c:pt>
                <c:pt idx="712">
                  <c:v>44215</c:v>
                </c:pt>
                <c:pt idx="713">
                  <c:v>44214</c:v>
                </c:pt>
                <c:pt idx="714">
                  <c:v>44211</c:v>
                </c:pt>
                <c:pt idx="715">
                  <c:v>44209</c:v>
                </c:pt>
                <c:pt idx="716">
                  <c:v>44208</c:v>
                </c:pt>
                <c:pt idx="717">
                  <c:v>44207</c:v>
                </c:pt>
                <c:pt idx="718">
                  <c:v>44204</c:v>
                </c:pt>
                <c:pt idx="719">
                  <c:v>44203</c:v>
                </c:pt>
                <c:pt idx="720">
                  <c:v>44202</c:v>
                </c:pt>
                <c:pt idx="721">
                  <c:v>44201</c:v>
                </c:pt>
                <c:pt idx="722">
                  <c:v>44200</c:v>
                </c:pt>
              </c:numCache>
            </c:numRef>
          </c:cat>
          <c:val>
            <c:numRef>
              <c:f>'Price volume'!$C$4:$C$725</c:f>
            </c:numRef>
          </c:val>
          <c:smooth val="0"/>
          <c:extLst>
            <c:ext xmlns:c16="http://schemas.microsoft.com/office/drawing/2014/chart" uri="{C3380CC4-5D6E-409C-BE32-E72D297353CC}">
              <c16:uniqueId val="{00000001-908F-4BD6-A328-2AF6745D63C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'Price volume'!$A$3:$A$725</c:f>
              <c:numCache>
                <c:formatCode>m/d/yyyy</c:formatCode>
                <c:ptCount val="723"/>
                <c:pt idx="0">
                  <c:v>45307</c:v>
                </c:pt>
                <c:pt idx="1">
                  <c:v>45302</c:v>
                </c:pt>
                <c:pt idx="2">
                  <c:v>45301</c:v>
                </c:pt>
                <c:pt idx="3">
                  <c:v>45300</c:v>
                </c:pt>
                <c:pt idx="4">
                  <c:v>45299</c:v>
                </c:pt>
                <c:pt idx="5">
                  <c:v>45296</c:v>
                </c:pt>
                <c:pt idx="6">
                  <c:v>45295</c:v>
                </c:pt>
                <c:pt idx="7">
                  <c:v>45294</c:v>
                </c:pt>
                <c:pt idx="8">
                  <c:v>45293</c:v>
                </c:pt>
                <c:pt idx="9">
                  <c:v>45289</c:v>
                </c:pt>
                <c:pt idx="10">
                  <c:v>45288</c:v>
                </c:pt>
                <c:pt idx="11">
                  <c:v>45287</c:v>
                </c:pt>
                <c:pt idx="12">
                  <c:v>45282</c:v>
                </c:pt>
                <c:pt idx="13">
                  <c:v>45281</c:v>
                </c:pt>
                <c:pt idx="14">
                  <c:v>45280</c:v>
                </c:pt>
                <c:pt idx="15">
                  <c:v>45279</c:v>
                </c:pt>
                <c:pt idx="16">
                  <c:v>45278</c:v>
                </c:pt>
                <c:pt idx="17">
                  <c:v>45275</c:v>
                </c:pt>
                <c:pt idx="18">
                  <c:v>45274</c:v>
                </c:pt>
                <c:pt idx="19">
                  <c:v>45274</c:v>
                </c:pt>
                <c:pt idx="20">
                  <c:v>45273</c:v>
                </c:pt>
                <c:pt idx="21">
                  <c:v>45272</c:v>
                </c:pt>
                <c:pt idx="22">
                  <c:v>45271</c:v>
                </c:pt>
                <c:pt idx="23">
                  <c:v>45268</c:v>
                </c:pt>
                <c:pt idx="24">
                  <c:v>45267</c:v>
                </c:pt>
                <c:pt idx="25">
                  <c:v>45266</c:v>
                </c:pt>
                <c:pt idx="26">
                  <c:v>45265</c:v>
                </c:pt>
                <c:pt idx="27">
                  <c:v>45264</c:v>
                </c:pt>
                <c:pt idx="28">
                  <c:v>45261</c:v>
                </c:pt>
                <c:pt idx="29">
                  <c:v>45260</c:v>
                </c:pt>
                <c:pt idx="30">
                  <c:v>45259</c:v>
                </c:pt>
                <c:pt idx="31">
                  <c:v>45258</c:v>
                </c:pt>
                <c:pt idx="32">
                  <c:v>45257</c:v>
                </c:pt>
                <c:pt idx="33">
                  <c:v>45254</c:v>
                </c:pt>
                <c:pt idx="34">
                  <c:v>45253</c:v>
                </c:pt>
                <c:pt idx="35">
                  <c:v>45252</c:v>
                </c:pt>
                <c:pt idx="36">
                  <c:v>45251</c:v>
                </c:pt>
                <c:pt idx="37">
                  <c:v>45250</c:v>
                </c:pt>
                <c:pt idx="38">
                  <c:v>45247</c:v>
                </c:pt>
                <c:pt idx="39">
                  <c:v>45246</c:v>
                </c:pt>
                <c:pt idx="40">
                  <c:v>45245</c:v>
                </c:pt>
                <c:pt idx="41">
                  <c:v>45244</c:v>
                </c:pt>
                <c:pt idx="42">
                  <c:v>45243</c:v>
                </c:pt>
                <c:pt idx="43">
                  <c:v>45240</c:v>
                </c:pt>
                <c:pt idx="44">
                  <c:v>45239</c:v>
                </c:pt>
                <c:pt idx="45">
                  <c:v>45238</c:v>
                </c:pt>
                <c:pt idx="46">
                  <c:v>45237</c:v>
                </c:pt>
                <c:pt idx="47">
                  <c:v>45236</c:v>
                </c:pt>
                <c:pt idx="48">
                  <c:v>45233</c:v>
                </c:pt>
                <c:pt idx="49">
                  <c:v>45232</c:v>
                </c:pt>
                <c:pt idx="50">
                  <c:v>45231</c:v>
                </c:pt>
                <c:pt idx="51">
                  <c:v>45230</c:v>
                </c:pt>
                <c:pt idx="52">
                  <c:v>45229</c:v>
                </c:pt>
                <c:pt idx="53">
                  <c:v>45226</c:v>
                </c:pt>
                <c:pt idx="54">
                  <c:v>45225</c:v>
                </c:pt>
                <c:pt idx="55">
                  <c:v>45224</c:v>
                </c:pt>
                <c:pt idx="56">
                  <c:v>45223</c:v>
                </c:pt>
                <c:pt idx="57">
                  <c:v>45222</c:v>
                </c:pt>
                <c:pt idx="58">
                  <c:v>45219</c:v>
                </c:pt>
                <c:pt idx="59">
                  <c:v>45218</c:v>
                </c:pt>
                <c:pt idx="60">
                  <c:v>45217</c:v>
                </c:pt>
                <c:pt idx="61">
                  <c:v>45216</c:v>
                </c:pt>
                <c:pt idx="62">
                  <c:v>45215</c:v>
                </c:pt>
                <c:pt idx="63">
                  <c:v>45212</c:v>
                </c:pt>
                <c:pt idx="64">
                  <c:v>45211</c:v>
                </c:pt>
                <c:pt idx="65">
                  <c:v>45210</c:v>
                </c:pt>
                <c:pt idx="66">
                  <c:v>45209</c:v>
                </c:pt>
                <c:pt idx="67">
                  <c:v>45208</c:v>
                </c:pt>
                <c:pt idx="68">
                  <c:v>45205</c:v>
                </c:pt>
                <c:pt idx="69">
                  <c:v>45204</c:v>
                </c:pt>
                <c:pt idx="70">
                  <c:v>45203</c:v>
                </c:pt>
                <c:pt idx="71">
                  <c:v>45202</c:v>
                </c:pt>
                <c:pt idx="72">
                  <c:v>45201</c:v>
                </c:pt>
                <c:pt idx="73">
                  <c:v>45196</c:v>
                </c:pt>
                <c:pt idx="74">
                  <c:v>45195</c:v>
                </c:pt>
                <c:pt idx="75">
                  <c:v>45194</c:v>
                </c:pt>
                <c:pt idx="76">
                  <c:v>45191</c:v>
                </c:pt>
                <c:pt idx="77">
                  <c:v>45190</c:v>
                </c:pt>
                <c:pt idx="78">
                  <c:v>45189</c:v>
                </c:pt>
                <c:pt idx="79">
                  <c:v>45188</c:v>
                </c:pt>
                <c:pt idx="80">
                  <c:v>45187</c:v>
                </c:pt>
                <c:pt idx="81">
                  <c:v>45184</c:v>
                </c:pt>
                <c:pt idx="82">
                  <c:v>45183</c:v>
                </c:pt>
                <c:pt idx="83">
                  <c:v>45182</c:v>
                </c:pt>
                <c:pt idx="84">
                  <c:v>45181</c:v>
                </c:pt>
                <c:pt idx="85">
                  <c:v>45180</c:v>
                </c:pt>
                <c:pt idx="86">
                  <c:v>45177</c:v>
                </c:pt>
                <c:pt idx="87">
                  <c:v>45176</c:v>
                </c:pt>
                <c:pt idx="88">
                  <c:v>45175</c:v>
                </c:pt>
                <c:pt idx="89">
                  <c:v>45174</c:v>
                </c:pt>
                <c:pt idx="90">
                  <c:v>45173</c:v>
                </c:pt>
                <c:pt idx="91">
                  <c:v>45170</c:v>
                </c:pt>
                <c:pt idx="92">
                  <c:v>45169</c:v>
                </c:pt>
                <c:pt idx="93">
                  <c:v>45167</c:v>
                </c:pt>
                <c:pt idx="94">
                  <c:v>45166</c:v>
                </c:pt>
                <c:pt idx="95">
                  <c:v>45163</c:v>
                </c:pt>
                <c:pt idx="96">
                  <c:v>45162</c:v>
                </c:pt>
                <c:pt idx="97">
                  <c:v>45161</c:v>
                </c:pt>
                <c:pt idx="98">
                  <c:v>45160</c:v>
                </c:pt>
                <c:pt idx="99">
                  <c:v>45159</c:v>
                </c:pt>
                <c:pt idx="100">
                  <c:v>45156</c:v>
                </c:pt>
                <c:pt idx="101">
                  <c:v>45155</c:v>
                </c:pt>
                <c:pt idx="102">
                  <c:v>45154</c:v>
                </c:pt>
                <c:pt idx="103">
                  <c:v>45153</c:v>
                </c:pt>
                <c:pt idx="104">
                  <c:v>45152</c:v>
                </c:pt>
                <c:pt idx="105">
                  <c:v>45149</c:v>
                </c:pt>
                <c:pt idx="106">
                  <c:v>45148</c:v>
                </c:pt>
                <c:pt idx="107">
                  <c:v>45147</c:v>
                </c:pt>
                <c:pt idx="108">
                  <c:v>45146</c:v>
                </c:pt>
                <c:pt idx="109">
                  <c:v>45145</c:v>
                </c:pt>
                <c:pt idx="110">
                  <c:v>45142</c:v>
                </c:pt>
                <c:pt idx="111">
                  <c:v>45141</c:v>
                </c:pt>
                <c:pt idx="112">
                  <c:v>45140</c:v>
                </c:pt>
                <c:pt idx="113">
                  <c:v>45138</c:v>
                </c:pt>
                <c:pt idx="114">
                  <c:v>45135</c:v>
                </c:pt>
                <c:pt idx="115">
                  <c:v>45134</c:v>
                </c:pt>
                <c:pt idx="116">
                  <c:v>45133</c:v>
                </c:pt>
                <c:pt idx="117">
                  <c:v>45132</c:v>
                </c:pt>
                <c:pt idx="118">
                  <c:v>45131</c:v>
                </c:pt>
                <c:pt idx="119">
                  <c:v>45128</c:v>
                </c:pt>
                <c:pt idx="120">
                  <c:v>45127</c:v>
                </c:pt>
                <c:pt idx="121">
                  <c:v>45126</c:v>
                </c:pt>
                <c:pt idx="122">
                  <c:v>45125</c:v>
                </c:pt>
                <c:pt idx="123">
                  <c:v>45124</c:v>
                </c:pt>
                <c:pt idx="124">
                  <c:v>45121</c:v>
                </c:pt>
                <c:pt idx="125">
                  <c:v>45120</c:v>
                </c:pt>
                <c:pt idx="126">
                  <c:v>45119</c:v>
                </c:pt>
                <c:pt idx="127">
                  <c:v>45118</c:v>
                </c:pt>
                <c:pt idx="128">
                  <c:v>45117</c:v>
                </c:pt>
                <c:pt idx="129">
                  <c:v>45114</c:v>
                </c:pt>
                <c:pt idx="130">
                  <c:v>45113</c:v>
                </c:pt>
                <c:pt idx="131">
                  <c:v>45112</c:v>
                </c:pt>
                <c:pt idx="132">
                  <c:v>45111</c:v>
                </c:pt>
                <c:pt idx="133">
                  <c:v>45105</c:v>
                </c:pt>
                <c:pt idx="134">
                  <c:v>45104</c:v>
                </c:pt>
                <c:pt idx="135">
                  <c:v>45103</c:v>
                </c:pt>
                <c:pt idx="136">
                  <c:v>45100</c:v>
                </c:pt>
                <c:pt idx="137">
                  <c:v>45099</c:v>
                </c:pt>
                <c:pt idx="138">
                  <c:v>45098</c:v>
                </c:pt>
                <c:pt idx="139">
                  <c:v>45097</c:v>
                </c:pt>
                <c:pt idx="140">
                  <c:v>45096</c:v>
                </c:pt>
                <c:pt idx="141">
                  <c:v>45093</c:v>
                </c:pt>
                <c:pt idx="142">
                  <c:v>45092</c:v>
                </c:pt>
                <c:pt idx="143">
                  <c:v>45091</c:v>
                </c:pt>
                <c:pt idx="144">
                  <c:v>45090</c:v>
                </c:pt>
                <c:pt idx="145">
                  <c:v>45089</c:v>
                </c:pt>
                <c:pt idx="146">
                  <c:v>45086</c:v>
                </c:pt>
                <c:pt idx="147">
                  <c:v>45085</c:v>
                </c:pt>
                <c:pt idx="148">
                  <c:v>45084</c:v>
                </c:pt>
                <c:pt idx="149">
                  <c:v>45083</c:v>
                </c:pt>
                <c:pt idx="150">
                  <c:v>45082</c:v>
                </c:pt>
                <c:pt idx="151">
                  <c:v>45079</c:v>
                </c:pt>
                <c:pt idx="152">
                  <c:v>45078</c:v>
                </c:pt>
                <c:pt idx="153">
                  <c:v>45077</c:v>
                </c:pt>
                <c:pt idx="154">
                  <c:v>45076</c:v>
                </c:pt>
                <c:pt idx="155">
                  <c:v>45075</c:v>
                </c:pt>
                <c:pt idx="156">
                  <c:v>45072</c:v>
                </c:pt>
                <c:pt idx="157">
                  <c:v>45071</c:v>
                </c:pt>
                <c:pt idx="158">
                  <c:v>45070</c:v>
                </c:pt>
                <c:pt idx="159">
                  <c:v>45069</c:v>
                </c:pt>
                <c:pt idx="160">
                  <c:v>45068</c:v>
                </c:pt>
                <c:pt idx="161">
                  <c:v>45065</c:v>
                </c:pt>
                <c:pt idx="162">
                  <c:v>45064</c:v>
                </c:pt>
                <c:pt idx="163">
                  <c:v>45063</c:v>
                </c:pt>
                <c:pt idx="164">
                  <c:v>45062</c:v>
                </c:pt>
                <c:pt idx="165">
                  <c:v>45061</c:v>
                </c:pt>
                <c:pt idx="166">
                  <c:v>45058</c:v>
                </c:pt>
                <c:pt idx="167">
                  <c:v>45057</c:v>
                </c:pt>
                <c:pt idx="168">
                  <c:v>45056</c:v>
                </c:pt>
                <c:pt idx="169">
                  <c:v>45055</c:v>
                </c:pt>
                <c:pt idx="170">
                  <c:v>45054</c:v>
                </c:pt>
                <c:pt idx="171">
                  <c:v>45050</c:v>
                </c:pt>
                <c:pt idx="172">
                  <c:v>45049</c:v>
                </c:pt>
                <c:pt idx="173">
                  <c:v>45048</c:v>
                </c:pt>
                <c:pt idx="174">
                  <c:v>45044</c:v>
                </c:pt>
                <c:pt idx="175">
                  <c:v>45043</c:v>
                </c:pt>
                <c:pt idx="176">
                  <c:v>45042</c:v>
                </c:pt>
                <c:pt idx="177">
                  <c:v>45041</c:v>
                </c:pt>
                <c:pt idx="178">
                  <c:v>45040</c:v>
                </c:pt>
                <c:pt idx="179">
                  <c:v>45037</c:v>
                </c:pt>
                <c:pt idx="180">
                  <c:v>45036</c:v>
                </c:pt>
                <c:pt idx="181">
                  <c:v>45035</c:v>
                </c:pt>
                <c:pt idx="182">
                  <c:v>45034</c:v>
                </c:pt>
                <c:pt idx="183">
                  <c:v>45033</c:v>
                </c:pt>
                <c:pt idx="184">
                  <c:v>45028</c:v>
                </c:pt>
                <c:pt idx="185">
                  <c:v>45027</c:v>
                </c:pt>
                <c:pt idx="186">
                  <c:v>45026</c:v>
                </c:pt>
                <c:pt idx="187">
                  <c:v>45022</c:v>
                </c:pt>
                <c:pt idx="188">
                  <c:v>45020</c:v>
                </c:pt>
                <c:pt idx="189">
                  <c:v>45019</c:v>
                </c:pt>
                <c:pt idx="190">
                  <c:v>45016</c:v>
                </c:pt>
                <c:pt idx="191">
                  <c:v>45015</c:v>
                </c:pt>
                <c:pt idx="192">
                  <c:v>45014</c:v>
                </c:pt>
                <c:pt idx="193">
                  <c:v>45013</c:v>
                </c:pt>
                <c:pt idx="194">
                  <c:v>45012</c:v>
                </c:pt>
                <c:pt idx="195">
                  <c:v>45009</c:v>
                </c:pt>
                <c:pt idx="196">
                  <c:v>45008</c:v>
                </c:pt>
                <c:pt idx="197">
                  <c:v>45007</c:v>
                </c:pt>
                <c:pt idx="198">
                  <c:v>45006</c:v>
                </c:pt>
                <c:pt idx="199">
                  <c:v>45005</c:v>
                </c:pt>
                <c:pt idx="200">
                  <c:v>45002</c:v>
                </c:pt>
                <c:pt idx="201">
                  <c:v>45001</c:v>
                </c:pt>
                <c:pt idx="202">
                  <c:v>45000</c:v>
                </c:pt>
                <c:pt idx="203">
                  <c:v>44999</c:v>
                </c:pt>
                <c:pt idx="204">
                  <c:v>44998</c:v>
                </c:pt>
                <c:pt idx="205">
                  <c:v>44995</c:v>
                </c:pt>
                <c:pt idx="206">
                  <c:v>44994</c:v>
                </c:pt>
                <c:pt idx="207">
                  <c:v>44993</c:v>
                </c:pt>
                <c:pt idx="208">
                  <c:v>44992</c:v>
                </c:pt>
                <c:pt idx="209">
                  <c:v>44988</c:v>
                </c:pt>
                <c:pt idx="210">
                  <c:v>44987</c:v>
                </c:pt>
                <c:pt idx="211">
                  <c:v>44986</c:v>
                </c:pt>
                <c:pt idx="212">
                  <c:v>44985</c:v>
                </c:pt>
                <c:pt idx="213">
                  <c:v>44984</c:v>
                </c:pt>
                <c:pt idx="214">
                  <c:v>44981</c:v>
                </c:pt>
                <c:pt idx="215">
                  <c:v>44980</c:v>
                </c:pt>
                <c:pt idx="216">
                  <c:v>44979</c:v>
                </c:pt>
                <c:pt idx="217">
                  <c:v>44978</c:v>
                </c:pt>
                <c:pt idx="218">
                  <c:v>44977</c:v>
                </c:pt>
                <c:pt idx="219">
                  <c:v>44974</c:v>
                </c:pt>
                <c:pt idx="220">
                  <c:v>44973</c:v>
                </c:pt>
                <c:pt idx="221">
                  <c:v>44972</c:v>
                </c:pt>
                <c:pt idx="222">
                  <c:v>44971</c:v>
                </c:pt>
                <c:pt idx="223">
                  <c:v>44970</c:v>
                </c:pt>
                <c:pt idx="224">
                  <c:v>44967</c:v>
                </c:pt>
                <c:pt idx="225">
                  <c:v>44966</c:v>
                </c:pt>
                <c:pt idx="226">
                  <c:v>44965</c:v>
                </c:pt>
                <c:pt idx="227">
                  <c:v>44964</c:v>
                </c:pt>
                <c:pt idx="228">
                  <c:v>44963</c:v>
                </c:pt>
                <c:pt idx="229">
                  <c:v>44960</c:v>
                </c:pt>
                <c:pt idx="230">
                  <c:v>44959</c:v>
                </c:pt>
                <c:pt idx="231">
                  <c:v>44958</c:v>
                </c:pt>
                <c:pt idx="232">
                  <c:v>44957</c:v>
                </c:pt>
                <c:pt idx="233">
                  <c:v>44956</c:v>
                </c:pt>
                <c:pt idx="234">
                  <c:v>44953</c:v>
                </c:pt>
                <c:pt idx="235">
                  <c:v>44952</c:v>
                </c:pt>
                <c:pt idx="236">
                  <c:v>44951</c:v>
                </c:pt>
                <c:pt idx="237">
                  <c:v>44950</c:v>
                </c:pt>
                <c:pt idx="238">
                  <c:v>44949</c:v>
                </c:pt>
                <c:pt idx="239">
                  <c:v>44946</c:v>
                </c:pt>
                <c:pt idx="240">
                  <c:v>44945</c:v>
                </c:pt>
                <c:pt idx="241">
                  <c:v>44944</c:v>
                </c:pt>
                <c:pt idx="242">
                  <c:v>44943</c:v>
                </c:pt>
                <c:pt idx="243">
                  <c:v>44939</c:v>
                </c:pt>
                <c:pt idx="244">
                  <c:v>44938</c:v>
                </c:pt>
                <c:pt idx="245">
                  <c:v>44937</c:v>
                </c:pt>
                <c:pt idx="246">
                  <c:v>44936</c:v>
                </c:pt>
                <c:pt idx="247">
                  <c:v>44935</c:v>
                </c:pt>
                <c:pt idx="248">
                  <c:v>44931</c:v>
                </c:pt>
                <c:pt idx="249">
                  <c:v>44930</c:v>
                </c:pt>
                <c:pt idx="250">
                  <c:v>44929</c:v>
                </c:pt>
                <c:pt idx="251">
                  <c:v>44928</c:v>
                </c:pt>
                <c:pt idx="252">
                  <c:v>44925</c:v>
                </c:pt>
                <c:pt idx="253">
                  <c:v>44924</c:v>
                </c:pt>
                <c:pt idx="254">
                  <c:v>44923</c:v>
                </c:pt>
                <c:pt idx="255">
                  <c:v>44922</c:v>
                </c:pt>
                <c:pt idx="256">
                  <c:v>44918</c:v>
                </c:pt>
                <c:pt idx="257">
                  <c:v>44917</c:v>
                </c:pt>
                <c:pt idx="258">
                  <c:v>44916</c:v>
                </c:pt>
                <c:pt idx="259">
                  <c:v>44915</c:v>
                </c:pt>
                <c:pt idx="260">
                  <c:v>44914</c:v>
                </c:pt>
                <c:pt idx="261">
                  <c:v>44911</c:v>
                </c:pt>
                <c:pt idx="262">
                  <c:v>44910</c:v>
                </c:pt>
                <c:pt idx="263">
                  <c:v>44909</c:v>
                </c:pt>
                <c:pt idx="264">
                  <c:v>44908</c:v>
                </c:pt>
                <c:pt idx="265">
                  <c:v>44907</c:v>
                </c:pt>
                <c:pt idx="266">
                  <c:v>44904</c:v>
                </c:pt>
                <c:pt idx="267">
                  <c:v>44903</c:v>
                </c:pt>
                <c:pt idx="268">
                  <c:v>44901</c:v>
                </c:pt>
                <c:pt idx="269">
                  <c:v>44900</c:v>
                </c:pt>
                <c:pt idx="270">
                  <c:v>44897</c:v>
                </c:pt>
                <c:pt idx="271">
                  <c:v>44896</c:v>
                </c:pt>
                <c:pt idx="272">
                  <c:v>44895</c:v>
                </c:pt>
                <c:pt idx="273">
                  <c:v>44894</c:v>
                </c:pt>
                <c:pt idx="274">
                  <c:v>44893</c:v>
                </c:pt>
                <c:pt idx="275">
                  <c:v>44890</c:v>
                </c:pt>
                <c:pt idx="276">
                  <c:v>44889</c:v>
                </c:pt>
                <c:pt idx="277">
                  <c:v>44888</c:v>
                </c:pt>
                <c:pt idx="278">
                  <c:v>44887</c:v>
                </c:pt>
                <c:pt idx="279">
                  <c:v>44886</c:v>
                </c:pt>
                <c:pt idx="280">
                  <c:v>44883</c:v>
                </c:pt>
                <c:pt idx="281">
                  <c:v>44882</c:v>
                </c:pt>
                <c:pt idx="282">
                  <c:v>44881</c:v>
                </c:pt>
                <c:pt idx="283">
                  <c:v>44880</c:v>
                </c:pt>
                <c:pt idx="284">
                  <c:v>44879</c:v>
                </c:pt>
                <c:pt idx="285">
                  <c:v>44876</c:v>
                </c:pt>
                <c:pt idx="286">
                  <c:v>44875</c:v>
                </c:pt>
                <c:pt idx="287">
                  <c:v>44874</c:v>
                </c:pt>
                <c:pt idx="288">
                  <c:v>44873</c:v>
                </c:pt>
                <c:pt idx="289">
                  <c:v>44869</c:v>
                </c:pt>
                <c:pt idx="290">
                  <c:v>44868</c:v>
                </c:pt>
                <c:pt idx="291">
                  <c:v>44867</c:v>
                </c:pt>
                <c:pt idx="292">
                  <c:v>44866</c:v>
                </c:pt>
                <c:pt idx="293">
                  <c:v>44865</c:v>
                </c:pt>
                <c:pt idx="294">
                  <c:v>44862</c:v>
                </c:pt>
                <c:pt idx="295">
                  <c:v>44861</c:v>
                </c:pt>
                <c:pt idx="296">
                  <c:v>44860</c:v>
                </c:pt>
                <c:pt idx="297">
                  <c:v>44859</c:v>
                </c:pt>
                <c:pt idx="298">
                  <c:v>44855</c:v>
                </c:pt>
                <c:pt idx="299">
                  <c:v>44854</c:v>
                </c:pt>
                <c:pt idx="300">
                  <c:v>44853</c:v>
                </c:pt>
                <c:pt idx="301">
                  <c:v>44852</c:v>
                </c:pt>
                <c:pt idx="302">
                  <c:v>44851</c:v>
                </c:pt>
                <c:pt idx="303">
                  <c:v>44848</c:v>
                </c:pt>
                <c:pt idx="304">
                  <c:v>44847</c:v>
                </c:pt>
                <c:pt idx="305">
                  <c:v>44846</c:v>
                </c:pt>
                <c:pt idx="306">
                  <c:v>44845</c:v>
                </c:pt>
                <c:pt idx="307">
                  <c:v>44841</c:v>
                </c:pt>
                <c:pt idx="308">
                  <c:v>44840</c:v>
                </c:pt>
                <c:pt idx="309">
                  <c:v>44839</c:v>
                </c:pt>
                <c:pt idx="310">
                  <c:v>44838</c:v>
                </c:pt>
                <c:pt idx="311">
                  <c:v>44837</c:v>
                </c:pt>
                <c:pt idx="312">
                  <c:v>44834</c:v>
                </c:pt>
                <c:pt idx="313">
                  <c:v>44833</c:v>
                </c:pt>
                <c:pt idx="314">
                  <c:v>44832</c:v>
                </c:pt>
                <c:pt idx="315">
                  <c:v>44831</c:v>
                </c:pt>
                <c:pt idx="316">
                  <c:v>44830</c:v>
                </c:pt>
                <c:pt idx="317">
                  <c:v>44827</c:v>
                </c:pt>
                <c:pt idx="318">
                  <c:v>44826</c:v>
                </c:pt>
                <c:pt idx="319">
                  <c:v>44825</c:v>
                </c:pt>
                <c:pt idx="320">
                  <c:v>44824</c:v>
                </c:pt>
                <c:pt idx="321">
                  <c:v>44823</c:v>
                </c:pt>
                <c:pt idx="322">
                  <c:v>44820</c:v>
                </c:pt>
                <c:pt idx="323">
                  <c:v>44819</c:v>
                </c:pt>
                <c:pt idx="324">
                  <c:v>44818</c:v>
                </c:pt>
                <c:pt idx="325">
                  <c:v>44817</c:v>
                </c:pt>
                <c:pt idx="326">
                  <c:v>44816</c:v>
                </c:pt>
                <c:pt idx="327">
                  <c:v>44813</c:v>
                </c:pt>
                <c:pt idx="328">
                  <c:v>44812</c:v>
                </c:pt>
                <c:pt idx="329">
                  <c:v>44811</c:v>
                </c:pt>
                <c:pt idx="330">
                  <c:v>44810</c:v>
                </c:pt>
                <c:pt idx="331">
                  <c:v>44809</c:v>
                </c:pt>
                <c:pt idx="332">
                  <c:v>44806</c:v>
                </c:pt>
                <c:pt idx="333">
                  <c:v>44805</c:v>
                </c:pt>
                <c:pt idx="334">
                  <c:v>44804</c:v>
                </c:pt>
                <c:pt idx="335">
                  <c:v>44803</c:v>
                </c:pt>
                <c:pt idx="336">
                  <c:v>44802</c:v>
                </c:pt>
                <c:pt idx="337">
                  <c:v>44799</c:v>
                </c:pt>
                <c:pt idx="338">
                  <c:v>44798</c:v>
                </c:pt>
                <c:pt idx="339">
                  <c:v>44797</c:v>
                </c:pt>
                <c:pt idx="340">
                  <c:v>44796</c:v>
                </c:pt>
                <c:pt idx="341">
                  <c:v>44795</c:v>
                </c:pt>
                <c:pt idx="342">
                  <c:v>44792</c:v>
                </c:pt>
                <c:pt idx="343">
                  <c:v>44791</c:v>
                </c:pt>
                <c:pt idx="344">
                  <c:v>44790</c:v>
                </c:pt>
                <c:pt idx="345">
                  <c:v>44789</c:v>
                </c:pt>
                <c:pt idx="346">
                  <c:v>44788</c:v>
                </c:pt>
                <c:pt idx="347">
                  <c:v>44785</c:v>
                </c:pt>
                <c:pt idx="348">
                  <c:v>44783</c:v>
                </c:pt>
                <c:pt idx="349">
                  <c:v>44782</c:v>
                </c:pt>
                <c:pt idx="350">
                  <c:v>44781</c:v>
                </c:pt>
                <c:pt idx="351">
                  <c:v>44778</c:v>
                </c:pt>
                <c:pt idx="352">
                  <c:v>44777</c:v>
                </c:pt>
                <c:pt idx="353">
                  <c:v>44776</c:v>
                </c:pt>
                <c:pt idx="354">
                  <c:v>44775</c:v>
                </c:pt>
                <c:pt idx="355">
                  <c:v>44774</c:v>
                </c:pt>
                <c:pt idx="356">
                  <c:v>44771</c:v>
                </c:pt>
                <c:pt idx="357">
                  <c:v>44770</c:v>
                </c:pt>
                <c:pt idx="358">
                  <c:v>44769</c:v>
                </c:pt>
                <c:pt idx="359">
                  <c:v>44768</c:v>
                </c:pt>
                <c:pt idx="360">
                  <c:v>44767</c:v>
                </c:pt>
                <c:pt idx="361">
                  <c:v>44764</c:v>
                </c:pt>
                <c:pt idx="362">
                  <c:v>44763</c:v>
                </c:pt>
                <c:pt idx="363">
                  <c:v>44762</c:v>
                </c:pt>
                <c:pt idx="364">
                  <c:v>44761</c:v>
                </c:pt>
                <c:pt idx="365">
                  <c:v>44760</c:v>
                </c:pt>
                <c:pt idx="366">
                  <c:v>44757</c:v>
                </c:pt>
                <c:pt idx="367">
                  <c:v>44756</c:v>
                </c:pt>
                <c:pt idx="368">
                  <c:v>44754</c:v>
                </c:pt>
                <c:pt idx="369">
                  <c:v>44753</c:v>
                </c:pt>
                <c:pt idx="370">
                  <c:v>44750</c:v>
                </c:pt>
                <c:pt idx="371">
                  <c:v>44749</c:v>
                </c:pt>
                <c:pt idx="372">
                  <c:v>44748</c:v>
                </c:pt>
                <c:pt idx="373">
                  <c:v>44747</c:v>
                </c:pt>
                <c:pt idx="374">
                  <c:v>44746</c:v>
                </c:pt>
                <c:pt idx="375">
                  <c:v>44743</c:v>
                </c:pt>
                <c:pt idx="376">
                  <c:v>44742</c:v>
                </c:pt>
                <c:pt idx="377">
                  <c:v>44741</c:v>
                </c:pt>
                <c:pt idx="378">
                  <c:v>44740</c:v>
                </c:pt>
                <c:pt idx="379">
                  <c:v>44739</c:v>
                </c:pt>
                <c:pt idx="380">
                  <c:v>44736</c:v>
                </c:pt>
                <c:pt idx="381">
                  <c:v>44735</c:v>
                </c:pt>
                <c:pt idx="382">
                  <c:v>44734</c:v>
                </c:pt>
                <c:pt idx="383">
                  <c:v>44733</c:v>
                </c:pt>
                <c:pt idx="384">
                  <c:v>44732</c:v>
                </c:pt>
                <c:pt idx="385">
                  <c:v>44729</c:v>
                </c:pt>
                <c:pt idx="386">
                  <c:v>44728</c:v>
                </c:pt>
                <c:pt idx="387">
                  <c:v>44727</c:v>
                </c:pt>
                <c:pt idx="388">
                  <c:v>44725</c:v>
                </c:pt>
                <c:pt idx="389">
                  <c:v>44722</c:v>
                </c:pt>
                <c:pt idx="390">
                  <c:v>44721</c:v>
                </c:pt>
                <c:pt idx="391">
                  <c:v>44720</c:v>
                </c:pt>
                <c:pt idx="392">
                  <c:v>44719</c:v>
                </c:pt>
                <c:pt idx="393">
                  <c:v>44718</c:v>
                </c:pt>
                <c:pt idx="394">
                  <c:v>44715</c:v>
                </c:pt>
                <c:pt idx="395">
                  <c:v>44714</c:v>
                </c:pt>
                <c:pt idx="396">
                  <c:v>44713</c:v>
                </c:pt>
                <c:pt idx="397">
                  <c:v>44712</c:v>
                </c:pt>
                <c:pt idx="398">
                  <c:v>44711</c:v>
                </c:pt>
                <c:pt idx="399">
                  <c:v>44708</c:v>
                </c:pt>
                <c:pt idx="400">
                  <c:v>44707</c:v>
                </c:pt>
                <c:pt idx="401">
                  <c:v>44706</c:v>
                </c:pt>
                <c:pt idx="402">
                  <c:v>44705</c:v>
                </c:pt>
                <c:pt idx="403">
                  <c:v>44704</c:v>
                </c:pt>
                <c:pt idx="404">
                  <c:v>44701</c:v>
                </c:pt>
                <c:pt idx="405">
                  <c:v>44700</c:v>
                </c:pt>
                <c:pt idx="406">
                  <c:v>44699</c:v>
                </c:pt>
                <c:pt idx="407">
                  <c:v>44698</c:v>
                </c:pt>
                <c:pt idx="408">
                  <c:v>44694</c:v>
                </c:pt>
                <c:pt idx="409">
                  <c:v>44693</c:v>
                </c:pt>
                <c:pt idx="410">
                  <c:v>44690</c:v>
                </c:pt>
                <c:pt idx="411">
                  <c:v>44687</c:v>
                </c:pt>
                <c:pt idx="412">
                  <c:v>44686</c:v>
                </c:pt>
                <c:pt idx="413">
                  <c:v>44685</c:v>
                </c:pt>
                <c:pt idx="414">
                  <c:v>44680</c:v>
                </c:pt>
                <c:pt idx="415">
                  <c:v>44679</c:v>
                </c:pt>
                <c:pt idx="416">
                  <c:v>44678</c:v>
                </c:pt>
                <c:pt idx="417">
                  <c:v>44677</c:v>
                </c:pt>
                <c:pt idx="418">
                  <c:v>44676</c:v>
                </c:pt>
                <c:pt idx="419">
                  <c:v>44659</c:v>
                </c:pt>
                <c:pt idx="420">
                  <c:v>44658</c:v>
                </c:pt>
                <c:pt idx="421">
                  <c:v>44657</c:v>
                </c:pt>
                <c:pt idx="422">
                  <c:v>44656</c:v>
                </c:pt>
                <c:pt idx="423">
                  <c:v>44655</c:v>
                </c:pt>
                <c:pt idx="424">
                  <c:v>44652</c:v>
                </c:pt>
                <c:pt idx="425">
                  <c:v>44651</c:v>
                </c:pt>
                <c:pt idx="426">
                  <c:v>44650</c:v>
                </c:pt>
                <c:pt idx="427">
                  <c:v>44649</c:v>
                </c:pt>
                <c:pt idx="428">
                  <c:v>44648</c:v>
                </c:pt>
                <c:pt idx="429">
                  <c:v>44645</c:v>
                </c:pt>
                <c:pt idx="430">
                  <c:v>44644</c:v>
                </c:pt>
                <c:pt idx="431">
                  <c:v>44643</c:v>
                </c:pt>
                <c:pt idx="432">
                  <c:v>44642</c:v>
                </c:pt>
                <c:pt idx="433">
                  <c:v>44641</c:v>
                </c:pt>
                <c:pt idx="434">
                  <c:v>44638</c:v>
                </c:pt>
                <c:pt idx="435">
                  <c:v>44636</c:v>
                </c:pt>
                <c:pt idx="436">
                  <c:v>44635</c:v>
                </c:pt>
                <c:pt idx="437">
                  <c:v>44634</c:v>
                </c:pt>
                <c:pt idx="438">
                  <c:v>44631</c:v>
                </c:pt>
                <c:pt idx="439">
                  <c:v>44630</c:v>
                </c:pt>
                <c:pt idx="440">
                  <c:v>44629</c:v>
                </c:pt>
                <c:pt idx="441">
                  <c:v>44628</c:v>
                </c:pt>
                <c:pt idx="442">
                  <c:v>44627</c:v>
                </c:pt>
                <c:pt idx="443">
                  <c:v>44624</c:v>
                </c:pt>
                <c:pt idx="444">
                  <c:v>44623</c:v>
                </c:pt>
                <c:pt idx="445">
                  <c:v>44622</c:v>
                </c:pt>
                <c:pt idx="446">
                  <c:v>44620</c:v>
                </c:pt>
                <c:pt idx="447">
                  <c:v>44617</c:v>
                </c:pt>
                <c:pt idx="448">
                  <c:v>44616</c:v>
                </c:pt>
                <c:pt idx="449">
                  <c:v>44615</c:v>
                </c:pt>
                <c:pt idx="450">
                  <c:v>44614</c:v>
                </c:pt>
                <c:pt idx="451">
                  <c:v>44613</c:v>
                </c:pt>
                <c:pt idx="452">
                  <c:v>44610</c:v>
                </c:pt>
                <c:pt idx="453">
                  <c:v>44609</c:v>
                </c:pt>
                <c:pt idx="454">
                  <c:v>44607</c:v>
                </c:pt>
                <c:pt idx="455">
                  <c:v>44606</c:v>
                </c:pt>
                <c:pt idx="456">
                  <c:v>44603</c:v>
                </c:pt>
                <c:pt idx="457">
                  <c:v>44602</c:v>
                </c:pt>
                <c:pt idx="458">
                  <c:v>44601</c:v>
                </c:pt>
                <c:pt idx="459">
                  <c:v>44600</c:v>
                </c:pt>
                <c:pt idx="460">
                  <c:v>44599</c:v>
                </c:pt>
                <c:pt idx="461">
                  <c:v>44595</c:v>
                </c:pt>
                <c:pt idx="462">
                  <c:v>44594</c:v>
                </c:pt>
                <c:pt idx="463">
                  <c:v>44593</c:v>
                </c:pt>
                <c:pt idx="464">
                  <c:v>44592</c:v>
                </c:pt>
                <c:pt idx="465">
                  <c:v>44589</c:v>
                </c:pt>
                <c:pt idx="466">
                  <c:v>44588</c:v>
                </c:pt>
                <c:pt idx="467">
                  <c:v>44587</c:v>
                </c:pt>
                <c:pt idx="468">
                  <c:v>44586</c:v>
                </c:pt>
                <c:pt idx="469">
                  <c:v>44585</c:v>
                </c:pt>
                <c:pt idx="470">
                  <c:v>44582</c:v>
                </c:pt>
                <c:pt idx="471">
                  <c:v>44581</c:v>
                </c:pt>
                <c:pt idx="472">
                  <c:v>44580</c:v>
                </c:pt>
                <c:pt idx="473">
                  <c:v>44579</c:v>
                </c:pt>
                <c:pt idx="474">
                  <c:v>44574</c:v>
                </c:pt>
                <c:pt idx="475">
                  <c:v>44573</c:v>
                </c:pt>
                <c:pt idx="476">
                  <c:v>44572</c:v>
                </c:pt>
                <c:pt idx="477">
                  <c:v>44571</c:v>
                </c:pt>
                <c:pt idx="478">
                  <c:v>44568</c:v>
                </c:pt>
                <c:pt idx="479">
                  <c:v>44567</c:v>
                </c:pt>
                <c:pt idx="480">
                  <c:v>44566</c:v>
                </c:pt>
                <c:pt idx="481">
                  <c:v>44565</c:v>
                </c:pt>
                <c:pt idx="482">
                  <c:v>44564</c:v>
                </c:pt>
                <c:pt idx="483">
                  <c:v>44561</c:v>
                </c:pt>
                <c:pt idx="484">
                  <c:v>44560</c:v>
                </c:pt>
                <c:pt idx="485">
                  <c:v>44559</c:v>
                </c:pt>
                <c:pt idx="486">
                  <c:v>44558</c:v>
                </c:pt>
                <c:pt idx="487">
                  <c:v>44557</c:v>
                </c:pt>
                <c:pt idx="488">
                  <c:v>44554</c:v>
                </c:pt>
                <c:pt idx="489">
                  <c:v>44553</c:v>
                </c:pt>
                <c:pt idx="490">
                  <c:v>44552</c:v>
                </c:pt>
                <c:pt idx="491">
                  <c:v>44551</c:v>
                </c:pt>
                <c:pt idx="492">
                  <c:v>44550</c:v>
                </c:pt>
                <c:pt idx="493">
                  <c:v>44547</c:v>
                </c:pt>
                <c:pt idx="494">
                  <c:v>44546</c:v>
                </c:pt>
                <c:pt idx="495">
                  <c:v>44545</c:v>
                </c:pt>
                <c:pt idx="496">
                  <c:v>44544</c:v>
                </c:pt>
                <c:pt idx="497">
                  <c:v>44543</c:v>
                </c:pt>
                <c:pt idx="498">
                  <c:v>44540</c:v>
                </c:pt>
                <c:pt idx="499">
                  <c:v>44539</c:v>
                </c:pt>
                <c:pt idx="500">
                  <c:v>44538</c:v>
                </c:pt>
                <c:pt idx="501">
                  <c:v>44537</c:v>
                </c:pt>
                <c:pt idx="502">
                  <c:v>44536</c:v>
                </c:pt>
                <c:pt idx="503">
                  <c:v>44533</c:v>
                </c:pt>
                <c:pt idx="504">
                  <c:v>44532</c:v>
                </c:pt>
                <c:pt idx="505">
                  <c:v>44531</c:v>
                </c:pt>
                <c:pt idx="506">
                  <c:v>44530</c:v>
                </c:pt>
                <c:pt idx="507">
                  <c:v>44529</c:v>
                </c:pt>
                <c:pt idx="508">
                  <c:v>44526</c:v>
                </c:pt>
                <c:pt idx="509">
                  <c:v>44525</c:v>
                </c:pt>
                <c:pt idx="510">
                  <c:v>44524</c:v>
                </c:pt>
                <c:pt idx="511">
                  <c:v>44523</c:v>
                </c:pt>
                <c:pt idx="512">
                  <c:v>44522</c:v>
                </c:pt>
                <c:pt idx="513">
                  <c:v>44519</c:v>
                </c:pt>
                <c:pt idx="514">
                  <c:v>44517</c:v>
                </c:pt>
                <c:pt idx="515">
                  <c:v>44516</c:v>
                </c:pt>
                <c:pt idx="516">
                  <c:v>44515</c:v>
                </c:pt>
                <c:pt idx="517">
                  <c:v>44512</c:v>
                </c:pt>
                <c:pt idx="518">
                  <c:v>44511</c:v>
                </c:pt>
                <c:pt idx="519">
                  <c:v>44510</c:v>
                </c:pt>
                <c:pt idx="520">
                  <c:v>44509</c:v>
                </c:pt>
                <c:pt idx="521">
                  <c:v>44508</c:v>
                </c:pt>
                <c:pt idx="522">
                  <c:v>44505</c:v>
                </c:pt>
                <c:pt idx="523">
                  <c:v>44503</c:v>
                </c:pt>
                <c:pt idx="524">
                  <c:v>44502</c:v>
                </c:pt>
                <c:pt idx="525">
                  <c:v>44501</c:v>
                </c:pt>
                <c:pt idx="526">
                  <c:v>44498</c:v>
                </c:pt>
                <c:pt idx="527">
                  <c:v>44497</c:v>
                </c:pt>
                <c:pt idx="528">
                  <c:v>44496</c:v>
                </c:pt>
                <c:pt idx="529">
                  <c:v>44495</c:v>
                </c:pt>
                <c:pt idx="530">
                  <c:v>44494</c:v>
                </c:pt>
                <c:pt idx="531">
                  <c:v>44491</c:v>
                </c:pt>
                <c:pt idx="532">
                  <c:v>44490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44477</c:v>
                </c:pt>
                <c:pt idx="540">
                  <c:v>44476</c:v>
                </c:pt>
                <c:pt idx="541">
                  <c:v>44475</c:v>
                </c:pt>
                <c:pt idx="542">
                  <c:v>44474</c:v>
                </c:pt>
                <c:pt idx="543">
                  <c:v>44473</c:v>
                </c:pt>
                <c:pt idx="544">
                  <c:v>44470</c:v>
                </c:pt>
                <c:pt idx="545">
                  <c:v>44469</c:v>
                </c:pt>
                <c:pt idx="546">
                  <c:v>44468</c:v>
                </c:pt>
                <c:pt idx="547">
                  <c:v>44467</c:v>
                </c:pt>
                <c:pt idx="548">
                  <c:v>44466</c:v>
                </c:pt>
                <c:pt idx="549">
                  <c:v>44463</c:v>
                </c:pt>
                <c:pt idx="550">
                  <c:v>44462</c:v>
                </c:pt>
                <c:pt idx="551">
                  <c:v>44461</c:v>
                </c:pt>
                <c:pt idx="552">
                  <c:v>44460</c:v>
                </c:pt>
                <c:pt idx="553">
                  <c:v>44456</c:v>
                </c:pt>
                <c:pt idx="554">
                  <c:v>44455</c:v>
                </c:pt>
                <c:pt idx="555">
                  <c:v>44454</c:v>
                </c:pt>
                <c:pt idx="556">
                  <c:v>44453</c:v>
                </c:pt>
                <c:pt idx="557">
                  <c:v>44452</c:v>
                </c:pt>
                <c:pt idx="558">
                  <c:v>44449</c:v>
                </c:pt>
                <c:pt idx="559">
                  <c:v>44448</c:v>
                </c:pt>
                <c:pt idx="560">
                  <c:v>44447</c:v>
                </c:pt>
                <c:pt idx="561">
                  <c:v>44446</c:v>
                </c:pt>
                <c:pt idx="562">
                  <c:v>44445</c:v>
                </c:pt>
                <c:pt idx="563">
                  <c:v>44442</c:v>
                </c:pt>
                <c:pt idx="564">
                  <c:v>44441</c:v>
                </c:pt>
                <c:pt idx="565">
                  <c:v>44440</c:v>
                </c:pt>
                <c:pt idx="566">
                  <c:v>44439</c:v>
                </c:pt>
                <c:pt idx="567">
                  <c:v>44438</c:v>
                </c:pt>
                <c:pt idx="568">
                  <c:v>44435</c:v>
                </c:pt>
                <c:pt idx="569">
                  <c:v>44434</c:v>
                </c:pt>
                <c:pt idx="570">
                  <c:v>44433</c:v>
                </c:pt>
                <c:pt idx="571">
                  <c:v>44432</c:v>
                </c:pt>
                <c:pt idx="572">
                  <c:v>44431</c:v>
                </c:pt>
                <c:pt idx="573">
                  <c:v>44428</c:v>
                </c:pt>
                <c:pt idx="574">
                  <c:v>44427</c:v>
                </c:pt>
                <c:pt idx="575">
                  <c:v>44426</c:v>
                </c:pt>
                <c:pt idx="576">
                  <c:v>44425</c:v>
                </c:pt>
                <c:pt idx="577">
                  <c:v>44424</c:v>
                </c:pt>
                <c:pt idx="578">
                  <c:v>44421</c:v>
                </c:pt>
                <c:pt idx="579">
                  <c:v>44420</c:v>
                </c:pt>
                <c:pt idx="580">
                  <c:v>44419</c:v>
                </c:pt>
                <c:pt idx="581">
                  <c:v>44418</c:v>
                </c:pt>
                <c:pt idx="582">
                  <c:v>44417</c:v>
                </c:pt>
                <c:pt idx="583">
                  <c:v>44414</c:v>
                </c:pt>
                <c:pt idx="584">
                  <c:v>44413</c:v>
                </c:pt>
                <c:pt idx="585">
                  <c:v>44412</c:v>
                </c:pt>
                <c:pt idx="586">
                  <c:v>44411</c:v>
                </c:pt>
                <c:pt idx="587">
                  <c:v>44410</c:v>
                </c:pt>
                <c:pt idx="588">
                  <c:v>44407</c:v>
                </c:pt>
                <c:pt idx="589">
                  <c:v>44406</c:v>
                </c:pt>
                <c:pt idx="590">
                  <c:v>44405</c:v>
                </c:pt>
                <c:pt idx="591">
                  <c:v>44404</c:v>
                </c:pt>
                <c:pt idx="592">
                  <c:v>44403</c:v>
                </c:pt>
                <c:pt idx="593">
                  <c:v>44399</c:v>
                </c:pt>
                <c:pt idx="594">
                  <c:v>44397</c:v>
                </c:pt>
                <c:pt idx="595">
                  <c:v>44396</c:v>
                </c:pt>
                <c:pt idx="596">
                  <c:v>44393</c:v>
                </c:pt>
                <c:pt idx="597">
                  <c:v>44392</c:v>
                </c:pt>
                <c:pt idx="598">
                  <c:v>44391</c:v>
                </c:pt>
                <c:pt idx="599">
                  <c:v>44390</c:v>
                </c:pt>
                <c:pt idx="600">
                  <c:v>44389</c:v>
                </c:pt>
                <c:pt idx="601">
                  <c:v>44386</c:v>
                </c:pt>
                <c:pt idx="602">
                  <c:v>44385</c:v>
                </c:pt>
                <c:pt idx="603">
                  <c:v>44384</c:v>
                </c:pt>
                <c:pt idx="604">
                  <c:v>44383</c:v>
                </c:pt>
                <c:pt idx="605">
                  <c:v>44382</c:v>
                </c:pt>
                <c:pt idx="606">
                  <c:v>44379</c:v>
                </c:pt>
                <c:pt idx="607">
                  <c:v>44378</c:v>
                </c:pt>
                <c:pt idx="608">
                  <c:v>44377</c:v>
                </c:pt>
                <c:pt idx="609">
                  <c:v>44376</c:v>
                </c:pt>
                <c:pt idx="610">
                  <c:v>44375</c:v>
                </c:pt>
                <c:pt idx="611">
                  <c:v>44372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44361</c:v>
                </c:pt>
                <c:pt idx="620">
                  <c:v>44358</c:v>
                </c:pt>
                <c:pt idx="621">
                  <c:v>44357</c:v>
                </c:pt>
                <c:pt idx="622">
                  <c:v>44356</c:v>
                </c:pt>
                <c:pt idx="623">
                  <c:v>44355</c:v>
                </c:pt>
                <c:pt idx="624">
                  <c:v>44354</c:v>
                </c:pt>
                <c:pt idx="625">
                  <c:v>44351</c:v>
                </c:pt>
                <c:pt idx="626">
                  <c:v>44350</c:v>
                </c:pt>
                <c:pt idx="627">
                  <c:v>44349</c:v>
                </c:pt>
                <c:pt idx="628">
                  <c:v>44348</c:v>
                </c:pt>
                <c:pt idx="629">
                  <c:v>44347</c:v>
                </c:pt>
                <c:pt idx="630">
                  <c:v>44344</c:v>
                </c:pt>
                <c:pt idx="631">
                  <c:v>44341</c:v>
                </c:pt>
                <c:pt idx="632">
                  <c:v>44340</c:v>
                </c:pt>
                <c:pt idx="633">
                  <c:v>44337</c:v>
                </c:pt>
                <c:pt idx="634">
                  <c:v>44336</c:v>
                </c:pt>
                <c:pt idx="635">
                  <c:v>44335</c:v>
                </c:pt>
                <c:pt idx="636">
                  <c:v>44334</c:v>
                </c:pt>
                <c:pt idx="637">
                  <c:v>44333</c:v>
                </c:pt>
                <c:pt idx="638">
                  <c:v>44329</c:v>
                </c:pt>
                <c:pt idx="639">
                  <c:v>44328</c:v>
                </c:pt>
                <c:pt idx="640">
                  <c:v>44327</c:v>
                </c:pt>
                <c:pt idx="641">
                  <c:v>44326</c:v>
                </c:pt>
                <c:pt idx="642">
                  <c:v>44323</c:v>
                </c:pt>
                <c:pt idx="643">
                  <c:v>44322</c:v>
                </c:pt>
                <c:pt idx="644">
                  <c:v>44321</c:v>
                </c:pt>
                <c:pt idx="645">
                  <c:v>44320</c:v>
                </c:pt>
                <c:pt idx="646">
                  <c:v>44319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44309</c:v>
                </c:pt>
                <c:pt idx="652">
                  <c:v>44308</c:v>
                </c:pt>
                <c:pt idx="653">
                  <c:v>44307</c:v>
                </c:pt>
                <c:pt idx="654">
                  <c:v>44306</c:v>
                </c:pt>
                <c:pt idx="655">
                  <c:v>44305</c:v>
                </c:pt>
                <c:pt idx="656">
                  <c:v>44302</c:v>
                </c:pt>
                <c:pt idx="657">
                  <c:v>44301</c:v>
                </c:pt>
                <c:pt idx="658">
                  <c:v>44298</c:v>
                </c:pt>
                <c:pt idx="659">
                  <c:v>44295</c:v>
                </c:pt>
                <c:pt idx="660">
                  <c:v>44294</c:v>
                </c:pt>
                <c:pt idx="661">
                  <c:v>44293</c:v>
                </c:pt>
                <c:pt idx="662">
                  <c:v>44292</c:v>
                </c:pt>
                <c:pt idx="663">
                  <c:v>44291</c:v>
                </c:pt>
                <c:pt idx="664">
                  <c:v>44287</c:v>
                </c:pt>
                <c:pt idx="665">
                  <c:v>44286</c:v>
                </c:pt>
                <c:pt idx="666">
                  <c:v>44285</c:v>
                </c:pt>
                <c:pt idx="667">
                  <c:v>44284</c:v>
                </c:pt>
                <c:pt idx="668">
                  <c:v>44281</c:v>
                </c:pt>
                <c:pt idx="669">
                  <c:v>44280</c:v>
                </c:pt>
                <c:pt idx="670">
                  <c:v>44279</c:v>
                </c:pt>
                <c:pt idx="671">
                  <c:v>44278</c:v>
                </c:pt>
                <c:pt idx="672">
                  <c:v>44277</c:v>
                </c:pt>
                <c:pt idx="673">
                  <c:v>44274</c:v>
                </c:pt>
                <c:pt idx="674">
                  <c:v>44273</c:v>
                </c:pt>
                <c:pt idx="675">
                  <c:v>44272</c:v>
                </c:pt>
                <c:pt idx="676">
                  <c:v>44271</c:v>
                </c:pt>
                <c:pt idx="677">
                  <c:v>44270</c:v>
                </c:pt>
                <c:pt idx="678">
                  <c:v>44267</c:v>
                </c:pt>
                <c:pt idx="679">
                  <c:v>44265</c:v>
                </c:pt>
                <c:pt idx="680">
                  <c:v>44264</c:v>
                </c:pt>
                <c:pt idx="681">
                  <c:v>44263</c:v>
                </c:pt>
                <c:pt idx="682">
                  <c:v>44260</c:v>
                </c:pt>
                <c:pt idx="683">
                  <c:v>44259</c:v>
                </c:pt>
                <c:pt idx="684">
                  <c:v>44258</c:v>
                </c:pt>
                <c:pt idx="685">
                  <c:v>44257</c:v>
                </c:pt>
                <c:pt idx="686">
                  <c:v>44256</c:v>
                </c:pt>
                <c:pt idx="687">
                  <c:v>44252</c:v>
                </c:pt>
                <c:pt idx="688">
                  <c:v>44251</c:v>
                </c:pt>
                <c:pt idx="689">
                  <c:v>44250</c:v>
                </c:pt>
                <c:pt idx="690">
                  <c:v>44249</c:v>
                </c:pt>
                <c:pt idx="691">
                  <c:v>44246</c:v>
                </c:pt>
                <c:pt idx="692">
                  <c:v>44245</c:v>
                </c:pt>
                <c:pt idx="693">
                  <c:v>44244</c:v>
                </c:pt>
                <c:pt idx="694">
                  <c:v>44243</c:v>
                </c:pt>
                <c:pt idx="695">
                  <c:v>44242</c:v>
                </c:pt>
                <c:pt idx="696">
                  <c:v>44239</c:v>
                </c:pt>
                <c:pt idx="697">
                  <c:v>44238</c:v>
                </c:pt>
                <c:pt idx="698">
                  <c:v>44237</c:v>
                </c:pt>
                <c:pt idx="699">
                  <c:v>44236</c:v>
                </c:pt>
                <c:pt idx="700">
                  <c:v>44235</c:v>
                </c:pt>
                <c:pt idx="701">
                  <c:v>44232</c:v>
                </c:pt>
                <c:pt idx="702">
                  <c:v>44230</c:v>
                </c:pt>
                <c:pt idx="703">
                  <c:v>44229</c:v>
                </c:pt>
                <c:pt idx="704">
                  <c:v>44228</c:v>
                </c:pt>
                <c:pt idx="705">
                  <c:v>44225</c:v>
                </c:pt>
                <c:pt idx="706">
                  <c:v>44223</c:v>
                </c:pt>
                <c:pt idx="707">
                  <c:v>44222</c:v>
                </c:pt>
                <c:pt idx="708">
                  <c:v>44221</c:v>
                </c:pt>
                <c:pt idx="709">
                  <c:v>44218</c:v>
                </c:pt>
                <c:pt idx="710">
                  <c:v>44217</c:v>
                </c:pt>
                <c:pt idx="711">
                  <c:v>44216</c:v>
                </c:pt>
                <c:pt idx="712">
                  <c:v>44215</c:v>
                </c:pt>
                <c:pt idx="713">
                  <c:v>44214</c:v>
                </c:pt>
                <c:pt idx="714">
                  <c:v>44211</c:v>
                </c:pt>
                <c:pt idx="715">
                  <c:v>44209</c:v>
                </c:pt>
                <c:pt idx="716">
                  <c:v>44208</c:v>
                </c:pt>
                <c:pt idx="717">
                  <c:v>44207</c:v>
                </c:pt>
                <c:pt idx="718">
                  <c:v>44204</c:v>
                </c:pt>
                <c:pt idx="719">
                  <c:v>44203</c:v>
                </c:pt>
                <c:pt idx="720">
                  <c:v>44202</c:v>
                </c:pt>
                <c:pt idx="721">
                  <c:v>44201</c:v>
                </c:pt>
                <c:pt idx="722">
                  <c:v>44200</c:v>
                </c:pt>
              </c:numCache>
            </c:numRef>
          </c:cat>
          <c:val>
            <c:numRef>
              <c:f>'Price volume'!$D$4:$D$725</c:f>
            </c:numRef>
          </c:val>
          <c:smooth val="0"/>
          <c:extLst>
            <c:ext xmlns:c16="http://schemas.microsoft.com/office/drawing/2014/chart" uri="{C3380CC4-5D6E-409C-BE32-E72D297353CC}">
              <c16:uniqueId val="{00000002-908F-4BD6-A328-2AF6745D6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696191"/>
        <c:axId val="337977695"/>
      </c:lineChart>
      <c:dateAx>
        <c:axId val="17346961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77695"/>
        <c:crosses val="autoZero"/>
        <c:auto val="1"/>
        <c:lblOffset val="100"/>
        <c:baseTimeUnit val="days"/>
      </c:dateAx>
      <c:valAx>
        <c:axId val="33797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696191"/>
        <c:crosses val="autoZero"/>
        <c:crossBetween val="between"/>
      </c:valAx>
      <c:valAx>
        <c:axId val="337943967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536495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ateAx>
        <c:axId val="2655364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3794396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COMB.X - Price and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'Price volume'!$T$2</c:f>
              <c:strCache>
                <c:ptCount val="1"/>
                <c:pt idx="0">
                  <c:v>Volume (RHS)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'Price volume'!$O$3:$O$725</c:f>
              <c:numCache>
                <c:formatCode>m/d/yyyy</c:formatCode>
                <c:ptCount val="723"/>
                <c:pt idx="0">
                  <c:v>45307</c:v>
                </c:pt>
                <c:pt idx="1">
                  <c:v>45302</c:v>
                </c:pt>
                <c:pt idx="2">
                  <c:v>45301</c:v>
                </c:pt>
                <c:pt idx="3">
                  <c:v>45300</c:v>
                </c:pt>
                <c:pt idx="4">
                  <c:v>45299</c:v>
                </c:pt>
                <c:pt idx="5">
                  <c:v>45296</c:v>
                </c:pt>
                <c:pt idx="6">
                  <c:v>45295</c:v>
                </c:pt>
                <c:pt idx="7">
                  <c:v>45294</c:v>
                </c:pt>
                <c:pt idx="8">
                  <c:v>45293</c:v>
                </c:pt>
                <c:pt idx="9">
                  <c:v>45289</c:v>
                </c:pt>
                <c:pt idx="10">
                  <c:v>45288</c:v>
                </c:pt>
                <c:pt idx="11">
                  <c:v>45287</c:v>
                </c:pt>
                <c:pt idx="12">
                  <c:v>45282</c:v>
                </c:pt>
                <c:pt idx="13">
                  <c:v>45281</c:v>
                </c:pt>
                <c:pt idx="14">
                  <c:v>45280</c:v>
                </c:pt>
                <c:pt idx="15">
                  <c:v>45279</c:v>
                </c:pt>
                <c:pt idx="16">
                  <c:v>45278</c:v>
                </c:pt>
                <c:pt idx="17">
                  <c:v>45275</c:v>
                </c:pt>
                <c:pt idx="18">
                  <c:v>45274</c:v>
                </c:pt>
                <c:pt idx="19">
                  <c:v>45274</c:v>
                </c:pt>
                <c:pt idx="20">
                  <c:v>45273</c:v>
                </c:pt>
                <c:pt idx="21">
                  <c:v>45272</c:v>
                </c:pt>
                <c:pt idx="22">
                  <c:v>45271</c:v>
                </c:pt>
                <c:pt idx="23">
                  <c:v>45268</c:v>
                </c:pt>
                <c:pt idx="24">
                  <c:v>45267</c:v>
                </c:pt>
                <c:pt idx="25">
                  <c:v>45266</c:v>
                </c:pt>
                <c:pt idx="26">
                  <c:v>45265</c:v>
                </c:pt>
                <c:pt idx="27">
                  <c:v>45264</c:v>
                </c:pt>
                <c:pt idx="28">
                  <c:v>45261</c:v>
                </c:pt>
                <c:pt idx="29">
                  <c:v>45260</c:v>
                </c:pt>
                <c:pt idx="30">
                  <c:v>45259</c:v>
                </c:pt>
                <c:pt idx="31">
                  <c:v>45258</c:v>
                </c:pt>
                <c:pt idx="32">
                  <c:v>45257</c:v>
                </c:pt>
                <c:pt idx="33">
                  <c:v>45254</c:v>
                </c:pt>
                <c:pt idx="34">
                  <c:v>45253</c:v>
                </c:pt>
                <c:pt idx="35">
                  <c:v>45252</c:v>
                </c:pt>
                <c:pt idx="36">
                  <c:v>45251</c:v>
                </c:pt>
                <c:pt idx="37">
                  <c:v>45250</c:v>
                </c:pt>
                <c:pt idx="38">
                  <c:v>45247</c:v>
                </c:pt>
                <c:pt idx="39">
                  <c:v>45246</c:v>
                </c:pt>
                <c:pt idx="40">
                  <c:v>45245</c:v>
                </c:pt>
                <c:pt idx="41">
                  <c:v>45244</c:v>
                </c:pt>
                <c:pt idx="42">
                  <c:v>45243</c:v>
                </c:pt>
                <c:pt idx="43">
                  <c:v>45240</c:v>
                </c:pt>
                <c:pt idx="44">
                  <c:v>45239</c:v>
                </c:pt>
                <c:pt idx="45">
                  <c:v>45238</c:v>
                </c:pt>
                <c:pt idx="46">
                  <c:v>45237</c:v>
                </c:pt>
                <c:pt idx="47">
                  <c:v>45236</c:v>
                </c:pt>
                <c:pt idx="48">
                  <c:v>45233</c:v>
                </c:pt>
                <c:pt idx="49">
                  <c:v>45232</c:v>
                </c:pt>
                <c:pt idx="50">
                  <c:v>45231</c:v>
                </c:pt>
                <c:pt idx="51">
                  <c:v>45230</c:v>
                </c:pt>
                <c:pt idx="52">
                  <c:v>45229</c:v>
                </c:pt>
                <c:pt idx="53">
                  <c:v>45226</c:v>
                </c:pt>
                <c:pt idx="54">
                  <c:v>45225</c:v>
                </c:pt>
                <c:pt idx="55">
                  <c:v>45224</c:v>
                </c:pt>
                <c:pt idx="56">
                  <c:v>45223</c:v>
                </c:pt>
                <c:pt idx="57">
                  <c:v>45222</c:v>
                </c:pt>
                <c:pt idx="58">
                  <c:v>45219</c:v>
                </c:pt>
                <c:pt idx="59">
                  <c:v>45218</c:v>
                </c:pt>
                <c:pt idx="60">
                  <c:v>45217</c:v>
                </c:pt>
                <c:pt idx="61">
                  <c:v>45216</c:v>
                </c:pt>
                <c:pt idx="62">
                  <c:v>45215</c:v>
                </c:pt>
                <c:pt idx="63">
                  <c:v>45212</c:v>
                </c:pt>
                <c:pt idx="64">
                  <c:v>45211</c:v>
                </c:pt>
                <c:pt idx="65">
                  <c:v>45210</c:v>
                </c:pt>
                <c:pt idx="66">
                  <c:v>45209</c:v>
                </c:pt>
                <c:pt idx="67">
                  <c:v>45208</c:v>
                </c:pt>
                <c:pt idx="68">
                  <c:v>45205</c:v>
                </c:pt>
                <c:pt idx="69">
                  <c:v>45204</c:v>
                </c:pt>
                <c:pt idx="70">
                  <c:v>45203</c:v>
                </c:pt>
                <c:pt idx="71">
                  <c:v>45202</c:v>
                </c:pt>
                <c:pt idx="72">
                  <c:v>45201</c:v>
                </c:pt>
                <c:pt idx="73">
                  <c:v>45196</c:v>
                </c:pt>
                <c:pt idx="74">
                  <c:v>45195</c:v>
                </c:pt>
                <c:pt idx="75">
                  <c:v>45194</c:v>
                </c:pt>
                <c:pt idx="76">
                  <c:v>45191</c:v>
                </c:pt>
                <c:pt idx="77">
                  <c:v>45190</c:v>
                </c:pt>
                <c:pt idx="78">
                  <c:v>45189</c:v>
                </c:pt>
                <c:pt idx="79">
                  <c:v>45188</c:v>
                </c:pt>
                <c:pt idx="80">
                  <c:v>45187</c:v>
                </c:pt>
                <c:pt idx="81">
                  <c:v>45184</c:v>
                </c:pt>
                <c:pt idx="82">
                  <c:v>45183</c:v>
                </c:pt>
                <c:pt idx="83">
                  <c:v>45182</c:v>
                </c:pt>
                <c:pt idx="84">
                  <c:v>45181</c:v>
                </c:pt>
                <c:pt idx="85">
                  <c:v>45180</c:v>
                </c:pt>
                <c:pt idx="86">
                  <c:v>45177</c:v>
                </c:pt>
                <c:pt idx="87">
                  <c:v>45176</c:v>
                </c:pt>
                <c:pt idx="88">
                  <c:v>45175</c:v>
                </c:pt>
                <c:pt idx="89">
                  <c:v>45174</c:v>
                </c:pt>
                <c:pt idx="90">
                  <c:v>45173</c:v>
                </c:pt>
                <c:pt idx="91">
                  <c:v>45170</c:v>
                </c:pt>
                <c:pt idx="92">
                  <c:v>45169</c:v>
                </c:pt>
                <c:pt idx="93">
                  <c:v>45167</c:v>
                </c:pt>
                <c:pt idx="94">
                  <c:v>45166</c:v>
                </c:pt>
                <c:pt idx="95">
                  <c:v>45163</c:v>
                </c:pt>
                <c:pt idx="96">
                  <c:v>45162</c:v>
                </c:pt>
                <c:pt idx="97">
                  <c:v>45161</c:v>
                </c:pt>
                <c:pt idx="98">
                  <c:v>45160</c:v>
                </c:pt>
                <c:pt idx="99">
                  <c:v>45159</c:v>
                </c:pt>
                <c:pt idx="100">
                  <c:v>45156</c:v>
                </c:pt>
                <c:pt idx="101">
                  <c:v>45155</c:v>
                </c:pt>
                <c:pt idx="102">
                  <c:v>45154</c:v>
                </c:pt>
                <c:pt idx="103">
                  <c:v>45153</c:v>
                </c:pt>
                <c:pt idx="104">
                  <c:v>45152</c:v>
                </c:pt>
                <c:pt idx="105">
                  <c:v>45149</c:v>
                </c:pt>
                <c:pt idx="106">
                  <c:v>45148</c:v>
                </c:pt>
                <c:pt idx="107">
                  <c:v>45147</c:v>
                </c:pt>
                <c:pt idx="108">
                  <c:v>45146</c:v>
                </c:pt>
                <c:pt idx="109">
                  <c:v>45145</c:v>
                </c:pt>
                <c:pt idx="110">
                  <c:v>45142</c:v>
                </c:pt>
                <c:pt idx="111">
                  <c:v>45141</c:v>
                </c:pt>
                <c:pt idx="112">
                  <c:v>45140</c:v>
                </c:pt>
                <c:pt idx="113">
                  <c:v>45138</c:v>
                </c:pt>
                <c:pt idx="114">
                  <c:v>45135</c:v>
                </c:pt>
                <c:pt idx="115">
                  <c:v>45134</c:v>
                </c:pt>
                <c:pt idx="116">
                  <c:v>45133</c:v>
                </c:pt>
                <c:pt idx="117">
                  <c:v>45132</c:v>
                </c:pt>
                <c:pt idx="118">
                  <c:v>45131</c:v>
                </c:pt>
                <c:pt idx="119">
                  <c:v>45128</c:v>
                </c:pt>
                <c:pt idx="120">
                  <c:v>45127</c:v>
                </c:pt>
                <c:pt idx="121">
                  <c:v>45126</c:v>
                </c:pt>
                <c:pt idx="122">
                  <c:v>45125</c:v>
                </c:pt>
                <c:pt idx="123">
                  <c:v>45124</c:v>
                </c:pt>
                <c:pt idx="124">
                  <c:v>45121</c:v>
                </c:pt>
                <c:pt idx="125">
                  <c:v>45120</c:v>
                </c:pt>
                <c:pt idx="126">
                  <c:v>45119</c:v>
                </c:pt>
                <c:pt idx="127">
                  <c:v>45118</c:v>
                </c:pt>
                <c:pt idx="128">
                  <c:v>45117</c:v>
                </c:pt>
                <c:pt idx="129">
                  <c:v>45114</c:v>
                </c:pt>
                <c:pt idx="130">
                  <c:v>45113</c:v>
                </c:pt>
                <c:pt idx="131">
                  <c:v>45112</c:v>
                </c:pt>
                <c:pt idx="132">
                  <c:v>45111</c:v>
                </c:pt>
                <c:pt idx="133">
                  <c:v>45105</c:v>
                </c:pt>
                <c:pt idx="134">
                  <c:v>45104</c:v>
                </c:pt>
                <c:pt idx="135">
                  <c:v>45103</c:v>
                </c:pt>
                <c:pt idx="136">
                  <c:v>45100</c:v>
                </c:pt>
                <c:pt idx="137">
                  <c:v>45099</c:v>
                </c:pt>
                <c:pt idx="138">
                  <c:v>45098</c:v>
                </c:pt>
                <c:pt idx="139">
                  <c:v>45097</c:v>
                </c:pt>
                <c:pt idx="140">
                  <c:v>45096</c:v>
                </c:pt>
                <c:pt idx="141">
                  <c:v>45093</c:v>
                </c:pt>
                <c:pt idx="142">
                  <c:v>45092</c:v>
                </c:pt>
                <c:pt idx="143">
                  <c:v>45091</c:v>
                </c:pt>
                <c:pt idx="144">
                  <c:v>45090</c:v>
                </c:pt>
                <c:pt idx="145">
                  <c:v>45089</c:v>
                </c:pt>
                <c:pt idx="146">
                  <c:v>45086</c:v>
                </c:pt>
                <c:pt idx="147">
                  <c:v>45085</c:v>
                </c:pt>
                <c:pt idx="148">
                  <c:v>45084</c:v>
                </c:pt>
                <c:pt idx="149">
                  <c:v>45083</c:v>
                </c:pt>
                <c:pt idx="150">
                  <c:v>45082</c:v>
                </c:pt>
                <c:pt idx="151">
                  <c:v>45079</c:v>
                </c:pt>
                <c:pt idx="152">
                  <c:v>45078</c:v>
                </c:pt>
                <c:pt idx="153">
                  <c:v>45077</c:v>
                </c:pt>
                <c:pt idx="154">
                  <c:v>45076</c:v>
                </c:pt>
                <c:pt idx="155">
                  <c:v>45075</c:v>
                </c:pt>
                <c:pt idx="156">
                  <c:v>45072</c:v>
                </c:pt>
                <c:pt idx="157">
                  <c:v>45071</c:v>
                </c:pt>
                <c:pt idx="158">
                  <c:v>45070</c:v>
                </c:pt>
                <c:pt idx="159">
                  <c:v>45069</c:v>
                </c:pt>
                <c:pt idx="160">
                  <c:v>45068</c:v>
                </c:pt>
                <c:pt idx="161">
                  <c:v>45065</c:v>
                </c:pt>
                <c:pt idx="162">
                  <c:v>45064</c:v>
                </c:pt>
                <c:pt idx="163">
                  <c:v>45063</c:v>
                </c:pt>
                <c:pt idx="164">
                  <c:v>45062</c:v>
                </c:pt>
                <c:pt idx="165">
                  <c:v>45061</c:v>
                </c:pt>
                <c:pt idx="166">
                  <c:v>45058</c:v>
                </c:pt>
                <c:pt idx="167">
                  <c:v>45057</c:v>
                </c:pt>
                <c:pt idx="168">
                  <c:v>45056</c:v>
                </c:pt>
                <c:pt idx="169">
                  <c:v>45055</c:v>
                </c:pt>
                <c:pt idx="170">
                  <c:v>45054</c:v>
                </c:pt>
                <c:pt idx="171">
                  <c:v>45050</c:v>
                </c:pt>
                <c:pt idx="172">
                  <c:v>45049</c:v>
                </c:pt>
                <c:pt idx="173">
                  <c:v>45048</c:v>
                </c:pt>
                <c:pt idx="174">
                  <c:v>45044</c:v>
                </c:pt>
                <c:pt idx="175">
                  <c:v>45043</c:v>
                </c:pt>
                <c:pt idx="176">
                  <c:v>45042</c:v>
                </c:pt>
                <c:pt idx="177">
                  <c:v>45041</c:v>
                </c:pt>
                <c:pt idx="178">
                  <c:v>45040</c:v>
                </c:pt>
                <c:pt idx="179">
                  <c:v>45037</c:v>
                </c:pt>
                <c:pt idx="180">
                  <c:v>45036</c:v>
                </c:pt>
                <c:pt idx="181">
                  <c:v>45035</c:v>
                </c:pt>
                <c:pt idx="182">
                  <c:v>45034</c:v>
                </c:pt>
                <c:pt idx="183">
                  <c:v>45033</c:v>
                </c:pt>
                <c:pt idx="184">
                  <c:v>45028</c:v>
                </c:pt>
                <c:pt idx="185">
                  <c:v>45027</c:v>
                </c:pt>
                <c:pt idx="186">
                  <c:v>45026</c:v>
                </c:pt>
                <c:pt idx="187">
                  <c:v>45022</c:v>
                </c:pt>
                <c:pt idx="188">
                  <c:v>45020</c:v>
                </c:pt>
                <c:pt idx="189">
                  <c:v>45019</c:v>
                </c:pt>
                <c:pt idx="190">
                  <c:v>45016</c:v>
                </c:pt>
                <c:pt idx="191">
                  <c:v>45015</c:v>
                </c:pt>
                <c:pt idx="192">
                  <c:v>45014</c:v>
                </c:pt>
                <c:pt idx="193">
                  <c:v>45013</c:v>
                </c:pt>
                <c:pt idx="194">
                  <c:v>45012</c:v>
                </c:pt>
                <c:pt idx="195">
                  <c:v>45009</c:v>
                </c:pt>
                <c:pt idx="196">
                  <c:v>45008</c:v>
                </c:pt>
                <c:pt idx="197">
                  <c:v>45007</c:v>
                </c:pt>
                <c:pt idx="198">
                  <c:v>45006</c:v>
                </c:pt>
                <c:pt idx="199">
                  <c:v>45005</c:v>
                </c:pt>
                <c:pt idx="200">
                  <c:v>45002</c:v>
                </c:pt>
                <c:pt idx="201">
                  <c:v>45001</c:v>
                </c:pt>
                <c:pt idx="202">
                  <c:v>45000</c:v>
                </c:pt>
                <c:pt idx="203">
                  <c:v>44999</c:v>
                </c:pt>
                <c:pt idx="204">
                  <c:v>44998</c:v>
                </c:pt>
                <c:pt idx="205">
                  <c:v>44995</c:v>
                </c:pt>
                <c:pt idx="206">
                  <c:v>44994</c:v>
                </c:pt>
                <c:pt idx="207">
                  <c:v>44993</c:v>
                </c:pt>
                <c:pt idx="208">
                  <c:v>44992</c:v>
                </c:pt>
                <c:pt idx="209">
                  <c:v>44988</c:v>
                </c:pt>
                <c:pt idx="210">
                  <c:v>44987</c:v>
                </c:pt>
                <c:pt idx="211">
                  <c:v>44986</c:v>
                </c:pt>
                <c:pt idx="212">
                  <c:v>44985</c:v>
                </c:pt>
                <c:pt idx="213">
                  <c:v>44984</c:v>
                </c:pt>
                <c:pt idx="214">
                  <c:v>44981</c:v>
                </c:pt>
                <c:pt idx="215">
                  <c:v>44980</c:v>
                </c:pt>
                <c:pt idx="216">
                  <c:v>44979</c:v>
                </c:pt>
                <c:pt idx="217">
                  <c:v>44978</c:v>
                </c:pt>
                <c:pt idx="218">
                  <c:v>44977</c:v>
                </c:pt>
                <c:pt idx="219">
                  <c:v>44974</c:v>
                </c:pt>
                <c:pt idx="220">
                  <c:v>44973</c:v>
                </c:pt>
                <c:pt idx="221">
                  <c:v>44972</c:v>
                </c:pt>
                <c:pt idx="222">
                  <c:v>44971</c:v>
                </c:pt>
                <c:pt idx="223">
                  <c:v>44970</c:v>
                </c:pt>
                <c:pt idx="224">
                  <c:v>44967</c:v>
                </c:pt>
                <c:pt idx="225">
                  <c:v>44966</c:v>
                </c:pt>
                <c:pt idx="226">
                  <c:v>44965</c:v>
                </c:pt>
                <c:pt idx="227">
                  <c:v>44964</c:v>
                </c:pt>
                <c:pt idx="228">
                  <c:v>44963</c:v>
                </c:pt>
                <c:pt idx="229">
                  <c:v>44960</c:v>
                </c:pt>
                <c:pt idx="230">
                  <c:v>44959</c:v>
                </c:pt>
                <c:pt idx="231">
                  <c:v>44958</c:v>
                </c:pt>
                <c:pt idx="232">
                  <c:v>44957</c:v>
                </c:pt>
                <c:pt idx="233">
                  <c:v>44956</c:v>
                </c:pt>
                <c:pt idx="234">
                  <c:v>44953</c:v>
                </c:pt>
                <c:pt idx="235">
                  <c:v>44952</c:v>
                </c:pt>
                <c:pt idx="236">
                  <c:v>44951</c:v>
                </c:pt>
                <c:pt idx="237">
                  <c:v>44950</c:v>
                </c:pt>
                <c:pt idx="238">
                  <c:v>44949</c:v>
                </c:pt>
                <c:pt idx="239">
                  <c:v>44946</c:v>
                </c:pt>
                <c:pt idx="240">
                  <c:v>44945</c:v>
                </c:pt>
                <c:pt idx="241">
                  <c:v>44944</c:v>
                </c:pt>
                <c:pt idx="242">
                  <c:v>44943</c:v>
                </c:pt>
                <c:pt idx="243">
                  <c:v>44939</c:v>
                </c:pt>
                <c:pt idx="244">
                  <c:v>44938</c:v>
                </c:pt>
                <c:pt idx="245">
                  <c:v>44937</c:v>
                </c:pt>
                <c:pt idx="246">
                  <c:v>44936</c:v>
                </c:pt>
                <c:pt idx="247">
                  <c:v>44935</c:v>
                </c:pt>
                <c:pt idx="248">
                  <c:v>44931</c:v>
                </c:pt>
                <c:pt idx="249">
                  <c:v>44930</c:v>
                </c:pt>
                <c:pt idx="250">
                  <c:v>44929</c:v>
                </c:pt>
                <c:pt idx="251">
                  <c:v>44928</c:v>
                </c:pt>
                <c:pt idx="252">
                  <c:v>44925</c:v>
                </c:pt>
                <c:pt idx="253">
                  <c:v>44924</c:v>
                </c:pt>
                <c:pt idx="254">
                  <c:v>44923</c:v>
                </c:pt>
                <c:pt idx="255">
                  <c:v>44922</c:v>
                </c:pt>
                <c:pt idx="256">
                  <c:v>44918</c:v>
                </c:pt>
                <c:pt idx="257">
                  <c:v>44917</c:v>
                </c:pt>
                <c:pt idx="258">
                  <c:v>44916</c:v>
                </c:pt>
                <c:pt idx="259">
                  <c:v>44915</c:v>
                </c:pt>
                <c:pt idx="260">
                  <c:v>44914</c:v>
                </c:pt>
                <c:pt idx="261">
                  <c:v>44911</c:v>
                </c:pt>
                <c:pt idx="262">
                  <c:v>44910</c:v>
                </c:pt>
                <c:pt idx="263">
                  <c:v>44909</c:v>
                </c:pt>
                <c:pt idx="264">
                  <c:v>44908</c:v>
                </c:pt>
                <c:pt idx="265">
                  <c:v>44907</c:v>
                </c:pt>
                <c:pt idx="266">
                  <c:v>44904</c:v>
                </c:pt>
                <c:pt idx="267">
                  <c:v>44903</c:v>
                </c:pt>
                <c:pt idx="268">
                  <c:v>44901</c:v>
                </c:pt>
                <c:pt idx="269">
                  <c:v>44900</c:v>
                </c:pt>
                <c:pt idx="270">
                  <c:v>44897</c:v>
                </c:pt>
                <c:pt idx="271">
                  <c:v>44896</c:v>
                </c:pt>
                <c:pt idx="272">
                  <c:v>44895</c:v>
                </c:pt>
                <c:pt idx="273">
                  <c:v>44894</c:v>
                </c:pt>
                <c:pt idx="274">
                  <c:v>44893</c:v>
                </c:pt>
                <c:pt idx="275">
                  <c:v>44890</c:v>
                </c:pt>
                <c:pt idx="276">
                  <c:v>44889</c:v>
                </c:pt>
                <c:pt idx="277">
                  <c:v>44888</c:v>
                </c:pt>
                <c:pt idx="278">
                  <c:v>44887</c:v>
                </c:pt>
                <c:pt idx="279">
                  <c:v>44886</c:v>
                </c:pt>
                <c:pt idx="280">
                  <c:v>44883</c:v>
                </c:pt>
                <c:pt idx="281">
                  <c:v>44882</c:v>
                </c:pt>
                <c:pt idx="282">
                  <c:v>44881</c:v>
                </c:pt>
                <c:pt idx="283">
                  <c:v>44880</c:v>
                </c:pt>
                <c:pt idx="284">
                  <c:v>44879</c:v>
                </c:pt>
                <c:pt idx="285">
                  <c:v>44876</c:v>
                </c:pt>
                <c:pt idx="286">
                  <c:v>44875</c:v>
                </c:pt>
                <c:pt idx="287">
                  <c:v>44874</c:v>
                </c:pt>
                <c:pt idx="288">
                  <c:v>44873</c:v>
                </c:pt>
                <c:pt idx="289">
                  <c:v>44869</c:v>
                </c:pt>
                <c:pt idx="290">
                  <c:v>44868</c:v>
                </c:pt>
                <c:pt idx="291">
                  <c:v>44867</c:v>
                </c:pt>
                <c:pt idx="292">
                  <c:v>44866</c:v>
                </c:pt>
                <c:pt idx="293">
                  <c:v>44865</c:v>
                </c:pt>
                <c:pt idx="294">
                  <c:v>44862</c:v>
                </c:pt>
                <c:pt idx="295">
                  <c:v>44861</c:v>
                </c:pt>
                <c:pt idx="296">
                  <c:v>44860</c:v>
                </c:pt>
                <c:pt idx="297">
                  <c:v>44859</c:v>
                </c:pt>
                <c:pt idx="298">
                  <c:v>44855</c:v>
                </c:pt>
                <c:pt idx="299">
                  <c:v>44854</c:v>
                </c:pt>
                <c:pt idx="300">
                  <c:v>44853</c:v>
                </c:pt>
                <c:pt idx="301">
                  <c:v>44852</c:v>
                </c:pt>
                <c:pt idx="302">
                  <c:v>44851</c:v>
                </c:pt>
                <c:pt idx="303">
                  <c:v>44848</c:v>
                </c:pt>
                <c:pt idx="304">
                  <c:v>44847</c:v>
                </c:pt>
                <c:pt idx="305">
                  <c:v>44846</c:v>
                </c:pt>
                <c:pt idx="306">
                  <c:v>44845</c:v>
                </c:pt>
                <c:pt idx="307">
                  <c:v>44841</c:v>
                </c:pt>
                <c:pt idx="308">
                  <c:v>44840</c:v>
                </c:pt>
                <c:pt idx="309">
                  <c:v>44839</c:v>
                </c:pt>
                <c:pt idx="310">
                  <c:v>44838</c:v>
                </c:pt>
                <c:pt idx="311">
                  <c:v>44837</c:v>
                </c:pt>
                <c:pt idx="312">
                  <c:v>44834</c:v>
                </c:pt>
                <c:pt idx="313">
                  <c:v>44833</c:v>
                </c:pt>
                <c:pt idx="314">
                  <c:v>44832</c:v>
                </c:pt>
                <c:pt idx="315">
                  <c:v>44831</c:v>
                </c:pt>
                <c:pt idx="316">
                  <c:v>44830</c:v>
                </c:pt>
                <c:pt idx="317">
                  <c:v>44827</c:v>
                </c:pt>
                <c:pt idx="318">
                  <c:v>44826</c:v>
                </c:pt>
                <c:pt idx="319">
                  <c:v>44825</c:v>
                </c:pt>
                <c:pt idx="320">
                  <c:v>44824</c:v>
                </c:pt>
                <c:pt idx="321">
                  <c:v>44823</c:v>
                </c:pt>
                <c:pt idx="322">
                  <c:v>44820</c:v>
                </c:pt>
                <c:pt idx="323">
                  <c:v>44819</c:v>
                </c:pt>
                <c:pt idx="324">
                  <c:v>44818</c:v>
                </c:pt>
                <c:pt idx="325">
                  <c:v>44817</c:v>
                </c:pt>
                <c:pt idx="326">
                  <c:v>44816</c:v>
                </c:pt>
                <c:pt idx="327">
                  <c:v>44813</c:v>
                </c:pt>
                <c:pt idx="328">
                  <c:v>44812</c:v>
                </c:pt>
                <c:pt idx="329">
                  <c:v>44811</c:v>
                </c:pt>
                <c:pt idx="330">
                  <c:v>44810</c:v>
                </c:pt>
                <c:pt idx="331">
                  <c:v>44809</c:v>
                </c:pt>
                <c:pt idx="332">
                  <c:v>44806</c:v>
                </c:pt>
                <c:pt idx="333">
                  <c:v>44805</c:v>
                </c:pt>
                <c:pt idx="334">
                  <c:v>44804</c:v>
                </c:pt>
                <c:pt idx="335">
                  <c:v>44803</c:v>
                </c:pt>
                <c:pt idx="336">
                  <c:v>44802</c:v>
                </c:pt>
                <c:pt idx="337">
                  <c:v>44799</c:v>
                </c:pt>
                <c:pt idx="338">
                  <c:v>44798</c:v>
                </c:pt>
                <c:pt idx="339">
                  <c:v>44797</c:v>
                </c:pt>
                <c:pt idx="340">
                  <c:v>44796</c:v>
                </c:pt>
                <c:pt idx="341">
                  <c:v>44795</c:v>
                </c:pt>
                <c:pt idx="342">
                  <c:v>44792</c:v>
                </c:pt>
                <c:pt idx="343">
                  <c:v>44791</c:v>
                </c:pt>
                <c:pt idx="344">
                  <c:v>44790</c:v>
                </c:pt>
                <c:pt idx="345">
                  <c:v>44789</c:v>
                </c:pt>
                <c:pt idx="346">
                  <c:v>44788</c:v>
                </c:pt>
                <c:pt idx="347">
                  <c:v>44785</c:v>
                </c:pt>
                <c:pt idx="348">
                  <c:v>44783</c:v>
                </c:pt>
                <c:pt idx="349">
                  <c:v>44782</c:v>
                </c:pt>
                <c:pt idx="350">
                  <c:v>44781</c:v>
                </c:pt>
                <c:pt idx="351">
                  <c:v>44778</c:v>
                </c:pt>
                <c:pt idx="352">
                  <c:v>44777</c:v>
                </c:pt>
                <c:pt idx="353">
                  <c:v>44776</c:v>
                </c:pt>
                <c:pt idx="354">
                  <c:v>44775</c:v>
                </c:pt>
                <c:pt idx="355">
                  <c:v>44774</c:v>
                </c:pt>
                <c:pt idx="356">
                  <c:v>44771</c:v>
                </c:pt>
                <c:pt idx="357">
                  <c:v>44770</c:v>
                </c:pt>
                <c:pt idx="358">
                  <c:v>44769</c:v>
                </c:pt>
                <c:pt idx="359">
                  <c:v>44768</c:v>
                </c:pt>
                <c:pt idx="360">
                  <c:v>44767</c:v>
                </c:pt>
                <c:pt idx="361">
                  <c:v>44764</c:v>
                </c:pt>
                <c:pt idx="362">
                  <c:v>44763</c:v>
                </c:pt>
                <c:pt idx="363">
                  <c:v>44762</c:v>
                </c:pt>
                <c:pt idx="364">
                  <c:v>44761</c:v>
                </c:pt>
                <c:pt idx="365">
                  <c:v>44760</c:v>
                </c:pt>
                <c:pt idx="366">
                  <c:v>44757</c:v>
                </c:pt>
                <c:pt idx="367">
                  <c:v>44756</c:v>
                </c:pt>
                <c:pt idx="368">
                  <c:v>44754</c:v>
                </c:pt>
                <c:pt idx="369">
                  <c:v>44753</c:v>
                </c:pt>
                <c:pt idx="370">
                  <c:v>44750</c:v>
                </c:pt>
                <c:pt idx="371">
                  <c:v>44749</c:v>
                </c:pt>
                <c:pt idx="372">
                  <c:v>44748</c:v>
                </c:pt>
                <c:pt idx="373">
                  <c:v>44747</c:v>
                </c:pt>
                <c:pt idx="374">
                  <c:v>44746</c:v>
                </c:pt>
                <c:pt idx="375">
                  <c:v>44743</c:v>
                </c:pt>
                <c:pt idx="376">
                  <c:v>44742</c:v>
                </c:pt>
                <c:pt idx="377">
                  <c:v>44741</c:v>
                </c:pt>
                <c:pt idx="378">
                  <c:v>44740</c:v>
                </c:pt>
                <c:pt idx="379">
                  <c:v>44739</c:v>
                </c:pt>
                <c:pt idx="380">
                  <c:v>44736</c:v>
                </c:pt>
                <c:pt idx="381">
                  <c:v>44735</c:v>
                </c:pt>
                <c:pt idx="382">
                  <c:v>44734</c:v>
                </c:pt>
                <c:pt idx="383">
                  <c:v>44733</c:v>
                </c:pt>
                <c:pt idx="384">
                  <c:v>44732</c:v>
                </c:pt>
                <c:pt idx="385">
                  <c:v>44729</c:v>
                </c:pt>
                <c:pt idx="386">
                  <c:v>44728</c:v>
                </c:pt>
                <c:pt idx="387">
                  <c:v>44727</c:v>
                </c:pt>
                <c:pt idx="388">
                  <c:v>44725</c:v>
                </c:pt>
                <c:pt idx="389">
                  <c:v>44722</c:v>
                </c:pt>
                <c:pt idx="390">
                  <c:v>44721</c:v>
                </c:pt>
                <c:pt idx="391">
                  <c:v>44720</c:v>
                </c:pt>
                <c:pt idx="392">
                  <c:v>44719</c:v>
                </c:pt>
                <c:pt idx="393">
                  <c:v>44718</c:v>
                </c:pt>
                <c:pt idx="394">
                  <c:v>44715</c:v>
                </c:pt>
                <c:pt idx="395">
                  <c:v>44714</c:v>
                </c:pt>
                <c:pt idx="396">
                  <c:v>44713</c:v>
                </c:pt>
                <c:pt idx="397">
                  <c:v>44712</c:v>
                </c:pt>
                <c:pt idx="398">
                  <c:v>44711</c:v>
                </c:pt>
                <c:pt idx="399">
                  <c:v>44708</c:v>
                </c:pt>
                <c:pt idx="400">
                  <c:v>44707</c:v>
                </c:pt>
                <c:pt idx="401">
                  <c:v>44706</c:v>
                </c:pt>
                <c:pt idx="402">
                  <c:v>44705</c:v>
                </c:pt>
                <c:pt idx="403">
                  <c:v>44704</c:v>
                </c:pt>
                <c:pt idx="404">
                  <c:v>44701</c:v>
                </c:pt>
                <c:pt idx="405">
                  <c:v>44700</c:v>
                </c:pt>
                <c:pt idx="406">
                  <c:v>44699</c:v>
                </c:pt>
                <c:pt idx="407">
                  <c:v>44698</c:v>
                </c:pt>
                <c:pt idx="408">
                  <c:v>44694</c:v>
                </c:pt>
                <c:pt idx="409">
                  <c:v>44693</c:v>
                </c:pt>
                <c:pt idx="410">
                  <c:v>44690</c:v>
                </c:pt>
                <c:pt idx="411">
                  <c:v>44687</c:v>
                </c:pt>
                <c:pt idx="412">
                  <c:v>44686</c:v>
                </c:pt>
                <c:pt idx="413">
                  <c:v>44685</c:v>
                </c:pt>
                <c:pt idx="414">
                  <c:v>44680</c:v>
                </c:pt>
                <c:pt idx="415">
                  <c:v>44679</c:v>
                </c:pt>
                <c:pt idx="416">
                  <c:v>44678</c:v>
                </c:pt>
                <c:pt idx="417">
                  <c:v>44677</c:v>
                </c:pt>
                <c:pt idx="418">
                  <c:v>44676</c:v>
                </c:pt>
                <c:pt idx="419">
                  <c:v>44659</c:v>
                </c:pt>
                <c:pt idx="420">
                  <c:v>44658</c:v>
                </c:pt>
                <c:pt idx="421">
                  <c:v>44657</c:v>
                </c:pt>
                <c:pt idx="422">
                  <c:v>44656</c:v>
                </c:pt>
                <c:pt idx="423">
                  <c:v>44655</c:v>
                </c:pt>
                <c:pt idx="424">
                  <c:v>44652</c:v>
                </c:pt>
                <c:pt idx="425">
                  <c:v>44651</c:v>
                </c:pt>
                <c:pt idx="426">
                  <c:v>44650</c:v>
                </c:pt>
                <c:pt idx="427">
                  <c:v>44649</c:v>
                </c:pt>
                <c:pt idx="428">
                  <c:v>44648</c:v>
                </c:pt>
                <c:pt idx="429">
                  <c:v>44645</c:v>
                </c:pt>
                <c:pt idx="430">
                  <c:v>44644</c:v>
                </c:pt>
                <c:pt idx="431">
                  <c:v>44643</c:v>
                </c:pt>
                <c:pt idx="432">
                  <c:v>44642</c:v>
                </c:pt>
                <c:pt idx="433">
                  <c:v>44641</c:v>
                </c:pt>
                <c:pt idx="434">
                  <c:v>44638</c:v>
                </c:pt>
                <c:pt idx="435">
                  <c:v>44636</c:v>
                </c:pt>
                <c:pt idx="436">
                  <c:v>44635</c:v>
                </c:pt>
                <c:pt idx="437">
                  <c:v>44634</c:v>
                </c:pt>
                <c:pt idx="438">
                  <c:v>44631</c:v>
                </c:pt>
                <c:pt idx="439">
                  <c:v>44630</c:v>
                </c:pt>
                <c:pt idx="440">
                  <c:v>44629</c:v>
                </c:pt>
                <c:pt idx="441">
                  <c:v>44628</c:v>
                </c:pt>
                <c:pt idx="442">
                  <c:v>44627</c:v>
                </c:pt>
                <c:pt idx="443">
                  <c:v>44624</c:v>
                </c:pt>
                <c:pt idx="444">
                  <c:v>44623</c:v>
                </c:pt>
                <c:pt idx="445">
                  <c:v>44622</c:v>
                </c:pt>
                <c:pt idx="446">
                  <c:v>44620</c:v>
                </c:pt>
                <c:pt idx="447">
                  <c:v>44617</c:v>
                </c:pt>
                <c:pt idx="448">
                  <c:v>44616</c:v>
                </c:pt>
                <c:pt idx="449">
                  <c:v>44615</c:v>
                </c:pt>
                <c:pt idx="450">
                  <c:v>44614</c:v>
                </c:pt>
                <c:pt idx="451">
                  <c:v>44613</c:v>
                </c:pt>
                <c:pt idx="452">
                  <c:v>44610</c:v>
                </c:pt>
                <c:pt idx="453">
                  <c:v>44609</c:v>
                </c:pt>
                <c:pt idx="454">
                  <c:v>44607</c:v>
                </c:pt>
                <c:pt idx="455">
                  <c:v>44606</c:v>
                </c:pt>
                <c:pt idx="456">
                  <c:v>44603</c:v>
                </c:pt>
                <c:pt idx="457">
                  <c:v>44602</c:v>
                </c:pt>
                <c:pt idx="458">
                  <c:v>44601</c:v>
                </c:pt>
                <c:pt idx="459">
                  <c:v>44600</c:v>
                </c:pt>
                <c:pt idx="460">
                  <c:v>44599</c:v>
                </c:pt>
                <c:pt idx="461">
                  <c:v>44595</c:v>
                </c:pt>
                <c:pt idx="462">
                  <c:v>44594</c:v>
                </c:pt>
                <c:pt idx="463">
                  <c:v>44593</c:v>
                </c:pt>
                <c:pt idx="464">
                  <c:v>44592</c:v>
                </c:pt>
                <c:pt idx="465">
                  <c:v>44589</c:v>
                </c:pt>
                <c:pt idx="466">
                  <c:v>44588</c:v>
                </c:pt>
                <c:pt idx="467">
                  <c:v>44587</c:v>
                </c:pt>
                <c:pt idx="468">
                  <c:v>44586</c:v>
                </c:pt>
                <c:pt idx="469">
                  <c:v>44585</c:v>
                </c:pt>
                <c:pt idx="470">
                  <c:v>44582</c:v>
                </c:pt>
                <c:pt idx="471">
                  <c:v>44581</c:v>
                </c:pt>
                <c:pt idx="472">
                  <c:v>44580</c:v>
                </c:pt>
                <c:pt idx="473">
                  <c:v>44579</c:v>
                </c:pt>
                <c:pt idx="474">
                  <c:v>44574</c:v>
                </c:pt>
                <c:pt idx="475">
                  <c:v>44573</c:v>
                </c:pt>
                <c:pt idx="476">
                  <c:v>44572</c:v>
                </c:pt>
                <c:pt idx="477">
                  <c:v>44571</c:v>
                </c:pt>
                <c:pt idx="478">
                  <c:v>44568</c:v>
                </c:pt>
                <c:pt idx="479">
                  <c:v>44567</c:v>
                </c:pt>
                <c:pt idx="480">
                  <c:v>44566</c:v>
                </c:pt>
                <c:pt idx="481">
                  <c:v>44565</c:v>
                </c:pt>
                <c:pt idx="482">
                  <c:v>44564</c:v>
                </c:pt>
                <c:pt idx="483">
                  <c:v>44561</c:v>
                </c:pt>
                <c:pt idx="484">
                  <c:v>44560</c:v>
                </c:pt>
                <c:pt idx="485">
                  <c:v>44559</c:v>
                </c:pt>
                <c:pt idx="486">
                  <c:v>44558</c:v>
                </c:pt>
                <c:pt idx="487">
                  <c:v>44557</c:v>
                </c:pt>
                <c:pt idx="488">
                  <c:v>44554</c:v>
                </c:pt>
                <c:pt idx="489">
                  <c:v>44553</c:v>
                </c:pt>
                <c:pt idx="490">
                  <c:v>44552</c:v>
                </c:pt>
                <c:pt idx="491">
                  <c:v>44551</c:v>
                </c:pt>
                <c:pt idx="492">
                  <c:v>44550</c:v>
                </c:pt>
                <c:pt idx="493">
                  <c:v>44547</c:v>
                </c:pt>
                <c:pt idx="494">
                  <c:v>44546</c:v>
                </c:pt>
                <c:pt idx="495">
                  <c:v>44545</c:v>
                </c:pt>
                <c:pt idx="496">
                  <c:v>44544</c:v>
                </c:pt>
                <c:pt idx="497">
                  <c:v>44543</c:v>
                </c:pt>
                <c:pt idx="498">
                  <c:v>44540</c:v>
                </c:pt>
                <c:pt idx="499">
                  <c:v>44539</c:v>
                </c:pt>
                <c:pt idx="500">
                  <c:v>44538</c:v>
                </c:pt>
                <c:pt idx="501">
                  <c:v>44537</c:v>
                </c:pt>
                <c:pt idx="502">
                  <c:v>44536</c:v>
                </c:pt>
                <c:pt idx="503">
                  <c:v>44533</c:v>
                </c:pt>
                <c:pt idx="504">
                  <c:v>44532</c:v>
                </c:pt>
                <c:pt idx="505">
                  <c:v>44531</c:v>
                </c:pt>
                <c:pt idx="506">
                  <c:v>44530</c:v>
                </c:pt>
                <c:pt idx="507">
                  <c:v>44529</c:v>
                </c:pt>
                <c:pt idx="508">
                  <c:v>44526</c:v>
                </c:pt>
                <c:pt idx="509">
                  <c:v>44525</c:v>
                </c:pt>
                <c:pt idx="510">
                  <c:v>44524</c:v>
                </c:pt>
                <c:pt idx="511">
                  <c:v>44523</c:v>
                </c:pt>
                <c:pt idx="512">
                  <c:v>44522</c:v>
                </c:pt>
                <c:pt idx="513">
                  <c:v>44519</c:v>
                </c:pt>
                <c:pt idx="514">
                  <c:v>44517</c:v>
                </c:pt>
                <c:pt idx="515">
                  <c:v>44516</c:v>
                </c:pt>
                <c:pt idx="516">
                  <c:v>44515</c:v>
                </c:pt>
                <c:pt idx="517">
                  <c:v>44512</c:v>
                </c:pt>
                <c:pt idx="518">
                  <c:v>44511</c:v>
                </c:pt>
                <c:pt idx="519">
                  <c:v>44510</c:v>
                </c:pt>
                <c:pt idx="520">
                  <c:v>44509</c:v>
                </c:pt>
                <c:pt idx="521">
                  <c:v>44508</c:v>
                </c:pt>
                <c:pt idx="522">
                  <c:v>44505</c:v>
                </c:pt>
                <c:pt idx="523">
                  <c:v>44503</c:v>
                </c:pt>
                <c:pt idx="524">
                  <c:v>44502</c:v>
                </c:pt>
                <c:pt idx="525">
                  <c:v>44501</c:v>
                </c:pt>
                <c:pt idx="526">
                  <c:v>44498</c:v>
                </c:pt>
                <c:pt idx="527">
                  <c:v>44497</c:v>
                </c:pt>
                <c:pt idx="528">
                  <c:v>44496</c:v>
                </c:pt>
                <c:pt idx="529">
                  <c:v>44495</c:v>
                </c:pt>
                <c:pt idx="530">
                  <c:v>44494</c:v>
                </c:pt>
                <c:pt idx="531">
                  <c:v>44491</c:v>
                </c:pt>
                <c:pt idx="532">
                  <c:v>44490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44477</c:v>
                </c:pt>
                <c:pt idx="540">
                  <c:v>44476</c:v>
                </c:pt>
                <c:pt idx="541">
                  <c:v>44475</c:v>
                </c:pt>
                <c:pt idx="542">
                  <c:v>44474</c:v>
                </c:pt>
                <c:pt idx="543">
                  <c:v>44473</c:v>
                </c:pt>
                <c:pt idx="544">
                  <c:v>44470</c:v>
                </c:pt>
                <c:pt idx="545">
                  <c:v>44469</c:v>
                </c:pt>
                <c:pt idx="546">
                  <c:v>44468</c:v>
                </c:pt>
                <c:pt idx="547">
                  <c:v>44467</c:v>
                </c:pt>
                <c:pt idx="548">
                  <c:v>44466</c:v>
                </c:pt>
                <c:pt idx="549">
                  <c:v>44463</c:v>
                </c:pt>
                <c:pt idx="550">
                  <c:v>44462</c:v>
                </c:pt>
                <c:pt idx="551">
                  <c:v>44461</c:v>
                </c:pt>
                <c:pt idx="552">
                  <c:v>44460</c:v>
                </c:pt>
                <c:pt idx="553">
                  <c:v>44456</c:v>
                </c:pt>
                <c:pt idx="554">
                  <c:v>44455</c:v>
                </c:pt>
                <c:pt idx="555">
                  <c:v>44454</c:v>
                </c:pt>
                <c:pt idx="556">
                  <c:v>44453</c:v>
                </c:pt>
                <c:pt idx="557">
                  <c:v>44452</c:v>
                </c:pt>
                <c:pt idx="558">
                  <c:v>44449</c:v>
                </c:pt>
                <c:pt idx="559">
                  <c:v>44448</c:v>
                </c:pt>
                <c:pt idx="560">
                  <c:v>44447</c:v>
                </c:pt>
                <c:pt idx="561">
                  <c:v>44446</c:v>
                </c:pt>
                <c:pt idx="562">
                  <c:v>44445</c:v>
                </c:pt>
                <c:pt idx="563">
                  <c:v>44442</c:v>
                </c:pt>
                <c:pt idx="564">
                  <c:v>44441</c:v>
                </c:pt>
                <c:pt idx="565">
                  <c:v>44440</c:v>
                </c:pt>
                <c:pt idx="566">
                  <c:v>44439</c:v>
                </c:pt>
                <c:pt idx="567">
                  <c:v>44438</c:v>
                </c:pt>
                <c:pt idx="568">
                  <c:v>44435</c:v>
                </c:pt>
                <c:pt idx="569">
                  <c:v>44434</c:v>
                </c:pt>
                <c:pt idx="570">
                  <c:v>44433</c:v>
                </c:pt>
                <c:pt idx="571">
                  <c:v>44432</c:v>
                </c:pt>
                <c:pt idx="572">
                  <c:v>44431</c:v>
                </c:pt>
                <c:pt idx="573">
                  <c:v>44428</c:v>
                </c:pt>
                <c:pt idx="574">
                  <c:v>44427</c:v>
                </c:pt>
                <c:pt idx="575">
                  <c:v>44426</c:v>
                </c:pt>
                <c:pt idx="576">
                  <c:v>44425</c:v>
                </c:pt>
                <c:pt idx="577">
                  <c:v>44424</c:v>
                </c:pt>
                <c:pt idx="578">
                  <c:v>44421</c:v>
                </c:pt>
                <c:pt idx="579">
                  <c:v>44420</c:v>
                </c:pt>
                <c:pt idx="580">
                  <c:v>44419</c:v>
                </c:pt>
                <c:pt idx="581">
                  <c:v>44418</c:v>
                </c:pt>
                <c:pt idx="582">
                  <c:v>44417</c:v>
                </c:pt>
                <c:pt idx="583">
                  <c:v>44414</c:v>
                </c:pt>
                <c:pt idx="584">
                  <c:v>44413</c:v>
                </c:pt>
                <c:pt idx="585">
                  <c:v>44412</c:v>
                </c:pt>
                <c:pt idx="586">
                  <c:v>44411</c:v>
                </c:pt>
                <c:pt idx="587">
                  <c:v>44410</c:v>
                </c:pt>
                <c:pt idx="588">
                  <c:v>44407</c:v>
                </c:pt>
                <c:pt idx="589">
                  <c:v>44406</c:v>
                </c:pt>
                <c:pt idx="590">
                  <c:v>44405</c:v>
                </c:pt>
                <c:pt idx="591">
                  <c:v>44404</c:v>
                </c:pt>
                <c:pt idx="592">
                  <c:v>44403</c:v>
                </c:pt>
                <c:pt idx="593">
                  <c:v>44399</c:v>
                </c:pt>
                <c:pt idx="594">
                  <c:v>44397</c:v>
                </c:pt>
                <c:pt idx="595">
                  <c:v>44396</c:v>
                </c:pt>
                <c:pt idx="596">
                  <c:v>44393</c:v>
                </c:pt>
                <c:pt idx="597">
                  <c:v>44392</c:v>
                </c:pt>
                <c:pt idx="598">
                  <c:v>44391</c:v>
                </c:pt>
                <c:pt idx="599">
                  <c:v>44390</c:v>
                </c:pt>
                <c:pt idx="600">
                  <c:v>44389</c:v>
                </c:pt>
                <c:pt idx="601">
                  <c:v>44386</c:v>
                </c:pt>
                <c:pt idx="602">
                  <c:v>44385</c:v>
                </c:pt>
                <c:pt idx="603">
                  <c:v>44384</c:v>
                </c:pt>
                <c:pt idx="604">
                  <c:v>44383</c:v>
                </c:pt>
                <c:pt idx="605">
                  <c:v>44382</c:v>
                </c:pt>
                <c:pt idx="606">
                  <c:v>44379</c:v>
                </c:pt>
                <c:pt idx="607">
                  <c:v>44378</c:v>
                </c:pt>
                <c:pt idx="608">
                  <c:v>44377</c:v>
                </c:pt>
                <c:pt idx="609">
                  <c:v>44376</c:v>
                </c:pt>
                <c:pt idx="610">
                  <c:v>44375</c:v>
                </c:pt>
                <c:pt idx="611">
                  <c:v>44372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44361</c:v>
                </c:pt>
                <c:pt idx="620">
                  <c:v>44358</c:v>
                </c:pt>
                <c:pt idx="621">
                  <c:v>44357</c:v>
                </c:pt>
                <c:pt idx="622">
                  <c:v>44356</c:v>
                </c:pt>
                <c:pt idx="623">
                  <c:v>44355</c:v>
                </c:pt>
                <c:pt idx="624">
                  <c:v>44354</c:v>
                </c:pt>
                <c:pt idx="625">
                  <c:v>44351</c:v>
                </c:pt>
                <c:pt idx="626">
                  <c:v>44350</c:v>
                </c:pt>
                <c:pt idx="627">
                  <c:v>44349</c:v>
                </c:pt>
                <c:pt idx="628">
                  <c:v>44348</c:v>
                </c:pt>
                <c:pt idx="629">
                  <c:v>44347</c:v>
                </c:pt>
                <c:pt idx="630">
                  <c:v>44344</c:v>
                </c:pt>
                <c:pt idx="631">
                  <c:v>44341</c:v>
                </c:pt>
                <c:pt idx="632">
                  <c:v>44340</c:v>
                </c:pt>
                <c:pt idx="633">
                  <c:v>44337</c:v>
                </c:pt>
                <c:pt idx="634">
                  <c:v>44336</c:v>
                </c:pt>
                <c:pt idx="635">
                  <c:v>44335</c:v>
                </c:pt>
                <c:pt idx="636">
                  <c:v>44334</c:v>
                </c:pt>
                <c:pt idx="637">
                  <c:v>44333</c:v>
                </c:pt>
                <c:pt idx="638">
                  <c:v>44329</c:v>
                </c:pt>
                <c:pt idx="639">
                  <c:v>44328</c:v>
                </c:pt>
                <c:pt idx="640">
                  <c:v>44327</c:v>
                </c:pt>
                <c:pt idx="641">
                  <c:v>44326</c:v>
                </c:pt>
                <c:pt idx="642">
                  <c:v>44323</c:v>
                </c:pt>
                <c:pt idx="643">
                  <c:v>44322</c:v>
                </c:pt>
                <c:pt idx="644">
                  <c:v>44321</c:v>
                </c:pt>
                <c:pt idx="645">
                  <c:v>44320</c:v>
                </c:pt>
                <c:pt idx="646">
                  <c:v>44319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44309</c:v>
                </c:pt>
                <c:pt idx="652">
                  <c:v>44308</c:v>
                </c:pt>
                <c:pt idx="653">
                  <c:v>44307</c:v>
                </c:pt>
                <c:pt idx="654">
                  <c:v>44306</c:v>
                </c:pt>
                <c:pt idx="655">
                  <c:v>44305</c:v>
                </c:pt>
                <c:pt idx="656">
                  <c:v>44302</c:v>
                </c:pt>
                <c:pt idx="657">
                  <c:v>44301</c:v>
                </c:pt>
                <c:pt idx="658">
                  <c:v>44298</c:v>
                </c:pt>
                <c:pt idx="659">
                  <c:v>44295</c:v>
                </c:pt>
                <c:pt idx="660">
                  <c:v>44294</c:v>
                </c:pt>
                <c:pt idx="661">
                  <c:v>44293</c:v>
                </c:pt>
                <c:pt idx="662">
                  <c:v>44292</c:v>
                </c:pt>
                <c:pt idx="663">
                  <c:v>44291</c:v>
                </c:pt>
                <c:pt idx="664">
                  <c:v>44287</c:v>
                </c:pt>
                <c:pt idx="665">
                  <c:v>44286</c:v>
                </c:pt>
                <c:pt idx="666">
                  <c:v>44285</c:v>
                </c:pt>
                <c:pt idx="667">
                  <c:v>44284</c:v>
                </c:pt>
                <c:pt idx="668">
                  <c:v>44281</c:v>
                </c:pt>
                <c:pt idx="669">
                  <c:v>44280</c:v>
                </c:pt>
                <c:pt idx="670">
                  <c:v>44279</c:v>
                </c:pt>
                <c:pt idx="671">
                  <c:v>44278</c:v>
                </c:pt>
                <c:pt idx="672">
                  <c:v>44277</c:v>
                </c:pt>
                <c:pt idx="673">
                  <c:v>44274</c:v>
                </c:pt>
                <c:pt idx="674">
                  <c:v>44273</c:v>
                </c:pt>
                <c:pt idx="675">
                  <c:v>44272</c:v>
                </c:pt>
                <c:pt idx="676">
                  <c:v>44271</c:v>
                </c:pt>
                <c:pt idx="677">
                  <c:v>44270</c:v>
                </c:pt>
                <c:pt idx="678">
                  <c:v>44267</c:v>
                </c:pt>
                <c:pt idx="679">
                  <c:v>44265</c:v>
                </c:pt>
                <c:pt idx="680">
                  <c:v>44264</c:v>
                </c:pt>
                <c:pt idx="681">
                  <c:v>44263</c:v>
                </c:pt>
                <c:pt idx="682">
                  <c:v>44260</c:v>
                </c:pt>
                <c:pt idx="683">
                  <c:v>44259</c:v>
                </c:pt>
                <c:pt idx="684">
                  <c:v>44258</c:v>
                </c:pt>
                <c:pt idx="685">
                  <c:v>44257</c:v>
                </c:pt>
                <c:pt idx="686">
                  <c:v>44256</c:v>
                </c:pt>
                <c:pt idx="687">
                  <c:v>44252</c:v>
                </c:pt>
                <c:pt idx="688">
                  <c:v>44251</c:v>
                </c:pt>
                <c:pt idx="689">
                  <c:v>44250</c:v>
                </c:pt>
                <c:pt idx="690">
                  <c:v>44249</c:v>
                </c:pt>
                <c:pt idx="691">
                  <c:v>44246</c:v>
                </c:pt>
                <c:pt idx="692">
                  <c:v>44245</c:v>
                </c:pt>
                <c:pt idx="693">
                  <c:v>44244</c:v>
                </c:pt>
                <c:pt idx="694">
                  <c:v>44243</c:v>
                </c:pt>
                <c:pt idx="695">
                  <c:v>44242</c:v>
                </c:pt>
                <c:pt idx="696">
                  <c:v>44239</c:v>
                </c:pt>
                <c:pt idx="697">
                  <c:v>44238</c:v>
                </c:pt>
                <c:pt idx="698">
                  <c:v>44237</c:v>
                </c:pt>
                <c:pt idx="699">
                  <c:v>44236</c:v>
                </c:pt>
                <c:pt idx="700">
                  <c:v>44235</c:v>
                </c:pt>
                <c:pt idx="701">
                  <c:v>44232</c:v>
                </c:pt>
                <c:pt idx="702">
                  <c:v>44230</c:v>
                </c:pt>
                <c:pt idx="703">
                  <c:v>44229</c:v>
                </c:pt>
                <c:pt idx="704">
                  <c:v>44228</c:v>
                </c:pt>
                <c:pt idx="705">
                  <c:v>44225</c:v>
                </c:pt>
                <c:pt idx="706">
                  <c:v>44223</c:v>
                </c:pt>
                <c:pt idx="707">
                  <c:v>44222</c:v>
                </c:pt>
                <c:pt idx="708">
                  <c:v>44221</c:v>
                </c:pt>
                <c:pt idx="709">
                  <c:v>44218</c:v>
                </c:pt>
                <c:pt idx="710">
                  <c:v>44217</c:v>
                </c:pt>
                <c:pt idx="711">
                  <c:v>44216</c:v>
                </c:pt>
                <c:pt idx="712">
                  <c:v>44215</c:v>
                </c:pt>
                <c:pt idx="713">
                  <c:v>44214</c:v>
                </c:pt>
                <c:pt idx="714">
                  <c:v>44211</c:v>
                </c:pt>
                <c:pt idx="715">
                  <c:v>44209</c:v>
                </c:pt>
                <c:pt idx="716">
                  <c:v>44208</c:v>
                </c:pt>
                <c:pt idx="717">
                  <c:v>44207</c:v>
                </c:pt>
                <c:pt idx="718">
                  <c:v>44204</c:v>
                </c:pt>
                <c:pt idx="719">
                  <c:v>44203</c:v>
                </c:pt>
                <c:pt idx="720">
                  <c:v>44202</c:v>
                </c:pt>
                <c:pt idx="721">
                  <c:v>44201</c:v>
                </c:pt>
                <c:pt idx="722">
                  <c:v>44200</c:v>
                </c:pt>
              </c:numCache>
            </c:numRef>
          </c:cat>
          <c:val>
            <c:numRef>
              <c:f>'Price volume'!$T$3:$T$725</c:f>
              <c:numCache>
                <c:formatCode>General</c:formatCode>
                <c:ptCount val="723"/>
                <c:pt idx="0">
                  <c:v>6629</c:v>
                </c:pt>
                <c:pt idx="1">
                  <c:v>969</c:v>
                </c:pt>
                <c:pt idx="2" formatCode="#,##0">
                  <c:v>13389</c:v>
                </c:pt>
                <c:pt idx="3" formatCode="#,##0">
                  <c:v>54697</c:v>
                </c:pt>
                <c:pt idx="4" formatCode="#,##0">
                  <c:v>31346</c:v>
                </c:pt>
                <c:pt idx="5" formatCode="#,##0">
                  <c:v>52934</c:v>
                </c:pt>
                <c:pt idx="6" formatCode="#,##0">
                  <c:v>13165</c:v>
                </c:pt>
                <c:pt idx="7" formatCode="#,##0">
                  <c:v>6325</c:v>
                </c:pt>
                <c:pt idx="8" formatCode="#,##0">
                  <c:v>139364</c:v>
                </c:pt>
                <c:pt idx="9" formatCode="#,##0">
                  <c:v>34482</c:v>
                </c:pt>
                <c:pt idx="10" formatCode="#,##0">
                  <c:v>25275</c:v>
                </c:pt>
                <c:pt idx="11" formatCode="#,##0">
                  <c:v>5520</c:v>
                </c:pt>
                <c:pt idx="12">
                  <c:v>195</c:v>
                </c:pt>
                <c:pt idx="13">
                  <c:v>180</c:v>
                </c:pt>
                <c:pt idx="14" formatCode="#,##0">
                  <c:v>1485</c:v>
                </c:pt>
                <c:pt idx="15" formatCode="#,##0">
                  <c:v>6497</c:v>
                </c:pt>
                <c:pt idx="16" formatCode="#,##0">
                  <c:v>8674</c:v>
                </c:pt>
                <c:pt idx="17" formatCode="#,##0">
                  <c:v>3784</c:v>
                </c:pt>
                <c:pt idx="18" formatCode="#,##0">
                  <c:v>6345</c:v>
                </c:pt>
                <c:pt idx="19" formatCode="#,##0">
                  <c:v>6345</c:v>
                </c:pt>
                <c:pt idx="20" formatCode="#,##0">
                  <c:v>15618</c:v>
                </c:pt>
                <c:pt idx="21" formatCode="#,##0">
                  <c:v>37900</c:v>
                </c:pt>
                <c:pt idx="22" formatCode="#,##0">
                  <c:v>66230</c:v>
                </c:pt>
                <c:pt idx="23" formatCode="#,##0">
                  <c:v>258737</c:v>
                </c:pt>
                <c:pt idx="24" formatCode="#,##0">
                  <c:v>29659</c:v>
                </c:pt>
                <c:pt idx="25" formatCode="#,##0">
                  <c:v>15503</c:v>
                </c:pt>
                <c:pt idx="26">
                  <c:v>524</c:v>
                </c:pt>
                <c:pt idx="27" formatCode="#,##0">
                  <c:v>89010</c:v>
                </c:pt>
                <c:pt idx="28" formatCode="#,##0">
                  <c:v>34586</c:v>
                </c:pt>
                <c:pt idx="29" formatCode="#,##0">
                  <c:v>17825</c:v>
                </c:pt>
                <c:pt idx="30">
                  <c:v>310</c:v>
                </c:pt>
                <c:pt idx="31" formatCode="#,##0">
                  <c:v>31770</c:v>
                </c:pt>
                <c:pt idx="32" formatCode="#,##0">
                  <c:v>2634</c:v>
                </c:pt>
                <c:pt idx="33" formatCode="#,##0">
                  <c:v>57012</c:v>
                </c:pt>
                <c:pt idx="34" formatCode="#,##0">
                  <c:v>31623</c:v>
                </c:pt>
                <c:pt idx="35">
                  <c:v>820</c:v>
                </c:pt>
                <c:pt idx="36" formatCode="#,##0">
                  <c:v>5971</c:v>
                </c:pt>
                <c:pt idx="37" formatCode="#,##0">
                  <c:v>6008</c:v>
                </c:pt>
                <c:pt idx="38" formatCode="#,##0">
                  <c:v>2109</c:v>
                </c:pt>
                <c:pt idx="39" formatCode="#,##0">
                  <c:v>3501</c:v>
                </c:pt>
                <c:pt idx="40" formatCode="#,##0">
                  <c:v>14935</c:v>
                </c:pt>
                <c:pt idx="41" formatCode="#,##0">
                  <c:v>7258</c:v>
                </c:pt>
                <c:pt idx="42" formatCode="#,##0">
                  <c:v>16475</c:v>
                </c:pt>
                <c:pt idx="43" formatCode="#,##0">
                  <c:v>31353</c:v>
                </c:pt>
                <c:pt idx="44" formatCode="#,##0">
                  <c:v>102511</c:v>
                </c:pt>
                <c:pt idx="45" formatCode="#,##0">
                  <c:v>95385</c:v>
                </c:pt>
                <c:pt idx="46">
                  <c:v>286</c:v>
                </c:pt>
                <c:pt idx="47">
                  <c:v>712</c:v>
                </c:pt>
                <c:pt idx="48">
                  <c:v>234</c:v>
                </c:pt>
                <c:pt idx="49" formatCode="#,##0">
                  <c:v>5078</c:v>
                </c:pt>
                <c:pt idx="50" formatCode="#,##0">
                  <c:v>5033</c:v>
                </c:pt>
                <c:pt idx="51" formatCode="#,##0">
                  <c:v>1768</c:v>
                </c:pt>
                <c:pt idx="52" formatCode="#,##0">
                  <c:v>5582</c:v>
                </c:pt>
                <c:pt idx="53" formatCode="#,##0">
                  <c:v>10799</c:v>
                </c:pt>
                <c:pt idx="54" formatCode="#,##0">
                  <c:v>19608</c:v>
                </c:pt>
                <c:pt idx="55" formatCode="#,##0">
                  <c:v>3654</c:v>
                </c:pt>
                <c:pt idx="56" formatCode="#,##0">
                  <c:v>9352</c:v>
                </c:pt>
                <c:pt idx="57" formatCode="#,##0">
                  <c:v>30771</c:v>
                </c:pt>
                <c:pt idx="58" formatCode="#,##0">
                  <c:v>49151</c:v>
                </c:pt>
                <c:pt idx="59" formatCode="#,##0">
                  <c:v>4512</c:v>
                </c:pt>
                <c:pt idx="60" formatCode="#,##0">
                  <c:v>11751</c:v>
                </c:pt>
                <c:pt idx="61" formatCode="#,##0">
                  <c:v>2331</c:v>
                </c:pt>
                <c:pt idx="62" formatCode="#,##0">
                  <c:v>16597</c:v>
                </c:pt>
                <c:pt idx="63" formatCode="#,##0">
                  <c:v>27395</c:v>
                </c:pt>
                <c:pt idx="64" formatCode="#,##0">
                  <c:v>94706</c:v>
                </c:pt>
                <c:pt idx="65" formatCode="#,##0">
                  <c:v>4415</c:v>
                </c:pt>
                <c:pt idx="66" formatCode="#,##0">
                  <c:v>3084</c:v>
                </c:pt>
                <c:pt idx="67" formatCode="#,##0">
                  <c:v>11324</c:v>
                </c:pt>
                <c:pt idx="68">
                  <c:v>160</c:v>
                </c:pt>
                <c:pt idx="69" formatCode="#,##0">
                  <c:v>6687</c:v>
                </c:pt>
                <c:pt idx="70" formatCode="#,##0">
                  <c:v>20462</c:v>
                </c:pt>
                <c:pt idx="71" formatCode="#,##0">
                  <c:v>8145</c:v>
                </c:pt>
                <c:pt idx="72" formatCode="#,##0">
                  <c:v>28675</c:v>
                </c:pt>
                <c:pt idx="73" formatCode="#,##0">
                  <c:v>13327</c:v>
                </c:pt>
                <c:pt idx="74" formatCode="#,##0">
                  <c:v>22907</c:v>
                </c:pt>
                <c:pt idx="75" formatCode="#,##0">
                  <c:v>11105</c:v>
                </c:pt>
                <c:pt idx="76" formatCode="#,##0">
                  <c:v>10650</c:v>
                </c:pt>
                <c:pt idx="77" formatCode="#,##0">
                  <c:v>28041</c:v>
                </c:pt>
                <c:pt idx="78" formatCode="#,##0">
                  <c:v>11723</c:v>
                </c:pt>
                <c:pt idx="79" formatCode="#,##0">
                  <c:v>39328</c:v>
                </c:pt>
                <c:pt idx="80" formatCode="#,##0">
                  <c:v>5635</c:v>
                </c:pt>
                <c:pt idx="81" formatCode="#,##0">
                  <c:v>19618</c:v>
                </c:pt>
                <c:pt idx="82" formatCode="#,##0">
                  <c:v>13932</c:v>
                </c:pt>
                <c:pt idx="83" formatCode="#,##0">
                  <c:v>15732</c:v>
                </c:pt>
                <c:pt idx="84" formatCode="#,##0">
                  <c:v>10015</c:v>
                </c:pt>
                <c:pt idx="85" formatCode="#,##0">
                  <c:v>7177</c:v>
                </c:pt>
                <c:pt idx="86" formatCode="#,##0">
                  <c:v>59258</c:v>
                </c:pt>
                <c:pt idx="87" formatCode="#,##0">
                  <c:v>13061</c:v>
                </c:pt>
                <c:pt idx="88" formatCode="#,##0">
                  <c:v>33515</c:v>
                </c:pt>
                <c:pt idx="89" formatCode="#,##0">
                  <c:v>88078</c:v>
                </c:pt>
                <c:pt idx="90" formatCode="#,##0">
                  <c:v>21898</c:v>
                </c:pt>
                <c:pt idx="91" formatCode="#,##0">
                  <c:v>37093</c:v>
                </c:pt>
                <c:pt idx="92" formatCode="#,##0">
                  <c:v>18188</c:v>
                </c:pt>
                <c:pt idx="93" formatCode="#,##0">
                  <c:v>3645</c:v>
                </c:pt>
                <c:pt idx="94" formatCode="#,##0">
                  <c:v>49578</c:v>
                </c:pt>
                <c:pt idx="95" formatCode="#,##0">
                  <c:v>137426</c:v>
                </c:pt>
                <c:pt idx="96" formatCode="#,##0">
                  <c:v>267401</c:v>
                </c:pt>
                <c:pt idx="97" formatCode="#,##0">
                  <c:v>217608</c:v>
                </c:pt>
                <c:pt idx="98" formatCode="#,##0">
                  <c:v>54432</c:v>
                </c:pt>
                <c:pt idx="99" formatCode="#,##0">
                  <c:v>244806</c:v>
                </c:pt>
                <c:pt idx="100" formatCode="#,##0">
                  <c:v>58814</c:v>
                </c:pt>
                <c:pt idx="101" formatCode="#,##0">
                  <c:v>62749</c:v>
                </c:pt>
                <c:pt idx="102" formatCode="#,##0">
                  <c:v>171505</c:v>
                </c:pt>
                <c:pt idx="103" formatCode="#,##0">
                  <c:v>255798</c:v>
                </c:pt>
                <c:pt idx="104" formatCode="#,##0">
                  <c:v>507412</c:v>
                </c:pt>
                <c:pt idx="105" formatCode="#,##0">
                  <c:v>134537</c:v>
                </c:pt>
                <c:pt idx="106" formatCode="#,##0">
                  <c:v>371615</c:v>
                </c:pt>
                <c:pt idx="107" formatCode="#,##0">
                  <c:v>70965</c:v>
                </c:pt>
                <c:pt idx="108" formatCode="#,##0">
                  <c:v>284813</c:v>
                </c:pt>
                <c:pt idx="109" formatCode="#,##0">
                  <c:v>440231</c:v>
                </c:pt>
                <c:pt idx="110" formatCode="#,##0">
                  <c:v>221372</c:v>
                </c:pt>
                <c:pt idx="111" formatCode="#,##0">
                  <c:v>642852</c:v>
                </c:pt>
                <c:pt idx="112" formatCode="#,##0">
                  <c:v>217003</c:v>
                </c:pt>
                <c:pt idx="113" formatCode="#,##0">
                  <c:v>134145</c:v>
                </c:pt>
                <c:pt idx="114" formatCode="#,##0">
                  <c:v>121388</c:v>
                </c:pt>
                <c:pt idx="115" formatCode="#,##0">
                  <c:v>95456</c:v>
                </c:pt>
                <c:pt idx="116" formatCode="#,##0">
                  <c:v>98015</c:v>
                </c:pt>
                <c:pt idx="117" formatCode="#,##0">
                  <c:v>172478</c:v>
                </c:pt>
                <c:pt idx="118" formatCode="#,##0">
                  <c:v>247500</c:v>
                </c:pt>
                <c:pt idx="119" formatCode="#,##0">
                  <c:v>175810</c:v>
                </c:pt>
                <c:pt idx="120" formatCode="#,##0">
                  <c:v>352538</c:v>
                </c:pt>
                <c:pt idx="121" formatCode="#,##0">
                  <c:v>433963</c:v>
                </c:pt>
                <c:pt idx="122" formatCode="#,##0">
                  <c:v>690660</c:v>
                </c:pt>
                <c:pt idx="123" formatCode="#,##0">
                  <c:v>277449</c:v>
                </c:pt>
                <c:pt idx="124" formatCode="#,##0">
                  <c:v>184946</c:v>
                </c:pt>
                <c:pt idx="125" formatCode="#,##0">
                  <c:v>59697</c:v>
                </c:pt>
                <c:pt idx="126" formatCode="#,##0">
                  <c:v>250036</c:v>
                </c:pt>
                <c:pt idx="127" formatCode="#,##0">
                  <c:v>125057</c:v>
                </c:pt>
                <c:pt idx="128" formatCode="#,##0">
                  <c:v>57614</c:v>
                </c:pt>
                <c:pt idx="129" formatCode="#,##0">
                  <c:v>43359</c:v>
                </c:pt>
                <c:pt idx="130" formatCode="#,##0">
                  <c:v>204510</c:v>
                </c:pt>
                <c:pt idx="131" formatCode="#,##0">
                  <c:v>314065</c:v>
                </c:pt>
                <c:pt idx="132" formatCode="#,##0">
                  <c:v>1422154</c:v>
                </c:pt>
                <c:pt idx="133" formatCode="#,##0">
                  <c:v>68433</c:v>
                </c:pt>
                <c:pt idx="134" formatCode="#,##0">
                  <c:v>24111</c:v>
                </c:pt>
                <c:pt idx="135" formatCode="#,##0">
                  <c:v>48451</c:v>
                </c:pt>
                <c:pt idx="136" formatCode="#,##0">
                  <c:v>12728</c:v>
                </c:pt>
                <c:pt idx="137" formatCode="#,##0">
                  <c:v>8000</c:v>
                </c:pt>
                <c:pt idx="138" formatCode="#,##0">
                  <c:v>27934</c:v>
                </c:pt>
                <c:pt idx="139" formatCode="#,##0">
                  <c:v>4293</c:v>
                </c:pt>
                <c:pt idx="140" formatCode="#,##0">
                  <c:v>14163</c:v>
                </c:pt>
                <c:pt idx="141" formatCode="#,##0">
                  <c:v>34094</c:v>
                </c:pt>
                <c:pt idx="142" formatCode="#,##0">
                  <c:v>46598</c:v>
                </c:pt>
                <c:pt idx="143" formatCode="#,##0">
                  <c:v>22882</c:v>
                </c:pt>
                <c:pt idx="144" formatCode="#,##0">
                  <c:v>8453</c:v>
                </c:pt>
                <c:pt idx="145" formatCode="#,##0">
                  <c:v>14115</c:v>
                </c:pt>
                <c:pt idx="146" formatCode="#,##0">
                  <c:v>34300</c:v>
                </c:pt>
                <c:pt idx="147">
                  <c:v>557</c:v>
                </c:pt>
                <c:pt idx="148" formatCode="#,##0">
                  <c:v>2226</c:v>
                </c:pt>
                <c:pt idx="149" formatCode="#,##0">
                  <c:v>1727</c:v>
                </c:pt>
                <c:pt idx="150" formatCode="#,##0">
                  <c:v>16602</c:v>
                </c:pt>
                <c:pt idx="151">
                  <c:v>463</c:v>
                </c:pt>
                <c:pt idx="152" formatCode="#,##0">
                  <c:v>13228</c:v>
                </c:pt>
                <c:pt idx="153" formatCode="#,##0">
                  <c:v>4149</c:v>
                </c:pt>
                <c:pt idx="154" formatCode="#,##0">
                  <c:v>10550</c:v>
                </c:pt>
                <c:pt idx="155" formatCode="#,##0">
                  <c:v>11568</c:v>
                </c:pt>
                <c:pt idx="156" formatCode="#,##0">
                  <c:v>27404</c:v>
                </c:pt>
                <c:pt idx="157" formatCode="#,##0">
                  <c:v>28150</c:v>
                </c:pt>
                <c:pt idx="158" formatCode="#,##0">
                  <c:v>313629</c:v>
                </c:pt>
                <c:pt idx="159" formatCode="#,##0">
                  <c:v>4561</c:v>
                </c:pt>
                <c:pt idx="160" formatCode="#,##0">
                  <c:v>6607</c:v>
                </c:pt>
                <c:pt idx="161" formatCode="#,##0">
                  <c:v>25550</c:v>
                </c:pt>
                <c:pt idx="162" formatCode="#,##0">
                  <c:v>7576</c:v>
                </c:pt>
                <c:pt idx="163" formatCode="#,##0">
                  <c:v>1136</c:v>
                </c:pt>
                <c:pt idx="164" formatCode="#,##0">
                  <c:v>65215</c:v>
                </c:pt>
                <c:pt idx="165" formatCode="#,##0">
                  <c:v>3561</c:v>
                </c:pt>
                <c:pt idx="166" formatCode="#,##0">
                  <c:v>5362</c:v>
                </c:pt>
                <c:pt idx="167" formatCode="#,##0">
                  <c:v>28878</c:v>
                </c:pt>
                <c:pt idx="168" formatCode="#,##0">
                  <c:v>26458</c:v>
                </c:pt>
                <c:pt idx="169" formatCode="#,##0">
                  <c:v>10161</c:v>
                </c:pt>
                <c:pt idx="170" formatCode="#,##0">
                  <c:v>52895</c:v>
                </c:pt>
                <c:pt idx="171" formatCode="#,##0">
                  <c:v>5346</c:v>
                </c:pt>
                <c:pt idx="172" formatCode="#,##0">
                  <c:v>39330</c:v>
                </c:pt>
                <c:pt idx="173" formatCode="#,##0">
                  <c:v>27209</c:v>
                </c:pt>
                <c:pt idx="174" formatCode="#,##0">
                  <c:v>69329</c:v>
                </c:pt>
                <c:pt idx="175" formatCode="#,##0">
                  <c:v>29425</c:v>
                </c:pt>
                <c:pt idx="176" formatCode="#,##0">
                  <c:v>26021</c:v>
                </c:pt>
                <c:pt idx="177" formatCode="#,##0">
                  <c:v>16512</c:v>
                </c:pt>
                <c:pt idx="178" formatCode="#,##0">
                  <c:v>25121</c:v>
                </c:pt>
                <c:pt idx="179" formatCode="#,##0">
                  <c:v>6302</c:v>
                </c:pt>
                <c:pt idx="180" formatCode="#,##0">
                  <c:v>45401</c:v>
                </c:pt>
                <c:pt idx="181" formatCode="#,##0">
                  <c:v>111689</c:v>
                </c:pt>
                <c:pt idx="182" formatCode="#,##0">
                  <c:v>2992</c:v>
                </c:pt>
                <c:pt idx="183" formatCode="#,##0">
                  <c:v>23365</c:v>
                </c:pt>
                <c:pt idx="184" formatCode="#,##0">
                  <c:v>2637</c:v>
                </c:pt>
                <c:pt idx="185" formatCode="#,##0">
                  <c:v>11556</c:v>
                </c:pt>
                <c:pt idx="186" formatCode="#,##0">
                  <c:v>2973</c:v>
                </c:pt>
                <c:pt idx="187" formatCode="#,##0">
                  <c:v>1723</c:v>
                </c:pt>
                <c:pt idx="188" formatCode="#,##0">
                  <c:v>5261</c:v>
                </c:pt>
                <c:pt idx="189" formatCode="#,##0">
                  <c:v>13280</c:v>
                </c:pt>
                <c:pt idx="190" formatCode="#,##0">
                  <c:v>35565</c:v>
                </c:pt>
                <c:pt idx="191" formatCode="#,##0">
                  <c:v>9407</c:v>
                </c:pt>
                <c:pt idx="192">
                  <c:v>127</c:v>
                </c:pt>
                <c:pt idx="193" formatCode="#,##0">
                  <c:v>65423</c:v>
                </c:pt>
                <c:pt idx="194" formatCode="#,##0">
                  <c:v>26125</c:v>
                </c:pt>
                <c:pt idx="195" formatCode="#,##0">
                  <c:v>12131</c:v>
                </c:pt>
                <c:pt idx="196" formatCode="#,##0">
                  <c:v>26377</c:v>
                </c:pt>
                <c:pt idx="197" formatCode="#,##0">
                  <c:v>18114</c:v>
                </c:pt>
                <c:pt idx="198" formatCode="#,##0">
                  <c:v>7743</c:v>
                </c:pt>
                <c:pt idx="199" formatCode="#,##0">
                  <c:v>30814</c:v>
                </c:pt>
                <c:pt idx="200" formatCode="#,##0">
                  <c:v>1454</c:v>
                </c:pt>
                <c:pt idx="201" formatCode="#,##0">
                  <c:v>20647</c:v>
                </c:pt>
                <c:pt idx="202" formatCode="#,##0">
                  <c:v>3721</c:v>
                </c:pt>
                <c:pt idx="203" formatCode="#,##0">
                  <c:v>12920</c:v>
                </c:pt>
                <c:pt idx="204" formatCode="#,##0">
                  <c:v>73038</c:v>
                </c:pt>
                <c:pt idx="205" formatCode="#,##0">
                  <c:v>9981</c:v>
                </c:pt>
                <c:pt idx="206" formatCode="#,##0">
                  <c:v>12928</c:v>
                </c:pt>
                <c:pt idx="207" formatCode="#,##0">
                  <c:v>210590</c:v>
                </c:pt>
                <c:pt idx="208" formatCode="#,##0">
                  <c:v>721510</c:v>
                </c:pt>
                <c:pt idx="209" formatCode="#,##0">
                  <c:v>65649</c:v>
                </c:pt>
                <c:pt idx="210" formatCode="#,##0">
                  <c:v>52874</c:v>
                </c:pt>
                <c:pt idx="211" formatCode="#,##0">
                  <c:v>10761</c:v>
                </c:pt>
                <c:pt idx="212" formatCode="#,##0">
                  <c:v>16295</c:v>
                </c:pt>
                <c:pt idx="213" formatCode="#,##0">
                  <c:v>80749</c:v>
                </c:pt>
                <c:pt idx="214" formatCode="#,##0">
                  <c:v>57566</c:v>
                </c:pt>
                <c:pt idx="215" formatCode="#,##0">
                  <c:v>26730</c:v>
                </c:pt>
                <c:pt idx="216" formatCode="#,##0">
                  <c:v>44006</c:v>
                </c:pt>
                <c:pt idx="217" formatCode="#,##0">
                  <c:v>22743</c:v>
                </c:pt>
                <c:pt idx="218" formatCode="#,##0">
                  <c:v>180843</c:v>
                </c:pt>
                <c:pt idx="219" formatCode="#,##0">
                  <c:v>222539</c:v>
                </c:pt>
                <c:pt idx="220" formatCode="#,##0">
                  <c:v>13975</c:v>
                </c:pt>
                <c:pt idx="221" formatCode="#,##0">
                  <c:v>4851</c:v>
                </c:pt>
                <c:pt idx="222" formatCode="#,##0">
                  <c:v>5802</c:v>
                </c:pt>
                <c:pt idx="223" formatCode="#,##0">
                  <c:v>3731</c:v>
                </c:pt>
                <c:pt idx="224" formatCode="#,##0">
                  <c:v>2422</c:v>
                </c:pt>
                <c:pt idx="225" formatCode="#,##0">
                  <c:v>23445</c:v>
                </c:pt>
                <c:pt idx="226" formatCode="#,##0">
                  <c:v>12995</c:v>
                </c:pt>
                <c:pt idx="227" formatCode="#,##0">
                  <c:v>38841</c:v>
                </c:pt>
                <c:pt idx="228" formatCode="#,##0">
                  <c:v>32149</c:v>
                </c:pt>
                <c:pt idx="229" formatCode="#,##0">
                  <c:v>37026</c:v>
                </c:pt>
                <c:pt idx="230" formatCode="#,##0">
                  <c:v>111636</c:v>
                </c:pt>
                <c:pt idx="231" formatCode="#,##0">
                  <c:v>16019</c:v>
                </c:pt>
                <c:pt idx="232" formatCode="#,##0">
                  <c:v>70063</c:v>
                </c:pt>
                <c:pt idx="233" formatCode="#,##0">
                  <c:v>9066</c:v>
                </c:pt>
                <c:pt idx="234" formatCode="#,##0">
                  <c:v>13657</c:v>
                </c:pt>
                <c:pt idx="235" formatCode="#,##0">
                  <c:v>3004</c:v>
                </c:pt>
                <c:pt idx="236" formatCode="#,##0">
                  <c:v>3186</c:v>
                </c:pt>
                <c:pt idx="237" formatCode="#,##0">
                  <c:v>61188</c:v>
                </c:pt>
                <c:pt idx="238" formatCode="#,##0">
                  <c:v>86952</c:v>
                </c:pt>
                <c:pt idx="239" formatCode="#,##0">
                  <c:v>14648</c:v>
                </c:pt>
                <c:pt idx="240" formatCode="#,##0">
                  <c:v>13535</c:v>
                </c:pt>
                <c:pt idx="241" formatCode="#,##0">
                  <c:v>1320</c:v>
                </c:pt>
                <c:pt idx="242">
                  <c:v>909</c:v>
                </c:pt>
                <c:pt idx="243" formatCode="#,##0">
                  <c:v>9394</c:v>
                </c:pt>
                <c:pt idx="244">
                  <c:v>400</c:v>
                </c:pt>
                <c:pt idx="245" formatCode="#,##0">
                  <c:v>1285</c:v>
                </c:pt>
                <c:pt idx="246" formatCode="#,##0">
                  <c:v>20953</c:v>
                </c:pt>
                <c:pt idx="247" formatCode="#,##0">
                  <c:v>7581</c:v>
                </c:pt>
                <c:pt idx="248" formatCode="#,##0">
                  <c:v>6274</c:v>
                </c:pt>
                <c:pt idx="249" formatCode="#,##0">
                  <c:v>1908</c:v>
                </c:pt>
                <c:pt idx="250" formatCode="#,##0">
                  <c:v>29403</c:v>
                </c:pt>
                <c:pt idx="251" formatCode="#,##0">
                  <c:v>1140</c:v>
                </c:pt>
                <c:pt idx="252" formatCode="#,##0">
                  <c:v>7286</c:v>
                </c:pt>
                <c:pt idx="253" formatCode="#,##0">
                  <c:v>3157</c:v>
                </c:pt>
                <c:pt idx="254">
                  <c:v>104</c:v>
                </c:pt>
                <c:pt idx="255" formatCode="#,##0">
                  <c:v>1033</c:v>
                </c:pt>
                <c:pt idx="256" formatCode="#,##0">
                  <c:v>2639</c:v>
                </c:pt>
                <c:pt idx="257" formatCode="#,##0">
                  <c:v>2689</c:v>
                </c:pt>
                <c:pt idx="258" formatCode="#,##0">
                  <c:v>13505</c:v>
                </c:pt>
                <c:pt idx="259" formatCode="#,##0">
                  <c:v>3975</c:v>
                </c:pt>
                <c:pt idx="260">
                  <c:v>665</c:v>
                </c:pt>
                <c:pt idx="261" formatCode="#,##0">
                  <c:v>2570</c:v>
                </c:pt>
                <c:pt idx="262" formatCode="#,##0">
                  <c:v>11361</c:v>
                </c:pt>
                <c:pt idx="263">
                  <c:v>615</c:v>
                </c:pt>
                <c:pt idx="264">
                  <c:v>319</c:v>
                </c:pt>
                <c:pt idx="265" formatCode="#,##0">
                  <c:v>3159</c:v>
                </c:pt>
                <c:pt idx="266" formatCode="#,##0">
                  <c:v>19851</c:v>
                </c:pt>
                <c:pt idx="267" formatCode="#,##0">
                  <c:v>5991</c:v>
                </c:pt>
                <c:pt idx="268" formatCode="#,##0">
                  <c:v>14665</c:v>
                </c:pt>
                <c:pt idx="269" formatCode="#,##0">
                  <c:v>1394</c:v>
                </c:pt>
                <c:pt idx="270" formatCode="#,##0">
                  <c:v>15725</c:v>
                </c:pt>
                <c:pt idx="271">
                  <c:v>994</c:v>
                </c:pt>
                <c:pt idx="272" formatCode="#,##0">
                  <c:v>8639</c:v>
                </c:pt>
                <c:pt idx="273" formatCode="#,##0">
                  <c:v>3863</c:v>
                </c:pt>
                <c:pt idx="274" formatCode="#,##0">
                  <c:v>1510</c:v>
                </c:pt>
                <c:pt idx="275" formatCode="#,##0">
                  <c:v>1730</c:v>
                </c:pt>
                <c:pt idx="276" formatCode="#,##0">
                  <c:v>1449</c:v>
                </c:pt>
                <c:pt idx="277" formatCode="#,##0">
                  <c:v>12523</c:v>
                </c:pt>
                <c:pt idx="278" formatCode="#,##0">
                  <c:v>10934</c:v>
                </c:pt>
                <c:pt idx="279" formatCode="#,##0">
                  <c:v>5549</c:v>
                </c:pt>
                <c:pt idx="280" formatCode="#,##0">
                  <c:v>41155</c:v>
                </c:pt>
                <c:pt idx="281">
                  <c:v>552</c:v>
                </c:pt>
                <c:pt idx="282" formatCode="#,##0">
                  <c:v>30349</c:v>
                </c:pt>
                <c:pt idx="283" formatCode="#,##0">
                  <c:v>5749</c:v>
                </c:pt>
                <c:pt idx="284" formatCode="#,##0">
                  <c:v>2327</c:v>
                </c:pt>
                <c:pt idx="285" formatCode="#,##0">
                  <c:v>11042</c:v>
                </c:pt>
                <c:pt idx="286">
                  <c:v>85</c:v>
                </c:pt>
                <c:pt idx="287" formatCode="#,##0">
                  <c:v>44572</c:v>
                </c:pt>
                <c:pt idx="288" formatCode="#,##0">
                  <c:v>20140</c:v>
                </c:pt>
                <c:pt idx="289">
                  <c:v>626</c:v>
                </c:pt>
                <c:pt idx="290" formatCode="#,##0">
                  <c:v>1289</c:v>
                </c:pt>
                <c:pt idx="291" formatCode="#,##0">
                  <c:v>1574</c:v>
                </c:pt>
                <c:pt idx="292" formatCode="#,##0">
                  <c:v>12629</c:v>
                </c:pt>
                <c:pt idx="293" formatCode="#,##0">
                  <c:v>3975</c:v>
                </c:pt>
                <c:pt idx="294" formatCode="#,##0">
                  <c:v>1006</c:v>
                </c:pt>
                <c:pt idx="295" formatCode="#,##0">
                  <c:v>10590</c:v>
                </c:pt>
                <c:pt idx="296" formatCode="#,##0">
                  <c:v>4914</c:v>
                </c:pt>
                <c:pt idx="297" formatCode="#,##0">
                  <c:v>47917</c:v>
                </c:pt>
                <c:pt idx="298" formatCode="#,##0">
                  <c:v>2826</c:v>
                </c:pt>
                <c:pt idx="299" formatCode="#,##0">
                  <c:v>7557</c:v>
                </c:pt>
                <c:pt idx="300" formatCode="#,##0">
                  <c:v>60071</c:v>
                </c:pt>
                <c:pt idx="301" formatCode="#,##0">
                  <c:v>2120</c:v>
                </c:pt>
                <c:pt idx="302" formatCode="#,##0">
                  <c:v>3096</c:v>
                </c:pt>
                <c:pt idx="303" formatCode="#,##0">
                  <c:v>50841</c:v>
                </c:pt>
                <c:pt idx="304" formatCode="#,##0">
                  <c:v>19684</c:v>
                </c:pt>
                <c:pt idx="305" formatCode="#,##0">
                  <c:v>53604</c:v>
                </c:pt>
                <c:pt idx="306" formatCode="#,##0">
                  <c:v>15429</c:v>
                </c:pt>
                <c:pt idx="307" formatCode="#,##0">
                  <c:v>80834</c:v>
                </c:pt>
                <c:pt idx="308" formatCode="#,##0">
                  <c:v>32205</c:v>
                </c:pt>
                <c:pt idx="309" formatCode="#,##0">
                  <c:v>44307</c:v>
                </c:pt>
                <c:pt idx="310" formatCode="#,##0">
                  <c:v>31017</c:v>
                </c:pt>
                <c:pt idx="311" formatCode="#,##0">
                  <c:v>22071</c:v>
                </c:pt>
                <c:pt idx="312" formatCode="#,##0">
                  <c:v>16417</c:v>
                </c:pt>
                <c:pt idx="313" formatCode="#,##0">
                  <c:v>49106</c:v>
                </c:pt>
                <c:pt idx="314" formatCode="#,##0">
                  <c:v>63715</c:v>
                </c:pt>
                <c:pt idx="315" formatCode="#,##0">
                  <c:v>67176</c:v>
                </c:pt>
                <c:pt idx="316" formatCode="#,##0">
                  <c:v>8846</c:v>
                </c:pt>
                <c:pt idx="317" formatCode="#,##0">
                  <c:v>55112</c:v>
                </c:pt>
                <c:pt idx="318" formatCode="#,##0">
                  <c:v>54823</c:v>
                </c:pt>
                <c:pt idx="319" formatCode="#,##0">
                  <c:v>22354</c:v>
                </c:pt>
                <c:pt idx="320" formatCode="#,##0">
                  <c:v>26553</c:v>
                </c:pt>
                <c:pt idx="321" formatCode="#,##0">
                  <c:v>14000</c:v>
                </c:pt>
                <c:pt idx="322" formatCode="#,##0">
                  <c:v>74289</c:v>
                </c:pt>
                <c:pt idx="323" formatCode="#,##0">
                  <c:v>90876</c:v>
                </c:pt>
                <c:pt idx="324" formatCode="#,##0">
                  <c:v>91589</c:v>
                </c:pt>
                <c:pt idx="325" formatCode="#,##0">
                  <c:v>41690</c:v>
                </c:pt>
                <c:pt idx="326" formatCode="#,##0">
                  <c:v>26318</c:v>
                </c:pt>
                <c:pt idx="327" formatCode="#,##0">
                  <c:v>23184</c:v>
                </c:pt>
                <c:pt idx="328" formatCode="#,##0">
                  <c:v>20669</c:v>
                </c:pt>
                <c:pt idx="329" formatCode="#,##0">
                  <c:v>110459</c:v>
                </c:pt>
                <c:pt idx="330" formatCode="#,##0">
                  <c:v>80922</c:v>
                </c:pt>
                <c:pt idx="331" formatCode="#,##0">
                  <c:v>21285</c:v>
                </c:pt>
                <c:pt idx="332" formatCode="#,##0">
                  <c:v>25018</c:v>
                </c:pt>
                <c:pt idx="333" formatCode="#,##0">
                  <c:v>30966</c:v>
                </c:pt>
                <c:pt idx="334" formatCode="#,##0">
                  <c:v>126658</c:v>
                </c:pt>
                <c:pt idx="335" formatCode="#,##0">
                  <c:v>15354</c:v>
                </c:pt>
                <c:pt idx="336" formatCode="#,##0">
                  <c:v>62990</c:v>
                </c:pt>
                <c:pt idx="337" formatCode="#,##0">
                  <c:v>89318</c:v>
                </c:pt>
                <c:pt idx="338" formatCode="#,##0">
                  <c:v>29536</c:v>
                </c:pt>
                <c:pt idx="339" formatCode="#,##0">
                  <c:v>39309</c:v>
                </c:pt>
                <c:pt idx="340" formatCode="#,##0">
                  <c:v>31950</c:v>
                </c:pt>
                <c:pt idx="341" formatCode="#,##0">
                  <c:v>68811</c:v>
                </c:pt>
                <c:pt idx="342" formatCode="#,##0">
                  <c:v>81532</c:v>
                </c:pt>
                <c:pt idx="343" formatCode="#,##0">
                  <c:v>36584</c:v>
                </c:pt>
                <c:pt idx="344" formatCode="#,##0">
                  <c:v>23287</c:v>
                </c:pt>
                <c:pt idx="345" formatCode="#,##0">
                  <c:v>85251</c:v>
                </c:pt>
                <c:pt idx="346" formatCode="#,##0">
                  <c:v>18854</c:v>
                </c:pt>
                <c:pt idx="347" formatCode="#,##0">
                  <c:v>35739</c:v>
                </c:pt>
                <c:pt idx="348" formatCode="#,##0">
                  <c:v>6310</c:v>
                </c:pt>
                <c:pt idx="349" formatCode="#,##0">
                  <c:v>32858</c:v>
                </c:pt>
                <c:pt idx="350" formatCode="#,##0">
                  <c:v>15381</c:v>
                </c:pt>
                <c:pt idx="351" formatCode="#,##0">
                  <c:v>15920</c:v>
                </c:pt>
                <c:pt idx="352" formatCode="#,##0">
                  <c:v>11912</c:v>
                </c:pt>
                <c:pt idx="353" formatCode="#,##0">
                  <c:v>47335</c:v>
                </c:pt>
                <c:pt idx="354" formatCode="#,##0">
                  <c:v>100789</c:v>
                </c:pt>
                <c:pt idx="355" formatCode="#,##0">
                  <c:v>4325</c:v>
                </c:pt>
                <c:pt idx="356" formatCode="#,##0">
                  <c:v>53562</c:v>
                </c:pt>
                <c:pt idx="357" formatCode="#,##0">
                  <c:v>20969</c:v>
                </c:pt>
                <c:pt idx="358" formatCode="#,##0">
                  <c:v>47224</c:v>
                </c:pt>
                <c:pt idx="359" formatCode="#,##0">
                  <c:v>22009</c:v>
                </c:pt>
                <c:pt idx="360" formatCode="#,##0">
                  <c:v>2569</c:v>
                </c:pt>
                <c:pt idx="361" formatCode="#,##0">
                  <c:v>9322</c:v>
                </c:pt>
                <c:pt idx="362" formatCode="#,##0">
                  <c:v>7457</c:v>
                </c:pt>
                <c:pt idx="363" formatCode="#,##0">
                  <c:v>73572</c:v>
                </c:pt>
                <c:pt idx="364" formatCode="#,##0">
                  <c:v>7677</c:v>
                </c:pt>
                <c:pt idx="365" formatCode="#,##0">
                  <c:v>5854</c:v>
                </c:pt>
                <c:pt idx="366" formatCode="#,##0">
                  <c:v>3044</c:v>
                </c:pt>
                <c:pt idx="367" formatCode="#,##0">
                  <c:v>23461</c:v>
                </c:pt>
                <c:pt idx="368" formatCode="#,##0">
                  <c:v>94347</c:v>
                </c:pt>
                <c:pt idx="369" formatCode="#,##0">
                  <c:v>61821</c:v>
                </c:pt>
                <c:pt idx="370" formatCode="#,##0">
                  <c:v>24503</c:v>
                </c:pt>
                <c:pt idx="371" formatCode="#,##0">
                  <c:v>22676</c:v>
                </c:pt>
                <c:pt idx="372" formatCode="#,##0">
                  <c:v>12227</c:v>
                </c:pt>
                <c:pt idx="373" formatCode="#,##0">
                  <c:v>50010</c:v>
                </c:pt>
                <c:pt idx="374" formatCode="#,##0">
                  <c:v>71272</c:v>
                </c:pt>
                <c:pt idx="375" formatCode="#,##0">
                  <c:v>7739</c:v>
                </c:pt>
                <c:pt idx="376" formatCode="#,##0">
                  <c:v>56262</c:v>
                </c:pt>
                <c:pt idx="377" formatCode="#,##0">
                  <c:v>5180</c:v>
                </c:pt>
                <c:pt idx="378" formatCode="#,##0">
                  <c:v>88258</c:v>
                </c:pt>
                <c:pt idx="379" formatCode="#,##0">
                  <c:v>33100</c:v>
                </c:pt>
                <c:pt idx="380" formatCode="#,##0">
                  <c:v>64190</c:v>
                </c:pt>
                <c:pt idx="381" formatCode="#,##0">
                  <c:v>66778</c:v>
                </c:pt>
                <c:pt idx="382" formatCode="#,##0">
                  <c:v>15145</c:v>
                </c:pt>
                <c:pt idx="383" formatCode="#,##0">
                  <c:v>2968</c:v>
                </c:pt>
                <c:pt idx="384">
                  <c:v>318</c:v>
                </c:pt>
                <c:pt idx="385" formatCode="#,##0">
                  <c:v>44240</c:v>
                </c:pt>
                <c:pt idx="386" formatCode="#,##0">
                  <c:v>7164</c:v>
                </c:pt>
                <c:pt idx="387" formatCode="#,##0">
                  <c:v>1715</c:v>
                </c:pt>
                <c:pt idx="388" formatCode="#,##0">
                  <c:v>2194</c:v>
                </c:pt>
                <c:pt idx="389" formatCode="#,##0">
                  <c:v>27430</c:v>
                </c:pt>
                <c:pt idx="390" formatCode="#,##0">
                  <c:v>14256</c:v>
                </c:pt>
                <c:pt idx="391" formatCode="#,##0">
                  <c:v>21258</c:v>
                </c:pt>
                <c:pt idx="392" formatCode="#,##0">
                  <c:v>4981</c:v>
                </c:pt>
                <c:pt idx="393" formatCode="#,##0">
                  <c:v>1970</c:v>
                </c:pt>
                <c:pt idx="394" formatCode="#,##0">
                  <c:v>106016</c:v>
                </c:pt>
                <c:pt idx="395" formatCode="#,##0">
                  <c:v>2446</c:v>
                </c:pt>
                <c:pt idx="396" formatCode="#,##0">
                  <c:v>1880</c:v>
                </c:pt>
                <c:pt idx="397" formatCode="#,##0">
                  <c:v>1565</c:v>
                </c:pt>
                <c:pt idx="398" formatCode="#,##0">
                  <c:v>31525</c:v>
                </c:pt>
                <c:pt idx="399" formatCode="#,##0">
                  <c:v>18923</c:v>
                </c:pt>
                <c:pt idx="400" formatCode="#,##0">
                  <c:v>22967</c:v>
                </c:pt>
                <c:pt idx="401" formatCode="#,##0">
                  <c:v>14964</c:v>
                </c:pt>
                <c:pt idx="402" formatCode="#,##0">
                  <c:v>28654</c:v>
                </c:pt>
                <c:pt idx="403" formatCode="#,##0">
                  <c:v>11600</c:v>
                </c:pt>
                <c:pt idx="404" formatCode="#,##0">
                  <c:v>10975</c:v>
                </c:pt>
                <c:pt idx="405" formatCode="#,##0">
                  <c:v>14363</c:v>
                </c:pt>
                <c:pt idx="406" formatCode="#,##0">
                  <c:v>13023</c:v>
                </c:pt>
                <c:pt idx="407" formatCode="#,##0">
                  <c:v>38273</c:v>
                </c:pt>
                <c:pt idx="408" formatCode="#,##0">
                  <c:v>47870</c:v>
                </c:pt>
                <c:pt idx="409" formatCode="#,##0">
                  <c:v>6602</c:v>
                </c:pt>
                <c:pt idx="410" formatCode="#,##0">
                  <c:v>17119</c:v>
                </c:pt>
                <c:pt idx="411" formatCode="#,##0">
                  <c:v>3585</c:v>
                </c:pt>
                <c:pt idx="412" formatCode="#,##0">
                  <c:v>111784</c:v>
                </c:pt>
                <c:pt idx="413" formatCode="#,##0">
                  <c:v>115796</c:v>
                </c:pt>
                <c:pt idx="414" formatCode="#,##0">
                  <c:v>67153</c:v>
                </c:pt>
                <c:pt idx="415" formatCode="#,##0">
                  <c:v>45536</c:v>
                </c:pt>
                <c:pt idx="416" formatCode="#,##0">
                  <c:v>108648</c:v>
                </c:pt>
                <c:pt idx="417" formatCode="#,##0">
                  <c:v>26146</c:v>
                </c:pt>
                <c:pt idx="418" formatCode="#,##0">
                  <c:v>27165</c:v>
                </c:pt>
                <c:pt idx="419" formatCode="#,##0">
                  <c:v>52131</c:v>
                </c:pt>
                <c:pt idx="420" formatCode="#,##0">
                  <c:v>11807</c:v>
                </c:pt>
                <c:pt idx="421" formatCode="#,##0">
                  <c:v>33309</c:v>
                </c:pt>
                <c:pt idx="422" formatCode="#,##0">
                  <c:v>33400</c:v>
                </c:pt>
                <c:pt idx="423" formatCode="#,##0">
                  <c:v>37024</c:v>
                </c:pt>
                <c:pt idx="424">
                  <c:v>244</c:v>
                </c:pt>
                <c:pt idx="425" formatCode="#,##0">
                  <c:v>58270</c:v>
                </c:pt>
                <c:pt idx="426" formatCode="#,##0">
                  <c:v>71957</c:v>
                </c:pt>
                <c:pt idx="427" formatCode="#,##0">
                  <c:v>55855</c:v>
                </c:pt>
                <c:pt idx="428" formatCode="#,##0">
                  <c:v>53145</c:v>
                </c:pt>
                <c:pt idx="429" formatCode="#,##0">
                  <c:v>25263</c:v>
                </c:pt>
                <c:pt idx="430" formatCode="#,##0">
                  <c:v>75967</c:v>
                </c:pt>
                <c:pt idx="431" formatCode="#,##0">
                  <c:v>7243</c:v>
                </c:pt>
                <c:pt idx="432" formatCode="#,##0">
                  <c:v>36576</c:v>
                </c:pt>
                <c:pt idx="433" formatCode="#,##0">
                  <c:v>3456</c:v>
                </c:pt>
                <c:pt idx="434" formatCode="#,##0">
                  <c:v>78205</c:v>
                </c:pt>
                <c:pt idx="435" formatCode="#,##0">
                  <c:v>18781</c:v>
                </c:pt>
                <c:pt idx="436" formatCode="#,##0">
                  <c:v>5911</c:v>
                </c:pt>
                <c:pt idx="437" formatCode="#,##0">
                  <c:v>11076</c:v>
                </c:pt>
                <c:pt idx="438" formatCode="#,##0">
                  <c:v>9253</c:v>
                </c:pt>
                <c:pt idx="439" formatCode="#,##0">
                  <c:v>88982</c:v>
                </c:pt>
                <c:pt idx="440" formatCode="#,##0">
                  <c:v>91707</c:v>
                </c:pt>
                <c:pt idx="441" formatCode="#,##0">
                  <c:v>19013</c:v>
                </c:pt>
                <c:pt idx="442" formatCode="#,##0">
                  <c:v>62660</c:v>
                </c:pt>
                <c:pt idx="443" formatCode="#,##0">
                  <c:v>5749</c:v>
                </c:pt>
                <c:pt idx="444" formatCode="#,##0">
                  <c:v>13839</c:v>
                </c:pt>
                <c:pt idx="445" formatCode="#,##0">
                  <c:v>41176</c:v>
                </c:pt>
                <c:pt idx="446" formatCode="#,##0">
                  <c:v>98509</c:v>
                </c:pt>
                <c:pt idx="447" formatCode="#,##0">
                  <c:v>110587</c:v>
                </c:pt>
                <c:pt idx="448" formatCode="#,##0">
                  <c:v>46442</c:v>
                </c:pt>
                <c:pt idx="449" formatCode="#,##0">
                  <c:v>57206</c:v>
                </c:pt>
                <c:pt idx="450" formatCode="#,##0">
                  <c:v>31406</c:v>
                </c:pt>
                <c:pt idx="451" formatCode="#,##0">
                  <c:v>24281</c:v>
                </c:pt>
                <c:pt idx="452" formatCode="#,##0">
                  <c:v>17700</c:v>
                </c:pt>
                <c:pt idx="453" formatCode="#,##0">
                  <c:v>75906</c:v>
                </c:pt>
                <c:pt idx="454" formatCode="#,##0">
                  <c:v>12053</c:v>
                </c:pt>
                <c:pt idx="455" formatCode="#,##0">
                  <c:v>6197</c:v>
                </c:pt>
                <c:pt idx="456" formatCode="#,##0">
                  <c:v>28430</c:v>
                </c:pt>
                <c:pt idx="457" formatCode="#,##0">
                  <c:v>106424</c:v>
                </c:pt>
                <c:pt idx="458" formatCode="#,##0">
                  <c:v>104334</c:v>
                </c:pt>
                <c:pt idx="459" formatCode="#,##0">
                  <c:v>35567</c:v>
                </c:pt>
                <c:pt idx="460" formatCode="#,##0">
                  <c:v>12757</c:v>
                </c:pt>
                <c:pt idx="461" formatCode="#,##0">
                  <c:v>113865</c:v>
                </c:pt>
                <c:pt idx="462" formatCode="#,##0">
                  <c:v>49478</c:v>
                </c:pt>
                <c:pt idx="463" formatCode="#,##0">
                  <c:v>73536</c:v>
                </c:pt>
                <c:pt idx="464" formatCode="#,##0">
                  <c:v>39586</c:v>
                </c:pt>
                <c:pt idx="465" formatCode="#,##0">
                  <c:v>18912</c:v>
                </c:pt>
                <c:pt idx="466" formatCode="#,##0">
                  <c:v>125452</c:v>
                </c:pt>
                <c:pt idx="467" formatCode="#,##0">
                  <c:v>27040</c:v>
                </c:pt>
                <c:pt idx="468" formatCode="#,##0">
                  <c:v>32645</c:v>
                </c:pt>
                <c:pt idx="469" formatCode="#,##0">
                  <c:v>38927</c:v>
                </c:pt>
                <c:pt idx="470" formatCode="#,##0">
                  <c:v>35830</c:v>
                </c:pt>
                <c:pt idx="471" formatCode="#,##0">
                  <c:v>24062</c:v>
                </c:pt>
                <c:pt idx="472" formatCode="#,##0">
                  <c:v>92030</c:v>
                </c:pt>
                <c:pt idx="473" formatCode="#,##0">
                  <c:v>61563</c:v>
                </c:pt>
                <c:pt idx="474" formatCode="#,##0">
                  <c:v>45649</c:v>
                </c:pt>
                <c:pt idx="475" formatCode="#,##0">
                  <c:v>37646</c:v>
                </c:pt>
                <c:pt idx="476" formatCode="#,##0">
                  <c:v>61381</c:v>
                </c:pt>
                <c:pt idx="477" formatCode="#,##0">
                  <c:v>307132</c:v>
                </c:pt>
                <c:pt idx="478" formatCode="#,##0">
                  <c:v>181906</c:v>
                </c:pt>
                <c:pt idx="479" formatCode="#,##0">
                  <c:v>20926</c:v>
                </c:pt>
                <c:pt idx="480" formatCode="#,##0">
                  <c:v>46346</c:v>
                </c:pt>
                <c:pt idx="481" formatCode="#,##0">
                  <c:v>9587</c:v>
                </c:pt>
                <c:pt idx="482" formatCode="#,##0">
                  <c:v>348986</c:v>
                </c:pt>
                <c:pt idx="483" formatCode="#,##0">
                  <c:v>84535</c:v>
                </c:pt>
                <c:pt idx="484" formatCode="#,##0">
                  <c:v>31633</c:v>
                </c:pt>
                <c:pt idx="485" formatCode="#,##0">
                  <c:v>13941</c:v>
                </c:pt>
                <c:pt idx="486" formatCode="#,##0">
                  <c:v>10048</c:v>
                </c:pt>
                <c:pt idx="487" formatCode="#,##0">
                  <c:v>70356</c:v>
                </c:pt>
                <c:pt idx="488" formatCode="#,##0">
                  <c:v>9061</c:v>
                </c:pt>
                <c:pt idx="489" formatCode="#,##0">
                  <c:v>74696</c:v>
                </c:pt>
                <c:pt idx="490" formatCode="#,##0">
                  <c:v>40255</c:v>
                </c:pt>
                <c:pt idx="491" formatCode="#,##0">
                  <c:v>105284</c:v>
                </c:pt>
                <c:pt idx="492" formatCode="#,##0">
                  <c:v>100287</c:v>
                </c:pt>
                <c:pt idx="493" formatCode="#,##0">
                  <c:v>28953</c:v>
                </c:pt>
                <c:pt idx="494" formatCode="#,##0">
                  <c:v>3899</c:v>
                </c:pt>
                <c:pt idx="495" formatCode="#,##0">
                  <c:v>18862</c:v>
                </c:pt>
                <c:pt idx="496" formatCode="#,##0">
                  <c:v>13034</c:v>
                </c:pt>
                <c:pt idx="497" formatCode="#,##0">
                  <c:v>46063</c:v>
                </c:pt>
                <c:pt idx="498" formatCode="#,##0">
                  <c:v>28640</c:v>
                </c:pt>
                <c:pt idx="499" formatCode="#,##0">
                  <c:v>67190</c:v>
                </c:pt>
                <c:pt idx="500" formatCode="#,##0">
                  <c:v>25433</c:v>
                </c:pt>
                <c:pt idx="501" formatCode="#,##0">
                  <c:v>66784</c:v>
                </c:pt>
                <c:pt idx="502" formatCode="#,##0">
                  <c:v>35368</c:v>
                </c:pt>
                <c:pt idx="503" formatCode="#,##0">
                  <c:v>30722</c:v>
                </c:pt>
                <c:pt idx="504" formatCode="#,##0">
                  <c:v>12768</c:v>
                </c:pt>
                <c:pt idx="505" formatCode="#,##0">
                  <c:v>46842</c:v>
                </c:pt>
                <c:pt idx="506" formatCode="#,##0">
                  <c:v>77472</c:v>
                </c:pt>
                <c:pt idx="507" formatCode="#,##0">
                  <c:v>21965</c:v>
                </c:pt>
                <c:pt idx="508" formatCode="#,##0">
                  <c:v>73897</c:v>
                </c:pt>
                <c:pt idx="509" formatCode="#,##0">
                  <c:v>87790</c:v>
                </c:pt>
                <c:pt idx="510" formatCode="#,##0">
                  <c:v>132998</c:v>
                </c:pt>
                <c:pt idx="511" formatCode="#,##0">
                  <c:v>40656</c:v>
                </c:pt>
                <c:pt idx="512" formatCode="#,##0">
                  <c:v>14540</c:v>
                </c:pt>
                <c:pt idx="513" formatCode="#,##0">
                  <c:v>49760</c:v>
                </c:pt>
                <c:pt idx="514" formatCode="#,##0">
                  <c:v>25875</c:v>
                </c:pt>
                <c:pt idx="515" formatCode="#,##0">
                  <c:v>16862</c:v>
                </c:pt>
                <c:pt idx="516" formatCode="#,##0">
                  <c:v>64088</c:v>
                </c:pt>
                <c:pt idx="517" formatCode="#,##0">
                  <c:v>6502</c:v>
                </c:pt>
                <c:pt idx="518" formatCode="#,##0">
                  <c:v>27193</c:v>
                </c:pt>
                <c:pt idx="519" formatCode="#,##0">
                  <c:v>8959</c:v>
                </c:pt>
                <c:pt idx="520" formatCode="#,##0">
                  <c:v>11042</c:v>
                </c:pt>
                <c:pt idx="521" formatCode="#,##0">
                  <c:v>18421</c:v>
                </c:pt>
                <c:pt idx="522" formatCode="#,##0">
                  <c:v>39712</c:v>
                </c:pt>
                <c:pt idx="523" formatCode="#,##0">
                  <c:v>77148</c:v>
                </c:pt>
                <c:pt idx="524" formatCode="#,##0">
                  <c:v>121770</c:v>
                </c:pt>
                <c:pt idx="525" formatCode="#,##0">
                  <c:v>61192</c:v>
                </c:pt>
                <c:pt idx="526" formatCode="#,##0">
                  <c:v>38111</c:v>
                </c:pt>
                <c:pt idx="527" formatCode="#,##0">
                  <c:v>13240</c:v>
                </c:pt>
                <c:pt idx="528" formatCode="#,##0">
                  <c:v>103639</c:v>
                </c:pt>
                <c:pt idx="529" formatCode="#,##0">
                  <c:v>42267</c:v>
                </c:pt>
                <c:pt idx="530" formatCode="#,##0">
                  <c:v>21595</c:v>
                </c:pt>
                <c:pt idx="531" formatCode="#,##0">
                  <c:v>18590</c:v>
                </c:pt>
                <c:pt idx="532" formatCode="#,##0">
                  <c:v>9250</c:v>
                </c:pt>
                <c:pt idx="533" formatCode="#,##0">
                  <c:v>39859</c:v>
                </c:pt>
                <c:pt idx="534" formatCode="#,##0">
                  <c:v>36303</c:v>
                </c:pt>
                <c:pt idx="535" formatCode="#,##0">
                  <c:v>190870</c:v>
                </c:pt>
                <c:pt idx="536" formatCode="#,##0">
                  <c:v>7263</c:v>
                </c:pt>
                <c:pt idx="537" formatCode="#,##0">
                  <c:v>12786</c:v>
                </c:pt>
                <c:pt idx="538" formatCode="#,##0">
                  <c:v>14657</c:v>
                </c:pt>
                <c:pt idx="539" formatCode="#,##0">
                  <c:v>17008</c:v>
                </c:pt>
                <c:pt idx="540" formatCode="#,##0">
                  <c:v>158699</c:v>
                </c:pt>
                <c:pt idx="541" formatCode="#,##0">
                  <c:v>522967</c:v>
                </c:pt>
                <c:pt idx="542" formatCode="#,##0">
                  <c:v>34220</c:v>
                </c:pt>
                <c:pt idx="543" formatCode="#,##0">
                  <c:v>34299</c:v>
                </c:pt>
                <c:pt idx="544" formatCode="#,##0">
                  <c:v>30409</c:v>
                </c:pt>
                <c:pt idx="545" formatCode="#,##0">
                  <c:v>259568</c:v>
                </c:pt>
                <c:pt idx="546" formatCode="#,##0">
                  <c:v>85857</c:v>
                </c:pt>
                <c:pt idx="547" formatCode="#,##0">
                  <c:v>28597</c:v>
                </c:pt>
                <c:pt idx="548" formatCode="#,##0">
                  <c:v>59692</c:v>
                </c:pt>
                <c:pt idx="549" formatCode="#,##0">
                  <c:v>10161</c:v>
                </c:pt>
                <c:pt idx="550" formatCode="#,##0">
                  <c:v>25241</c:v>
                </c:pt>
                <c:pt idx="551" formatCode="#,##0">
                  <c:v>3581</c:v>
                </c:pt>
                <c:pt idx="552" formatCode="#,##0">
                  <c:v>5345</c:v>
                </c:pt>
                <c:pt idx="553" formatCode="#,##0">
                  <c:v>8972</c:v>
                </c:pt>
                <c:pt idx="554" formatCode="#,##0">
                  <c:v>50421</c:v>
                </c:pt>
                <c:pt idx="555" formatCode="#,##0">
                  <c:v>17733</c:v>
                </c:pt>
                <c:pt idx="556" formatCode="#,##0">
                  <c:v>11927</c:v>
                </c:pt>
                <c:pt idx="557" formatCode="#,##0">
                  <c:v>38165</c:v>
                </c:pt>
                <c:pt idx="558" formatCode="#,##0">
                  <c:v>20333</c:v>
                </c:pt>
                <c:pt idx="559" formatCode="#,##0">
                  <c:v>2787</c:v>
                </c:pt>
                <c:pt idx="560" formatCode="#,##0">
                  <c:v>40262</c:v>
                </c:pt>
                <c:pt idx="561" formatCode="#,##0">
                  <c:v>30650</c:v>
                </c:pt>
                <c:pt idx="562" formatCode="#,##0">
                  <c:v>11912</c:v>
                </c:pt>
                <c:pt idx="563" formatCode="#,##0">
                  <c:v>28535</c:v>
                </c:pt>
                <c:pt idx="564" formatCode="#,##0">
                  <c:v>36000</c:v>
                </c:pt>
                <c:pt idx="565" formatCode="#,##0">
                  <c:v>76931</c:v>
                </c:pt>
                <c:pt idx="566" formatCode="#,##0">
                  <c:v>80475</c:v>
                </c:pt>
                <c:pt idx="567" formatCode="#,##0">
                  <c:v>29552</c:v>
                </c:pt>
                <c:pt idx="568" formatCode="#,##0">
                  <c:v>74928</c:v>
                </c:pt>
                <c:pt idx="569" formatCode="#,##0">
                  <c:v>442617</c:v>
                </c:pt>
                <c:pt idx="570" formatCode="#,##0">
                  <c:v>25413</c:v>
                </c:pt>
                <c:pt idx="571" formatCode="#,##0">
                  <c:v>49723</c:v>
                </c:pt>
                <c:pt idx="572" formatCode="#,##0">
                  <c:v>132367</c:v>
                </c:pt>
                <c:pt idx="573" formatCode="#,##0">
                  <c:v>17563</c:v>
                </c:pt>
                <c:pt idx="574" formatCode="#,##0">
                  <c:v>95669</c:v>
                </c:pt>
                <c:pt idx="575" formatCode="#,##0">
                  <c:v>22625</c:v>
                </c:pt>
                <c:pt idx="576" formatCode="#,##0">
                  <c:v>27315</c:v>
                </c:pt>
                <c:pt idx="577" formatCode="#,##0">
                  <c:v>2701</c:v>
                </c:pt>
                <c:pt idx="578" formatCode="#,##0">
                  <c:v>60044</c:v>
                </c:pt>
                <c:pt idx="579" formatCode="#,##0">
                  <c:v>51571</c:v>
                </c:pt>
                <c:pt idx="580" formatCode="#,##0">
                  <c:v>8753</c:v>
                </c:pt>
                <c:pt idx="581" formatCode="#,##0">
                  <c:v>34362</c:v>
                </c:pt>
                <c:pt idx="582" formatCode="#,##0">
                  <c:v>6531</c:v>
                </c:pt>
                <c:pt idx="583" formatCode="#,##0">
                  <c:v>59961</c:v>
                </c:pt>
                <c:pt idx="584" formatCode="#,##0">
                  <c:v>50618</c:v>
                </c:pt>
                <c:pt idx="585" formatCode="#,##0">
                  <c:v>40286</c:v>
                </c:pt>
                <c:pt idx="586" formatCode="#,##0">
                  <c:v>72481</c:v>
                </c:pt>
                <c:pt idx="587" formatCode="#,##0">
                  <c:v>87326</c:v>
                </c:pt>
                <c:pt idx="588" formatCode="#,##0">
                  <c:v>11851</c:v>
                </c:pt>
                <c:pt idx="589" formatCode="#,##0">
                  <c:v>4862</c:v>
                </c:pt>
                <c:pt idx="590" formatCode="#,##0">
                  <c:v>44969</c:v>
                </c:pt>
                <c:pt idx="591" formatCode="#,##0">
                  <c:v>11546</c:v>
                </c:pt>
                <c:pt idx="592" formatCode="#,##0">
                  <c:v>21673</c:v>
                </c:pt>
                <c:pt idx="593" formatCode="#,##0">
                  <c:v>77206</c:v>
                </c:pt>
                <c:pt idx="594" formatCode="#,##0">
                  <c:v>22185</c:v>
                </c:pt>
                <c:pt idx="595" formatCode="#,##0">
                  <c:v>17357</c:v>
                </c:pt>
                <c:pt idx="596" formatCode="#,##0">
                  <c:v>19386</c:v>
                </c:pt>
                <c:pt idx="597" formatCode="#,##0">
                  <c:v>37646</c:v>
                </c:pt>
                <c:pt idx="598" formatCode="#,##0">
                  <c:v>13762</c:v>
                </c:pt>
                <c:pt idx="599" formatCode="#,##0">
                  <c:v>7002</c:v>
                </c:pt>
                <c:pt idx="600" formatCode="#,##0">
                  <c:v>13037</c:v>
                </c:pt>
                <c:pt idx="601" formatCode="#,##0">
                  <c:v>131515</c:v>
                </c:pt>
                <c:pt idx="602" formatCode="#,##0">
                  <c:v>11272</c:v>
                </c:pt>
                <c:pt idx="603" formatCode="#,##0">
                  <c:v>8719</c:v>
                </c:pt>
                <c:pt idx="604" formatCode="#,##0">
                  <c:v>264813</c:v>
                </c:pt>
                <c:pt idx="605" formatCode="#,##0">
                  <c:v>37206</c:v>
                </c:pt>
                <c:pt idx="606" formatCode="#,##0">
                  <c:v>9043</c:v>
                </c:pt>
                <c:pt idx="607" formatCode="#,##0">
                  <c:v>445610</c:v>
                </c:pt>
                <c:pt idx="608" formatCode="#,##0">
                  <c:v>142114</c:v>
                </c:pt>
                <c:pt idx="609" formatCode="#,##0">
                  <c:v>74945</c:v>
                </c:pt>
                <c:pt idx="610" formatCode="#,##0">
                  <c:v>31151</c:v>
                </c:pt>
                <c:pt idx="611" formatCode="#,##0">
                  <c:v>222621</c:v>
                </c:pt>
                <c:pt idx="612" formatCode="#,##0">
                  <c:v>3744</c:v>
                </c:pt>
                <c:pt idx="613" formatCode="#,##0">
                  <c:v>97250</c:v>
                </c:pt>
                <c:pt idx="614" formatCode="#,##0">
                  <c:v>124379</c:v>
                </c:pt>
                <c:pt idx="615" formatCode="#,##0">
                  <c:v>34560</c:v>
                </c:pt>
                <c:pt idx="616" formatCode="#,##0">
                  <c:v>266736</c:v>
                </c:pt>
                <c:pt idx="617" formatCode="#,##0">
                  <c:v>62425</c:v>
                </c:pt>
                <c:pt idx="618" formatCode="#,##0">
                  <c:v>84241</c:v>
                </c:pt>
                <c:pt idx="619" formatCode="#,##0">
                  <c:v>63732</c:v>
                </c:pt>
                <c:pt idx="620" formatCode="#,##0">
                  <c:v>11751</c:v>
                </c:pt>
                <c:pt idx="621" formatCode="#,##0">
                  <c:v>90634</c:v>
                </c:pt>
                <c:pt idx="622" formatCode="#,##0">
                  <c:v>6757</c:v>
                </c:pt>
                <c:pt idx="623" formatCode="#,##0">
                  <c:v>10137</c:v>
                </c:pt>
                <c:pt idx="624" formatCode="#,##0">
                  <c:v>55251</c:v>
                </c:pt>
                <c:pt idx="625" formatCode="#,##0">
                  <c:v>15947</c:v>
                </c:pt>
                <c:pt idx="626" formatCode="#,##0">
                  <c:v>281471</c:v>
                </c:pt>
                <c:pt idx="627" formatCode="#,##0">
                  <c:v>257829</c:v>
                </c:pt>
                <c:pt idx="628" formatCode="#,##0">
                  <c:v>39465</c:v>
                </c:pt>
                <c:pt idx="629" formatCode="#,##0">
                  <c:v>9847</c:v>
                </c:pt>
                <c:pt idx="630" formatCode="#,##0">
                  <c:v>19692</c:v>
                </c:pt>
                <c:pt idx="631" formatCode="#,##0">
                  <c:v>19275</c:v>
                </c:pt>
                <c:pt idx="632" formatCode="#,##0">
                  <c:v>8239</c:v>
                </c:pt>
                <c:pt idx="633" formatCode="#,##0">
                  <c:v>51871</c:v>
                </c:pt>
                <c:pt idx="634" formatCode="#,##0">
                  <c:v>53671</c:v>
                </c:pt>
                <c:pt idx="635" formatCode="#,##0">
                  <c:v>9219</c:v>
                </c:pt>
                <c:pt idx="636" formatCode="#,##0">
                  <c:v>40830</c:v>
                </c:pt>
                <c:pt idx="637" formatCode="#,##0">
                  <c:v>63026</c:v>
                </c:pt>
                <c:pt idx="638" formatCode="#,##0">
                  <c:v>16963</c:v>
                </c:pt>
                <c:pt idx="639" formatCode="#,##0">
                  <c:v>19630</c:v>
                </c:pt>
                <c:pt idx="640" formatCode="#,##0">
                  <c:v>6670</c:v>
                </c:pt>
                <c:pt idx="641" formatCode="#,##0">
                  <c:v>13737</c:v>
                </c:pt>
                <c:pt idx="642" formatCode="#,##0">
                  <c:v>26153</c:v>
                </c:pt>
                <c:pt idx="643" formatCode="#,##0">
                  <c:v>51321</c:v>
                </c:pt>
                <c:pt idx="644" formatCode="#,##0">
                  <c:v>15083</c:v>
                </c:pt>
                <c:pt idx="645" formatCode="#,##0">
                  <c:v>4718</c:v>
                </c:pt>
                <c:pt idx="646" formatCode="#,##0">
                  <c:v>12046</c:v>
                </c:pt>
                <c:pt idx="647" formatCode="#,##0">
                  <c:v>6685</c:v>
                </c:pt>
                <c:pt idx="648" formatCode="#,##0">
                  <c:v>12066</c:v>
                </c:pt>
                <c:pt idx="649" formatCode="#,##0">
                  <c:v>39412</c:v>
                </c:pt>
                <c:pt idx="650" formatCode="#,##0">
                  <c:v>68021</c:v>
                </c:pt>
                <c:pt idx="651" formatCode="#,##0">
                  <c:v>88085</c:v>
                </c:pt>
                <c:pt idx="652" formatCode="#,##0">
                  <c:v>49040</c:v>
                </c:pt>
                <c:pt idx="653" formatCode="#,##0">
                  <c:v>37311</c:v>
                </c:pt>
                <c:pt idx="654" formatCode="#,##0">
                  <c:v>38236</c:v>
                </c:pt>
                <c:pt idx="655" formatCode="#,##0">
                  <c:v>15766</c:v>
                </c:pt>
                <c:pt idx="656" formatCode="#,##0">
                  <c:v>9791</c:v>
                </c:pt>
                <c:pt idx="657" formatCode="#,##0">
                  <c:v>24900</c:v>
                </c:pt>
                <c:pt idx="658" formatCode="#,##0">
                  <c:v>3841</c:v>
                </c:pt>
                <c:pt idx="659" formatCode="#,##0">
                  <c:v>52980</c:v>
                </c:pt>
                <c:pt idx="660" formatCode="#,##0">
                  <c:v>23209</c:v>
                </c:pt>
                <c:pt idx="661" formatCode="#,##0">
                  <c:v>14601</c:v>
                </c:pt>
                <c:pt idx="662" formatCode="#,##0">
                  <c:v>9474</c:v>
                </c:pt>
                <c:pt idx="663" formatCode="#,##0">
                  <c:v>44911</c:v>
                </c:pt>
                <c:pt idx="664" formatCode="#,##0">
                  <c:v>6246</c:v>
                </c:pt>
                <c:pt idx="665" formatCode="#,##0">
                  <c:v>41640</c:v>
                </c:pt>
                <c:pt idx="666" formatCode="#,##0">
                  <c:v>165553</c:v>
                </c:pt>
                <c:pt idx="667" formatCode="#,##0">
                  <c:v>38049</c:v>
                </c:pt>
                <c:pt idx="668" formatCode="#,##0">
                  <c:v>48445</c:v>
                </c:pt>
                <c:pt idx="669" formatCode="#,##0">
                  <c:v>18853</c:v>
                </c:pt>
                <c:pt idx="670" formatCode="#,##0">
                  <c:v>23608</c:v>
                </c:pt>
                <c:pt idx="671" formatCode="#,##0">
                  <c:v>6772</c:v>
                </c:pt>
                <c:pt idx="672" formatCode="#,##0">
                  <c:v>10335</c:v>
                </c:pt>
                <c:pt idx="673" formatCode="#,##0">
                  <c:v>37849</c:v>
                </c:pt>
                <c:pt idx="674" formatCode="#,##0">
                  <c:v>38004</c:v>
                </c:pt>
                <c:pt idx="675" formatCode="#,##0">
                  <c:v>47725</c:v>
                </c:pt>
                <c:pt idx="676" formatCode="#,##0">
                  <c:v>43488</c:v>
                </c:pt>
                <c:pt idx="677" formatCode="#,##0">
                  <c:v>58834</c:v>
                </c:pt>
                <c:pt idx="678" formatCode="#,##0">
                  <c:v>32692</c:v>
                </c:pt>
                <c:pt idx="679" formatCode="#,##0">
                  <c:v>41822</c:v>
                </c:pt>
                <c:pt idx="680" formatCode="#,##0">
                  <c:v>52995</c:v>
                </c:pt>
                <c:pt idx="681" formatCode="#,##0">
                  <c:v>27816</c:v>
                </c:pt>
                <c:pt idx="682" formatCode="#,##0">
                  <c:v>63143</c:v>
                </c:pt>
                <c:pt idx="683" formatCode="#,##0">
                  <c:v>75780</c:v>
                </c:pt>
                <c:pt idx="684" formatCode="#,##0">
                  <c:v>78314</c:v>
                </c:pt>
                <c:pt idx="685" formatCode="#,##0">
                  <c:v>38040</c:v>
                </c:pt>
                <c:pt idx="686" formatCode="#,##0">
                  <c:v>66254</c:v>
                </c:pt>
                <c:pt idx="687" formatCode="#,##0">
                  <c:v>132920</c:v>
                </c:pt>
                <c:pt idx="688" formatCode="#,##0">
                  <c:v>39776</c:v>
                </c:pt>
                <c:pt idx="689" formatCode="#,##0">
                  <c:v>58750</c:v>
                </c:pt>
                <c:pt idx="690" formatCode="#,##0">
                  <c:v>67902</c:v>
                </c:pt>
                <c:pt idx="691" formatCode="#,##0">
                  <c:v>34928</c:v>
                </c:pt>
                <c:pt idx="692" formatCode="#,##0">
                  <c:v>162821</c:v>
                </c:pt>
                <c:pt idx="693" formatCode="#,##0">
                  <c:v>52389</c:v>
                </c:pt>
                <c:pt idx="694" formatCode="#,##0">
                  <c:v>44328</c:v>
                </c:pt>
                <c:pt idx="695" formatCode="#,##0">
                  <c:v>90455</c:v>
                </c:pt>
                <c:pt idx="696" formatCode="#,##0">
                  <c:v>17937</c:v>
                </c:pt>
                <c:pt idx="697" formatCode="#,##0">
                  <c:v>106094</c:v>
                </c:pt>
                <c:pt idx="698" formatCode="#,##0">
                  <c:v>26685</c:v>
                </c:pt>
                <c:pt idx="699" formatCode="#,##0">
                  <c:v>98130</c:v>
                </c:pt>
                <c:pt idx="700" formatCode="#,##0">
                  <c:v>35335</c:v>
                </c:pt>
                <c:pt idx="701" formatCode="#,##0">
                  <c:v>115614</c:v>
                </c:pt>
                <c:pt idx="702" formatCode="#,##0">
                  <c:v>139587</c:v>
                </c:pt>
                <c:pt idx="703" formatCode="#,##0">
                  <c:v>174146</c:v>
                </c:pt>
                <c:pt idx="704" formatCode="#,##0">
                  <c:v>62874</c:v>
                </c:pt>
                <c:pt idx="705" formatCode="#,##0">
                  <c:v>313698</c:v>
                </c:pt>
                <c:pt idx="706" formatCode="#,##0">
                  <c:v>230015</c:v>
                </c:pt>
                <c:pt idx="707" formatCode="#,##0">
                  <c:v>95908</c:v>
                </c:pt>
                <c:pt idx="708" formatCode="#,##0">
                  <c:v>241218</c:v>
                </c:pt>
                <c:pt idx="709" formatCode="#,##0">
                  <c:v>89340</c:v>
                </c:pt>
                <c:pt idx="710" formatCode="#,##0">
                  <c:v>155039</c:v>
                </c:pt>
                <c:pt idx="711" formatCode="#,##0">
                  <c:v>323997</c:v>
                </c:pt>
                <c:pt idx="712" formatCode="#,##0">
                  <c:v>613533</c:v>
                </c:pt>
                <c:pt idx="713" formatCode="#,##0">
                  <c:v>345559</c:v>
                </c:pt>
                <c:pt idx="714" formatCode="#,##0">
                  <c:v>150864</c:v>
                </c:pt>
                <c:pt idx="715" formatCode="#,##0">
                  <c:v>66422</c:v>
                </c:pt>
                <c:pt idx="716" formatCode="#,##0">
                  <c:v>94907</c:v>
                </c:pt>
                <c:pt idx="717" formatCode="#,##0">
                  <c:v>19961</c:v>
                </c:pt>
                <c:pt idx="718" formatCode="#,##0">
                  <c:v>48760</c:v>
                </c:pt>
                <c:pt idx="719" formatCode="#,##0">
                  <c:v>88582</c:v>
                </c:pt>
                <c:pt idx="720" formatCode="#,##0">
                  <c:v>100144</c:v>
                </c:pt>
                <c:pt idx="721" formatCode="#,##0">
                  <c:v>122193</c:v>
                </c:pt>
                <c:pt idx="722" formatCode="#,##0">
                  <c:v>307193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65-4F94-B7C2-3EFD208B3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3799215"/>
        <c:axId val="338123519"/>
      </c:barChart>
      <c:lineChart>
        <c:grouping val="standard"/>
        <c:varyColors val="0"/>
        <c:ser>
          <c:idx val="3"/>
          <c:order val="3"/>
          <c:tx>
            <c:strRef>
              <c:f>'Price volume'!$S$2</c:f>
              <c:strCache>
                <c:ptCount val="1"/>
                <c:pt idx="0">
                  <c:v>Price (LKR) (LHS)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'Price volume'!$O$3:$O$725</c:f>
              <c:numCache>
                <c:formatCode>m/d/yyyy</c:formatCode>
                <c:ptCount val="723"/>
                <c:pt idx="0">
                  <c:v>45307</c:v>
                </c:pt>
                <c:pt idx="1">
                  <c:v>45302</c:v>
                </c:pt>
                <c:pt idx="2">
                  <c:v>45301</c:v>
                </c:pt>
                <c:pt idx="3">
                  <c:v>45300</c:v>
                </c:pt>
                <c:pt idx="4">
                  <c:v>45299</c:v>
                </c:pt>
                <c:pt idx="5">
                  <c:v>45296</c:v>
                </c:pt>
                <c:pt idx="6">
                  <c:v>45295</c:v>
                </c:pt>
                <c:pt idx="7">
                  <c:v>45294</c:v>
                </c:pt>
                <c:pt idx="8">
                  <c:v>45293</c:v>
                </c:pt>
                <c:pt idx="9">
                  <c:v>45289</c:v>
                </c:pt>
                <c:pt idx="10">
                  <c:v>45288</c:v>
                </c:pt>
                <c:pt idx="11">
                  <c:v>45287</c:v>
                </c:pt>
                <c:pt idx="12">
                  <c:v>45282</c:v>
                </c:pt>
                <c:pt idx="13">
                  <c:v>45281</c:v>
                </c:pt>
                <c:pt idx="14">
                  <c:v>45280</c:v>
                </c:pt>
                <c:pt idx="15">
                  <c:v>45279</c:v>
                </c:pt>
                <c:pt idx="16">
                  <c:v>45278</c:v>
                </c:pt>
                <c:pt idx="17">
                  <c:v>45275</c:v>
                </c:pt>
                <c:pt idx="18">
                  <c:v>45274</c:v>
                </c:pt>
                <c:pt idx="19">
                  <c:v>45274</c:v>
                </c:pt>
                <c:pt idx="20">
                  <c:v>45273</c:v>
                </c:pt>
                <c:pt idx="21">
                  <c:v>45272</c:v>
                </c:pt>
                <c:pt idx="22">
                  <c:v>45271</c:v>
                </c:pt>
                <c:pt idx="23">
                  <c:v>45268</c:v>
                </c:pt>
                <c:pt idx="24">
                  <c:v>45267</c:v>
                </c:pt>
                <c:pt idx="25">
                  <c:v>45266</c:v>
                </c:pt>
                <c:pt idx="26">
                  <c:v>45265</c:v>
                </c:pt>
                <c:pt idx="27">
                  <c:v>45264</c:v>
                </c:pt>
                <c:pt idx="28">
                  <c:v>45261</c:v>
                </c:pt>
                <c:pt idx="29">
                  <c:v>45260</c:v>
                </c:pt>
                <c:pt idx="30">
                  <c:v>45259</c:v>
                </c:pt>
                <c:pt idx="31">
                  <c:v>45258</c:v>
                </c:pt>
                <c:pt idx="32">
                  <c:v>45257</c:v>
                </c:pt>
                <c:pt idx="33">
                  <c:v>45254</c:v>
                </c:pt>
                <c:pt idx="34">
                  <c:v>45253</c:v>
                </c:pt>
                <c:pt idx="35">
                  <c:v>45252</c:v>
                </c:pt>
                <c:pt idx="36">
                  <c:v>45251</c:v>
                </c:pt>
                <c:pt idx="37">
                  <c:v>45250</c:v>
                </c:pt>
                <c:pt idx="38">
                  <c:v>45247</c:v>
                </c:pt>
                <c:pt idx="39">
                  <c:v>45246</c:v>
                </c:pt>
                <c:pt idx="40">
                  <c:v>45245</c:v>
                </c:pt>
                <c:pt idx="41">
                  <c:v>45244</c:v>
                </c:pt>
                <c:pt idx="42">
                  <c:v>45243</c:v>
                </c:pt>
                <c:pt idx="43">
                  <c:v>45240</c:v>
                </c:pt>
                <c:pt idx="44">
                  <c:v>45239</c:v>
                </c:pt>
                <c:pt idx="45">
                  <c:v>45238</c:v>
                </c:pt>
                <c:pt idx="46">
                  <c:v>45237</c:v>
                </c:pt>
                <c:pt idx="47">
                  <c:v>45236</c:v>
                </c:pt>
                <c:pt idx="48">
                  <c:v>45233</c:v>
                </c:pt>
                <c:pt idx="49">
                  <c:v>45232</c:v>
                </c:pt>
                <c:pt idx="50">
                  <c:v>45231</c:v>
                </c:pt>
                <c:pt idx="51">
                  <c:v>45230</c:v>
                </c:pt>
                <c:pt idx="52">
                  <c:v>45229</c:v>
                </c:pt>
                <c:pt idx="53">
                  <c:v>45226</c:v>
                </c:pt>
                <c:pt idx="54">
                  <c:v>45225</c:v>
                </c:pt>
                <c:pt idx="55">
                  <c:v>45224</c:v>
                </c:pt>
                <c:pt idx="56">
                  <c:v>45223</c:v>
                </c:pt>
                <c:pt idx="57">
                  <c:v>45222</c:v>
                </c:pt>
                <c:pt idx="58">
                  <c:v>45219</c:v>
                </c:pt>
                <c:pt idx="59">
                  <c:v>45218</c:v>
                </c:pt>
                <c:pt idx="60">
                  <c:v>45217</c:v>
                </c:pt>
                <c:pt idx="61">
                  <c:v>45216</c:v>
                </c:pt>
                <c:pt idx="62">
                  <c:v>45215</c:v>
                </c:pt>
                <c:pt idx="63">
                  <c:v>45212</c:v>
                </c:pt>
                <c:pt idx="64">
                  <c:v>45211</c:v>
                </c:pt>
                <c:pt idx="65">
                  <c:v>45210</c:v>
                </c:pt>
                <c:pt idx="66">
                  <c:v>45209</c:v>
                </c:pt>
                <c:pt idx="67">
                  <c:v>45208</c:v>
                </c:pt>
                <c:pt idx="68">
                  <c:v>45205</c:v>
                </c:pt>
                <c:pt idx="69">
                  <c:v>45204</c:v>
                </c:pt>
                <c:pt idx="70">
                  <c:v>45203</c:v>
                </c:pt>
                <c:pt idx="71">
                  <c:v>45202</c:v>
                </c:pt>
                <c:pt idx="72">
                  <c:v>45201</c:v>
                </c:pt>
                <c:pt idx="73">
                  <c:v>45196</c:v>
                </c:pt>
                <c:pt idx="74">
                  <c:v>45195</c:v>
                </c:pt>
                <c:pt idx="75">
                  <c:v>45194</c:v>
                </c:pt>
                <c:pt idx="76">
                  <c:v>45191</c:v>
                </c:pt>
                <c:pt idx="77">
                  <c:v>45190</c:v>
                </c:pt>
                <c:pt idx="78">
                  <c:v>45189</c:v>
                </c:pt>
                <c:pt idx="79">
                  <c:v>45188</c:v>
                </c:pt>
                <c:pt idx="80">
                  <c:v>45187</c:v>
                </c:pt>
                <c:pt idx="81">
                  <c:v>45184</c:v>
                </c:pt>
                <c:pt idx="82">
                  <c:v>45183</c:v>
                </c:pt>
                <c:pt idx="83">
                  <c:v>45182</c:v>
                </c:pt>
                <c:pt idx="84">
                  <c:v>45181</c:v>
                </c:pt>
                <c:pt idx="85">
                  <c:v>45180</c:v>
                </c:pt>
                <c:pt idx="86">
                  <c:v>45177</c:v>
                </c:pt>
                <c:pt idx="87">
                  <c:v>45176</c:v>
                </c:pt>
                <c:pt idx="88">
                  <c:v>45175</c:v>
                </c:pt>
                <c:pt idx="89">
                  <c:v>45174</c:v>
                </c:pt>
                <c:pt idx="90">
                  <c:v>45173</c:v>
                </c:pt>
                <c:pt idx="91">
                  <c:v>45170</c:v>
                </c:pt>
                <c:pt idx="92">
                  <c:v>45169</c:v>
                </c:pt>
                <c:pt idx="93">
                  <c:v>45167</c:v>
                </c:pt>
                <c:pt idx="94">
                  <c:v>45166</c:v>
                </c:pt>
                <c:pt idx="95">
                  <c:v>45163</c:v>
                </c:pt>
                <c:pt idx="96">
                  <c:v>45162</c:v>
                </c:pt>
                <c:pt idx="97">
                  <c:v>45161</c:v>
                </c:pt>
                <c:pt idx="98">
                  <c:v>45160</c:v>
                </c:pt>
                <c:pt idx="99">
                  <c:v>45159</c:v>
                </c:pt>
                <c:pt idx="100">
                  <c:v>45156</c:v>
                </c:pt>
                <c:pt idx="101">
                  <c:v>45155</c:v>
                </c:pt>
                <c:pt idx="102">
                  <c:v>45154</c:v>
                </c:pt>
                <c:pt idx="103">
                  <c:v>45153</c:v>
                </c:pt>
                <c:pt idx="104">
                  <c:v>45152</c:v>
                </c:pt>
                <c:pt idx="105">
                  <c:v>45149</c:v>
                </c:pt>
                <c:pt idx="106">
                  <c:v>45148</c:v>
                </c:pt>
                <c:pt idx="107">
                  <c:v>45147</c:v>
                </c:pt>
                <c:pt idx="108">
                  <c:v>45146</c:v>
                </c:pt>
                <c:pt idx="109">
                  <c:v>45145</c:v>
                </c:pt>
                <c:pt idx="110">
                  <c:v>45142</c:v>
                </c:pt>
                <c:pt idx="111">
                  <c:v>45141</c:v>
                </c:pt>
                <c:pt idx="112">
                  <c:v>45140</c:v>
                </c:pt>
                <c:pt idx="113">
                  <c:v>45138</c:v>
                </c:pt>
                <c:pt idx="114">
                  <c:v>45135</c:v>
                </c:pt>
                <c:pt idx="115">
                  <c:v>45134</c:v>
                </c:pt>
                <c:pt idx="116">
                  <c:v>45133</c:v>
                </c:pt>
                <c:pt idx="117">
                  <c:v>45132</c:v>
                </c:pt>
                <c:pt idx="118">
                  <c:v>45131</c:v>
                </c:pt>
                <c:pt idx="119">
                  <c:v>45128</c:v>
                </c:pt>
                <c:pt idx="120">
                  <c:v>45127</c:v>
                </c:pt>
                <c:pt idx="121">
                  <c:v>45126</c:v>
                </c:pt>
                <c:pt idx="122">
                  <c:v>45125</c:v>
                </c:pt>
                <c:pt idx="123">
                  <c:v>45124</c:v>
                </c:pt>
                <c:pt idx="124">
                  <c:v>45121</c:v>
                </c:pt>
                <c:pt idx="125">
                  <c:v>45120</c:v>
                </c:pt>
                <c:pt idx="126">
                  <c:v>45119</c:v>
                </c:pt>
                <c:pt idx="127">
                  <c:v>45118</c:v>
                </c:pt>
                <c:pt idx="128">
                  <c:v>45117</c:v>
                </c:pt>
                <c:pt idx="129">
                  <c:v>45114</c:v>
                </c:pt>
                <c:pt idx="130">
                  <c:v>45113</c:v>
                </c:pt>
                <c:pt idx="131">
                  <c:v>45112</c:v>
                </c:pt>
                <c:pt idx="132">
                  <c:v>45111</c:v>
                </c:pt>
                <c:pt idx="133">
                  <c:v>45105</c:v>
                </c:pt>
                <c:pt idx="134">
                  <c:v>45104</c:v>
                </c:pt>
                <c:pt idx="135">
                  <c:v>45103</c:v>
                </c:pt>
                <c:pt idx="136">
                  <c:v>45100</c:v>
                </c:pt>
                <c:pt idx="137">
                  <c:v>45099</c:v>
                </c:pt>
                <c:pt idx="138">
                  <c:v>45098</c:v>
                </c:pt>
                <c:pt idx="139">
                  <c:v>45097</c:v>
                </c:pt>
                <c:pt idx="140">
                  <c:v>45096</c:v>
                </c:pt>
                <c:pt idx="141">
                  <c:v>45093</c:v>
                </c:pt>
                <c:pt idx="142">
                  <c:v>45092</c:v>
                </c:pt>
                <c:pt idx="143">
                  <c:v>45091</c:v>
                </c:pt>
                <c:pt idx="144">
                  <c:v>45090</c:v>
                </c:pt>
                <c:pt idx="145">
                  <c:v>45089</c:v>
                </c:pt>
                <c:pt idx="146">
                  <c:v>45086</c:v>
                </c:pt>
                <c:pt idx="147">
                  <c:v>45085</c:v>
                </c:pt>
                <c:pt idx="148">
                  <c:v>45084</c:v>
                </c:pt>
                <c:pt idx="149">
                  <c:v>45083</c:v>
                </c:pt>
                <c:pt idx="150">
                  <c:v>45082</c:v>
                </c:pt>
                <c:pt idx="151">
                  <c:v>45079</c:v>
                </c:pt>
                <c:pt idx="152">
                  <c:v>45078</c:v>
                </c:pt>
                <c:pt idx="153">
                  <c:v>45077</c:v>
                </c:pt>
                <c:pt idx="154">
                  <c:v>45076</c:v>
                </c:pt>
                <c:pt idx="155">
                  <c:v>45075</c:v>
                </c:pt>
                <c:pt idx="156">
                  <c:v>45072</c:v>
                </c:pt>
                <c:pt idx="157">
                  <c:v>45071</c:v>
                </c:pt>
                <c:pt idx="158">
                  <c:v>45070</c:v>
                </c:pt>
                <c:pt idx="159">
                  <c:v>45069</c:v>
                </c:pt>
                <c:pt idx="160">
                  <c:v>45068</c:v>
                </c:pt>
                <c:pt idx="161">
                  <c:v>45065</c:v>
                </c:pt>
                <c:pt idx="162">
                  <c:v>45064</c:v>
                </c:pt>
                <c:pt idx="163">
                  <c:v>45063</c:v>
                </c:pt>
                <c:pt idx="164">
                  <c:v>45062</c:v>
                </c:pt>
                <c:pt idx="165">
                  <c:v>45061</c:v>
                </c:pt>
                <c:pt idx="166">
                  <c:v>45058</c:v>
                </c:pt>
                <c:pt idx="167">
                  <c:v>45057</c:v>
                </c:pt>
                <c:pt idx="168">
                  <c:v>45056</c:v>
                </c:pt>
                <c:pt idx="169">
                  <c:v>45055</c:v>
                </c:pt>
                <c:pt idx="170">
                  <c:v>45054</c:v>
                </c:pt>
                <c:pt idx="171">
                  <c:v>45050</c:v>
                </c:pt>
                <c:pt idx="172">
                  <c:v>45049</c:v>
                </c:pt>
                <c:pt idx="173">
                  <c:v>45048</c:v>
                </c:pt>
                <c:pt idx="174">
                  <c:v>45044</c:v>
                </c:pt>
                <c:pt idx="175">
                  <c:v>45043</c:v>
                </c:pt>
                <c:pt idx="176">
                  <c:v>45042</c:v>
                </c:pt>
                <c:pt idx="177">
                  <c:v>45041</c:v>
                </c:pt>
                <c:pt idx="178">
                  <c:v>45040</c:v>
                </c:pt>
                <c:pt idx="179">
                  <c:v>45037</c:v>
                </c:pt>
                <c:pt idx="180">
                  <c:v>45036</c:v>
                </c:pt>
                <c:pt idx="181">
                  <c:v>45035</c:v>
                </c:pt>
                <c:pt idx="182">
                  <c:v>45034</c:v>
                </c:pt>
                <c:pt idx="183">
                  <c:v>45033</c:v>
                </c:pt>
                <c:pt idx="184">
                  <c:v>45028</c:v>
                </c:pt>
                <c:pt idx="185">
                  <c:v>45027</c:v>
                </c:pt>
                <c:pt idx="186">
                  <c:v>45026</c:v>
                </c:pt>
                <c:pt idx="187">
                  <c:v>45022</c:v>
                </c:pt>
                <c:pt idx="188">
                  <c:v>45020</c:v>
                </c:pt>
                <c:pt idx="189">
                  <c:v>45019</c:v>
                </c:pt>
                <c:pt idx="190">
                  <c:v>45016</c:v>
                </c:pt>
                <c:pt idx="191">
                  <c:v>45015</c:v>
                </c:pt>
                <c:pt idx="192">
                  <c:v>45014</c:v>
                </c:pt>
                <c:pt idx="193">
                  <c:v>45013</c:v>
                </c:pt>
                <c:pt idx="194">
                  <c:v>45012</c:v>
                </c:pt>
                <c:pt idx="195">
                  <c:v>45009</c:v>
                </c:pt>
                <c:pt idx="196">
                  <c:v>45008</c:v>
                </c:pt>
                <c:pt idx="197">
                  <c:v>45007</c:v>
                </c:pt>
                <c:pt idx="198">
                  <c:v>45006</c:v>
                </c:pt>
                <c:pt idx="199">
                  <c:v>45005</c:v>
                </c:pt>
                <c:pt idx="200">
                  <c:v>45002</c:v>
                </c:pt>
                <c:pt idx="201">
                  <c:v>45001</c:v>
                </c:pt>
                <c:pt idx="202">
                  <c:v>45000</c:v>
                </c:pt>
                <c:pt idx="203">
                  <c:v>44999</c:v>
                </c:pt>
                <c:pt idx="204">
                  <c:v>44998</c:v>
                </c:pt>
                <c:pt idx="205">
                  <c:v>44995</c:v>
                </c:pt>
                <c:pt idx="206">
                  <c:v>44994</c:v>
                </c:pt>
                <c:pt idx="207">
                  <c:v>44993</c:v>
                </c:pt>
                <c:pt idx="208">
                  <c:v>44992</c:v>
                </c:pt>
                <c:pt idx="209">
                  <c:v>44988</c:v>
                </c:pt>
                <c:pt idx="210">
                  <c:v>44987</c:v>
                </c:pt>
                <c:pt idx="211">
                  <c:v>44986</c:v>
                </c:pt>
                <c:pt idx="212">
                  <c:v>44985</c:v>
                </c:pt>
                <c:pt idx="213">
                  <c:v>44984</c:v>
                </c:pt>
                <c:pt idx="214">
                  <c:v>44981</c:v>
                </c:pt>
                <c:pt idx="215">
                  <c:v>44980</c:v>
                </c:pt>
                <c:pt idx="216">
                  <c:v>44979</c:v>
                </c:pt>
                <c:pt idx="217">
                  <c:v>44978</c:v>
                </c:pt>
                <c:pt idx="218">
                  <c:v>44977</c:v>
                </c:pt>
                <c:pt idx="219">
                  <c:v>44974</c:v>
                </c:pt>
                <c:pt idx="220">
                  <c:v>44973</c:v>
                </c:pt>
                <c:pt idx="221">
                  <c:v>44972</c:v>
                </c:pt>
                <c:pt idx="222">
                  <c:v>44971</c:v>
                </c:pt>
                <c:pt idx="223">
                  <c:v>44970</c:v>
                </c:pt>
                <c:pt idx="224">
                  <c:v>44967</c:v>
                </c:pt>
                <c:pt idx="225">
                  <c:v>44966</c:v>
                </c:pt>
                <c:pt idx="226">
                  <c:v>44965</c:v>
                </c:pt>
                <c:pt idx="227">
                  <c:v>44964</c:v>
                </c:pt>
                <c:pt idx="228">
                  <c:v>44963</c:v>
                </c:pt>
                <c:pt idx="229">
                  <c:v>44960</c:v>
                </c:pt>
                <c:pt idx="230">
                  <c:v>44959</c:v>
                </c:pt>
                <c:pt idx="231">
                  <c:v>44958</c:v>
                </c:pt>
                <c:pt idx="232">
                  <c:v>44957</c:v>
                </c:pt>
                <c:pt idx="233">
                  <c:v>44956</c:v>
                </c:pt>
                <c:pt idx="234">
                  <c:v>44953</c:v>
                </c:pt>
                <c:pt idx="235">
                  <c:v>44952</c:v>
                </c:pt>
                <c:pt idx="236">
                  <c:v>44951</c:v>
                </c:pt>
                <c:pt idx="237">
                  <c:v>44950</c:v>
                </c:pt>
                <c:pt idx="238">
                  <c:v>44949</c:v>
                </c:pt>
                <c:pt idx="239">
                  <c:v>44946</c:v>
                </c:pt>
                <c:pt idx="240">
                  <c:v>44945</c:v>
                </c:pt>
                <c:pt idx="241">
                  <c:v>44944</c:v>
                </c:pt>
                <c:pt idx="242">
                  <c:v>44943</c:v>
                </c:pt>
                <c:pt idx="243">
                  <c:v>44939</c:v>
                </c:pt>
                <c:pt idx="244">
                  <c:v>44938</c:v>
                </c:pt>
                <c:pt idx="245">
                  <c:v>44937</c:v>
                </c:pt>
                <c:pt idx="246">
                  <c:v>44936</c:v>
                </c:pt>
                <c:pt idx="247">
                  <c:v>44935</c:v>
                </c:pt>
                <c:pt idx="248">
                  <c:v>44931</c:v>
                </c:pt>
                <c:pt idx="249">
                  <c:v>44930</c:v>
                </c:pt>
                <c:pt idx="250">
                  <c:v>44929</c:v>
                </c:pt>
                <c:pt idx="251">
                  <c:v>44928</c:v>
                </c:pt>
                <c:pt idx="252">
                  <c:v>44925</c:v>
                </c:pt>
                <c:pt idx="253">
                  <c:v>44924</c:v>
                </c:pt>
                <c:pt idx="254">
                  <c:v>44923</c:v>
                </c:pt>
                <c:pt idx="255">
                  <c:v>44922</c:v>
                </c:pt>
                <c:pt idx="256">
                  <c:v>44918</c:v>
                </c:pt>
                <c:pt idx="257">
                  <c:v>44917</c:v>
                </c:pt>
                <c:pt idx="258">
                  <c:v>44916</c:v>
                </c:pt>
                <c:pt idx="259">
                  <c:v>44915</c:v>
                </c:pt>
                <c:pt idx="260">
                  <c:v>44914</c:v>
                </c:pt>
                <c:pt idx="261">
                  <c:v>44911</c:v>
                </c:pt>
                <c:pt idx="262">
                  <c:v>44910</c:v>
                </c:pt>
                <c:pt idx="263">
                  <c:v>44909</c:v>
                </c:pt>
                <c:pt idx="264">
                  <c:v>44908</c:v>
                </c:pt>
                <c:pt idx="265">
                  <c:v>44907</c:v>
                </c:pt>
                <c:pt idx="266">
                  <c:v>44904</c:v>
                </c:pt>
                <c:pt idx="267">
                  <c:v>44903</c:v>
                </c:pt>
                <c:pt idx="268">
                  <c:v>44901</c:v>
                </c:pt>
                <c:pt idx="269">
                  <c:v>44900</c:v>
                </c:pt>
                <c:pt idx="270">
                  <c:v>44897</c:v>
                </c:pt>
                <c:pt idx="271">
                  <c:v>44896</c:v>
                </c:pt>
                <c:pt idx="272">
                  <c:v>44895</c:v>
                </c:pt>
                <c:pt idx="273">
                  <c:v>44894</c:v>
                </c:pt>
                <c:pt idx="274">
                  <c:v>44893</c:v>
                </c:pt>
                <c:pt idx="275">
                  <c:v>44890</c:v>
                </c:pt>
                <c:pt idx="276">
                  <c:v>44889</c:v>
                </c:pt>
                <c:pt idx="277">
                  <c:v>44888</c:v>
                </c:pt>
                <c:pt idx="278">
                  <c:v>44887</c:v>
                </c:pt>
                <c:pt idx="279">
                  <c:v>44886</c:v>
                </c:pt>
                <c:pt idx="280">
                  <c:v>44883</c:v>
                </c:pt>
                <c:pt idx="281">
                  <c:v>44882</c:v>
                </c:pt>
                <c:pt idx="282">
                  <c:v>44881</c:v>
                </c:pt>
                <c:pt idx="283">
                  <c:v>44880</c:v>
                </c:pt>
                <c:pt idx="284">
                  <c:v>44879</c:v>
                </c:pt>
                <c:pt idx="285">
                  <c:v>44876</c:v>
                </c:pt>
                <c:pt idx="286">
                  <c:v>44875</c:v>
                </c:pt>
                <c:pt idx="287">
                  <c:v>44874</c:v>
                </c:pt>
                <c:pt idx="288">
                  <c:v>44873</c:v>
                </c:pt>
                <c:pt idx="289">
                  <c:v>44869</c:v>
                </c:pt>
                <c:pt idx="290">
                  <c:v>44868</c:v>
                </c:pt>
                <c:pt idx="291">
                  <c:v>44867</c:v>
                </c:pt>
                <c:pt idx="292">
                  <c:v>44866</c:v>
                </c:pt>
                <c:pt idx="293">
                  <c:v>44865</c:v>
                </c:pt>
                <c:pt idx="294">
                  <c:v>44862</c:v>
                </c:pt>
                <c:pt idx="295">
                  <c:v>44861</c:v>
                </c:pt>
                <c:pt idx="296">
                  <c:v>44860</c:v>
                </c:pt>
                <c:pt idx="297">
                  <c:v>44859</c:v>
                </c:pt>
                <c:pt idx="298">
                  <c:v>44855</c:v>
                </c:pt>
                <c:pt idx="299">
                  <c:v>44854</c:v>
                </c:pt>
                <c:pt idx="300">
                  <c:v>44853</c:v>
                </c:pt>
                <c:pt idx="301">
                  <c:v>44852</c:v>
                </c:pt>
                <c:pt idx="302">
                  <c:v>44851</c:v>
                </c:pt>
                <c:pt idx="303">
                  <c:v>44848</c:v>
                </c:pt>
                <c:pt idx="304">
                  <c:v>44847</c:v>
                </c:pt>
                <c:pt idx="305">
                  <c:v>44846</c:v>
                </c:pt>
                <c:pt idx="306">
                  <c:v>44845</c:v>
                </c:pt>
                <c:pt idx="307">
                  <c:v>44841</c:v>
                </c:pt>
                <c:pt idx="308">
                  <c:v>44840</c:v>
                </c:pt>
                <c:pt idx="309">
                  <c:v>44839</c:v>
                </c:pt>
                <c:pt idx="310">
                  <c:v>44838</c:v>
                </c:pt>
                <c:pt idx="311">
                  <c:v>44837</c:v>
                </c:pt>
                <c:pt idx="312">
                  <c:v>44834</c:v>
                </c:pt>
                <c:pt idx="313">
                  <c:v>44833</c:v>
                </c:pt>
                <c:pt idx="314">
                  <c:v>44832</c:v>
                </c:pt>
                <c:pt idx="315">
                  <c:v>44831</c:v>
                </c:pt>
                <c:pt idx="316">
                  <c:v>44830</c:v>
                </c:pt>
                <c:pt idx="317">
                  <c:v>44827</c:v>
                </c:pt>
                <c:pt idx="318">
                  <c:v>44826</c:v>
                </c:pt>
                <c:pt idx="319">
                  <c:v>44825</c:v>
                </c:pt>
                <c:pt idx="320">
                  <c:v>44824</c:v>
                </c:pt>
                <c:pt idx="321">
                  <c:v>44823</c:v>
                </c:pt>
                <c:pt idx="322">
                  <c:v>44820</c:v>
                </c:pt>
                <c:pt idx="323">
                  <c:v>44819</c:v>
                </c:pt>
                <c:pt idx="324">
                  <c:v>44818</c:v>
                </c:pt>
                <c:pt idx="325">
                  <c:v>44817</c:v>
                </c:pt>
                <c:pt idx="326">
                  <c:v>44816</c:v>
                </c:pt>
                <c:pt idx="327">
                  <c:v>44813</c:v>
                </c:pt>
                <c:pt idx="328">
                  <c:v>44812</c:v>
                </c:pt>
                <c:pt idx="329">
                  <c:v>44811</c:v>
                </c:pt>
                <c:pt idx="330">
                  <c:v>44810</c:v>
                </c:pt>
                <c:pt idx="331">
                  <c:v>44809</c:v>
                </c:pt>
                <c:pt idx="332">
                  <c:v>44806</c:v>
                </c:pt>
                <c:pt idx="333">
                  <c:v>44805</c:v>
                </c:pt>
                <c:pt idx="334">
                  <c:v>44804</c:v>
                </c:pt>
                <c:pt idx="335">
                  <c:v>44803</c:v>
                </c:pt>
                <c:pt idx="336">
                  <c:v>44802</c:v>
                </c:pt>
                <c:pt idx="337">
                  <c:v>44799</c:v>
                </c:pt>
                <c:pt idx="338">
                  <c:v>44798</c:v>
                </c:pt>
                <c:pt idx="339">
                  <c:v>44797</c:v>
                </c:pt>
                <c:pt idx="340">
                  <c:v>44796</c:v>
                </c:pt>
                <c:pt idx="341">
                  <c:v>44795</c:v>
                </c:pt>
                <c:pt idx="342">
                  <c:v>44792</c:v>
                </c:pt>
                <c:pt idx="343">
                  <c:v>44791</c:v>
                </c:pt>
                <c:pt idx="344">
                  <c:v>44790</c:v>
                </c:pt>
                <c:pt idx="345">
                  <c:v>44789</c:v>
                </c:pt>
                <c:pt idx="346">
                  <c:v>44788</c:v>
                </c:pt>
                <c:pt idx="347">
                  <c:v>44785</c:v>
                </c:pt>
                <c:pt idx="348">
                  <c:v>44783</c:v>
                </c:pt>
                <c:pt idx="349">
                  <c:v>44782</c:v>
                </c:pt>
                <c:pt idx="350">
                  <c:v>44781</c:v>
                </c:pt>
                <c:pt idx="351">
                  <c:v>44778</c:v>
                </c:pt>
                <c:pt idx="352">
                  <c:v>44777</c:v>
                </c:pt>
                <c:pt idx="353">
                  <c:v>44776</c:v>
                </c:pt>
                <c:pt idx="354">
                  <c:v>44775</c:v>
                </c:pt>
                <c:pt idx="355">
                  <c:v>44774</c:v>
                </c:pt>
                <c:pt idx="356">
                  <c:v>44771</c:v>
                </c:pt>
                <c:pt idx="357">
                  <c:v>44770</c:v>
                </c:pt>
                <c:pt idx="358">
                  <c:v>44769</c:v>
                </c:pt>
                <c:pt idx="359">
                  <c:v>44768</c:v>
                </c:pt>
                <c:pt idx="360">
                  <c:v>44767</c:v>
                </c:pt>
                <c:pt idx="361">
                  <c:v>44764</c:v>
                </c:pt>
                <c:pt idx="362">
                  <c:v>44763</c:v>
                </c:pt>
                <c:pt idx="363">
                  <c:v>44762</c:v>
                </c:pt>
                <c:pt idx="364">
                  <c:v>44761</c:v>
                </c:pt>
                <c:pt idx="365">
                  <c:v>44760</c:v>
                </c:pt>
                <c:pt idx="366">
                  <c:v>44757</c:v>
                </c:pt>
                <c:pt idx="367">
                  <c:v>44756</c:v>
                </c:pt>
                <c:pt idx="368">
                  <c:v>44754</c:v>
                </c:pt>
                <c:pt idx="369">
                  <c:v>44753</c:v>
                </c:pt>
                <c:pt idx="370">
                  <c:v>44750</c:v>
                </c:pt>
                <c:pt idx="371">
                  <c:v>44749</c:v>
                </c:pt>
                <c:pt idx="372">
                  <c:v>44748</c:v>
                </c:pt>
                <c:pt idx="373">
                  <c:v>44747</c:v>
                </c:pt>
                <c:pt idx="374">
                  <c:v>44746</c:v>
                </c:pt>
                <c:pt idx="375">
                  <c:v>44743</c:v>
                </c:pt>
                <c:pt idx="376">
                  <c:v>44742</c:v>
                </c:pt>
                <c:pt idx="377">
                  <c:v>44741</c:v>
                </c:pt>
                <c:pt idx="378">
                  <c:v>44740</c:v>
                </c:pt>
                <c:pt idx="379">
                  <c:v>44739</c:v>
                </c:pt>
                <c:pt idx="380">
                  <c:v>44736</c:v>
                </c:pt>
                <c:pt idx="381">
                  <c:v>44735</c:v>
                </c:pt>
                <c:pt idx="382">
                  <c:v>44734</c:v>
                </c:pt>
                <c:pt idx="383">
                  <c:v>44733</c:v>
                </c:pt>
                <c:pt idx="384">
                  <c:v>44732</c:v>
                </c:pt>
                <c:pt idx="385">
                  <c:v>44729</c:v>
                </c:pt>
                <c:pt idx="386">
                  <c:v>44728</c:v>
                </c:pt>
                <c:pt idx="387">
                  <c:v>44727</c:v>
                </c:pt>
                <c:pt idx="388">
                  <c:v>44725</c:v>
                </c:pt>
                <c:pt idx="389">
                  <c:v>44722</c:v>
                </c:pt>
                <c:pt idx="390">
                  <c:v>44721</c:v>
                </c:pt>
                <c:pt idx="391">
                  <c:v>44720</c:v>
                </c:pt>
                <c:pt idx="392">
                  <c:v>44719</c:v>
                </c:pt>
                <c:pt idx="393">
                  <c:v>44718</c:v>
                </c:pt>
                <c:pt idx="394">
                  <c:v>44715</c:v>
                </c:pt>
                <c:pt idx="395">
                  <c:v>44714</c:v>
                </c:pt>
                <c:pt idx="396">
                  <c:v>44713</c:v>
                </c:pt>
                <c:pt idx="397">
                  <c:v>44712</c:v>
                </c:pt>
                <c:pt idx="398">
                  <c:v>44711</c:v>
                </c:pt>
                <c:pt idx="399">
                  <c:v>44708</c:v>
                </c:pt>
                <c:pt idx="400">
                  <c:v>44707</c:v>
                </c:pt>
                <c:pt idx="401">
                  <c:v>44706</c:v>
                </c:pt>
                <c:pt idx="402">
                  <c:v>44705</c:v>
                </c:pt>
                <c:pt idx="403">
                  <c:v>44704</c:v>
                </c:pt>
                <c:pt idx="404">
                  <c:v>44701</c:v>
                </c:pt>
                <c:pt idx="405">
                  <c:v>44700</c:v>
                </c:pt>
                <c:pt idx="406">
                  <c:v>44699</c:v>
                </c:pt>
                <c:pt idx="407">
                  <c:v>44698</c:v>
                </c:pt>
                <c:pt idx="408">
                  <c:v>44694</c:v>
                </c:pt>
                <c:pt idx="409">
                  <c:v>44693</c:v>
                </c:pt>
                <c:pt idx="410">
                  <c:v>44690</c:v>
                </c:pt>
                <c:pt idx="411">
                  <c:v>44687</c:v>
                </c:pt>
                <c:pt idx="412">
                  <c:v>44686</c:v>
                </c:pt>
                <c:pt idx="413">
                  <c:v>44685</c:v>
                </c:pt>
                <c:pt idx="414">
                  <c:v>44680</c:v>
                </c:pt>
                <c:pt idx="415">
                  <c:v>44679</c:v>
                </c:pt>
                <c:pt idx="416">
                  <c:v>44678</c:v>
                </c:pt>
                <c:pt idx="417">
                  <c:v>44677</c:v>
                </c:pt>
                <c:pt idx="418">
                  <c:v>44676</c:v>
                </c:pt>
                <c:pt idx="419">
                  <c:v>44659</c:v>
                </c:pt>
                <c:pt idx="420">
                  <c:v>44658</c:v>
                </c:pt>
                <c:pt idx="421">
                  <c:v>44657</c:v>
                </c:pt>
                <c:pt idx="422">
                  <c:v>44656</c:v>
                </c:pt>
                <c:pt idx="423">
                  <c:v>44655</c:v>
                </c:pt>
                <c:pt idx="424">
                  <c:v>44652</c:v>
                </c:pt>
                <c:pt idx="425">
                  <c:v>44651</c:v>
                </c:pt>
                <c:pt idx="426">
                  <c:v>44650</c:v>
                </c:pt>
                <c:pt idx="427">
                  <c:v>44649</c:v>
                </c:pt>
                <c:pt idx="428">
                  <c:v>44648</c:v>
                </c:pt>
                <c:pt idx="429">
                  <c:v>44645</c:v>
                </c:pt>
                <c:pt idx="430">
                  <c:v>44644</c:v>
                </c:pt>
                <c:pt idx="431">
                  <c:v>44643</c:v>
                </c:pt>
                <c:pt idx="432">
                  <c:v>44642</c:v>
                </c:pt>
                <c:pt idx="433">
                  <c:v>44641</c:v>
                </c:pt>
                <c:pt idx="434">
                  <c:v>44638</c:v>
                </c:pt>
                <c:pt idx="435">
                  <c:v>44636</c:v>
                </c:pt>
                <c:pt idx="436">
                  <c:v>44635</c:v>
                </c:pt>
                <c:pt idx="437">
                  <c:v>44634</c:v>
                </c:pt>
                <c:pt idx="438">
                  <c:v>44631</c:v>
                </c:pt>
                <c:pt idx="439">
                  <c:v>44630</c:v>
                </c:pt>
                <c:pt idx="440">
                  <c:v>44629</c:v>
                </c:pt>
                <c:pt idx="441">
                  <c:v>44628</c:v>
                </c:pt>
                <c:pt idx="442">
                  <c:v>44627</c:v>
                </c:pt>
                <c:pt idx="443">
                  <c:v>44624</c:v>
                </c:pt>
                <c:pt idx="444">
                  <c:v>44623</c:v>
                </c:pt>
                <c:pt idx="445">
                  <c:v>44622</c:v>
                </c:pt>
                <c:pt idx="446">
                  <c:v>44620</c:v>
                </c:pt>
                <c:pt idx="447">
                  <c:v>44617</c:v>
                </c:pt>
                <c:pt idx="448">
                  <c:v>44616</c:v>
                </c:pt>
                <c:pt idx="449">
                  <c:v>44615</c:v>
                </c:pt>
                <c:pt idx="450">
                  <c:v>44614</c:v>
                </c:pt>
                <c:pt idx="451">
                  <c:v>44613</c:v>
                </c:pt>
                <c:pt idx="452">
                  <c:v>44610</c:v>
                </c:pt>
                <c:pt idx="453">
                  <c:v>44609</c:v>
                </c:pt>
                <c:pt idx="454">
                  <c:v>44607</c:v>
                </c:pt>
                <c:pt idx="455">
                  <c:v>44606</c:v>
                </c:pt>
                <c:pt idx="456">
                  <c:v>44603</c:v>
                </c:pt>
                <c:pt idx="457">
                  <c:v>44602</c:v>
                </c:pt>
                <c:pt idx="458">
                  <c:v>44601</c:v>
                </c:pt>
                <c:pt idx="459">
                  <c:v>44600</c:v>
                </c:pt>
                <c:pt idx="460">
                  <c:v>44599</c:v>
                </c:pt>
                <c:pt idx="461">
                  <c:v>44595</c:v>
                </c:pt>
                <c:pt idx="462">
                  <c:v>44594</c:v>
                </c:pt>
                <c:pt idx="463">
                  <c:v>44593</c:v>
                </c:pt>
                <c:pt idx="464">
                  <c:v>44592</c:v>
                </c:pt>
                <c:pt idx="465">
                  <c:v>44589</c:v>
                </c:pt>
                <c:pt idx="466">
                  <c:v>44588</c:v>
                </c:pt>
                <c:pt idx="467">
                  <c:v>44587</c:v>
                </c:pt>
                <c:pt idx="468">
                  <c:v>44586</c:v>
                </c:pt>
                <c:pt idx="469">
                  <c:v>44585</c:v>
                </c:pt>
                <c:pt idx="470">
                  <c:v>44582</c:v>
                </c:pt>
                <c:pt idx="471">
                  <c:v>44581</c:v>
                </c:pt>
                <c:pt idx="472">
                  <c:v>44580</c:v>
                </c:pt>
                <c:pt idx="473">
                  <c:v>44579</c:v>
                </c:pt>
                <c:pt idx="474">
                  <c:v>44574</c:v>
                </c:pt>
                <c:pt idx="475">
                  <c:v>44573</c:v>
                </c:pt>
                <c:pt idx="476">
                  <c:v>44572</c:v>
                </c:pt>
                <c:pt idx="477">
                  <c:v>44571</c:v>
                </c:pt>
                <c:pt idx="478">
                  <c:v>44568</c:v>
                </c:pt>
                <c:pt idx="479">
                  <c:v>44567</c:v>
                </c:pt>
                <c:pt idx="480">
                  <c:v>44566</c:v>
                </c:pt>
                <c:pt idx="481">
                  <c:v>44565</c:v>
                </c:pt>
                <c:pt idx="482">
                  <c:v>44564</c:v>
                </c:pt>
                <c:pt idx="483">
                  <c:v>44561</c:v>
                </c:pt>
                <c:pt idx="484">
                  <c:v>44560</c:v>
                </c:pt>
                <c:pt idx="485">
                  <c:v>44559</c:v>
                </c:pt>
                <c:pt idx="486">
                  <c:v>44558</c:v>
                </c:pt>
                <c:pt idx="487">
                  <c:v>44557</c:v>
                </c:pt>
                <c:pt idx="488">
                  <c:v>44554</c:v>
                </c:pt>
                <c:pt idx="489">
                  <c:v>44553</c:v>
                </c:pt>
                <c:pt idx="490">
                  <c:v>44552</c:v>
                </c:pt>
                <c:pt idx="491">
                  <c:v>44551</c:v>
                </c:pt>
                <c:pt idx="492">
                  <c:v>44550</c:v>
                </c:pt>
                <c:pt idx="493">
                  <c:v>44547</c:v>
                </c:pt>
                <c:pt idx="494">
                  <c:v>44546</c:v>
                </c:pt>
                <c:pt idx="495">
                  <c:v>44545</c:v>
                </c:pt>
                <c:pt idx="496">
                  <c:v>44544</c:v>
                </c:pt>
                <c:pt idx="497">
                  <c:v>44543</c:v>
                </c:pt>
                <c:pt idx="498">
                  <c:v>44540</c:v>
                </c:pt>
                <c:pt idx="499">
                  <c:v>44539</c:v>
                </c:pt>
                <c:pt idx="500">
                  <c:v>44538</c:v>
                </c:pt>
                <c:pt idx="501">
                  <c:v>44537</c:v>
                </c:pt>
                <c:pt idx="502">
                  <c:v>44536</c:v>
                </c:pt>
                <c:pt idx="503">
                  <c:v>44533</c:v>
                </c:pt>
                <c:pt idx="504">
                  <c:v>44532</c:v>
                </c:pt>
                <c:pt idx="505">
                  <c:v>44531</c:v>
                </c:pt>
                <c:pt idx="506">
                  <c:v>44530</c:v>
                </c:pt>
                <c:pt idx="507">
                  <c:v>44529</c:v>
                </c:pt>
                <c:pt idx="508">
                  <c:v>44526</c:v>
                </c:pt>
                <c:pt idx="509">
                  <c:v>44525</c:v>
                </c:pt>
                <c:pt idx="510">
                  <c:v>44524</c:v>
                </c:pt>
                <c:pt idx="511">
                  <c:v>44523</c:v>
                </c:pt>
                <c:pt idx="512">
                  <c:v>44522</c:v>
                </c:pt>
                <c:pt idx="513">
                  <c:v>44519</c:v>
                </c:pt>
                <c:pt idx="514">
                  <c:v>44517</c:v>
                </c:pt>
                <c:pt idx="515">
                  <c:v>44516</c:v>
                </c:pt>
                <c:pt idx="516">
                  <c:v>44515</c:v>
                </c:pt>
                <c:pt idx="517">
                  <c:v>44512</c:v>
                </c:pt>
                <c:pt idx="518">
                  <c:v>44511</c:v>
                </c:pt>
                <c:pt idx="519">
                  <c:v>44510</c:v>
                </c:pt>
                <c:pt idx="520">
                  <c:v>44509</c:v>
                </c:pt>
                <c:pt idx="521">
                  <c:v>44508</c:v>
                </c:pt>
                <c:pt idx="522">
                  <c:v>44505</c:v>
                </c:pt>
                <c:pt idx="523">
                  <c:v>44503</c:v>
                </c:pt>
                <c:pt idx="524">
                  <c:v>44502</c:v>
                </c:pt>
                <c:pt idx="525">
                  <c:v>44501</c:v>
                </c:pt>
                <c:pt idx="526">
                  <c:v>44498</c:v>
                </c:pt>
                <c:pt idx="527">
                  <c:v>44497</c:v>
                </c:pt>
                <c:pt idx="528">
                  <c:v>44496</c:v>
                </c:pt>
                <c:pt idx="529">
                  <c:v>44495</c:v>
                </c:pt>
                <c:pt idx="530">
                  <c:v>44494</c:v>
                </c:pt>
                <c:pt idx="531">
                  <c:v>44491</c:v>
                </c:pt>
                <c:pt idx="532">
                  <c:v>44490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44477</c:v>
                </c:pt>
                <c:pt idx="540">
                  <c:v>44476</c:v>
                </c:pt>
                <c:pt idx="541">
                  <c:v>44475</c:v>
                </c:pt>
                <c:pt idx="542">
                  <c:v>44474</c:v>
                </c:pt>
                <c:pt idx="543">
                  <c:v>44473</c:v>
                </c:pt>
                <c:pt idx="544">
                  <c:v>44470</c:v>
                </c:pt>
                <c:pt idx="545">
                  <c:v>44469</c:v>
                </c:pt>
                <c:pt idx="546">
                  <c:v>44468</c:v>
                </c:pt>
                <c:pt idx="547">
                  <c:v>44467</c:v>
                </c:pt>
                <c:pt idx="548">
                  <c:v>44466</c:v>
                </c:pt>
                <c:pt idx="549">
                  <c:v>44463</c:v>
                </c:pt>
                <c:pt idx="550">
                  <c:v>44462</c:v>
                </c:pt>
                <c:pt idx="551">
                  <c:v>44461</c:v>
                </c:pt>
                <c:pt idx="552">
                  <c:v>44460</c:v>
                </c:pt>
                <c:pt idx="553">
                  <c:v>44456</c:v>
                </c:pt>
                <c:pt idx="554">
                  <c:v>44455</c:v>
                </c:pt>
                <c:pt idx="555">
                  <c:v>44454</c:v>
                </c:pt>
                <c:pt idx="556">
                  <c:v>44453</c:v>
                </c:pt>
                <c:pt idx="557">
                  <c:v>44452</c:v>
                </c:pt>
                <c:pt idx="558">
                  <c:v>44449</c:v>
                </c:pt>
                <c:pt idx="559">
                  <c:v>44448</c:v>
                </c:pt>
                <c:pt idx="560">
                  <c:v>44447</c:v>
                </c:pt>
                <c:pt idx="561">
                  <c:v>44446</c:v>
                </c:pt>
                <c:pt idx="562">
                  <c:v>44445</c:v>
                </c:pt>
                <c:pt idx="563">
                  <c:v>44442</c:v>
                </c:pt>
                <c:pt idx="564">
                  <c:v>44441</c:v>
                </c:pt>
                <c:pt idx="565">
                  <c:v>44440</c:v>
                </c:pt>
                <c:pt idx="566">
                  <c:v>44439</c:v>
                </c:pt>
                <c:pt idx="567">
                  <c:v>44438</c:v>
                </c:pt>
                <c:pt idx="568">
                  <c:v>44435</c:v>
                </c:pt>
                <c:pt idx="569">
                  <c:v>44434</c:v>
                </c:pt>
                <c:pt idx="570">
                  <c:v>44433</c:v>
                </c:pt>
                <c:pt idx="571">
                  <c:v>44432</c:v>
                </c:pt>
                <c:pt idx="572">
                  <c:v>44431</c:v>
                </c:pt>
                <c:pt idx="573">
                  <c:v>44428</c:v>
                </c:pt>
                <c:pt idx="574">
                  <c:v>44427</c:v>
                </c:pt>
                <c:pt idx="575">
                  <c:v>44426</c:v>
                </c:pt>
                <c:pt idx="576">
                  <c:v>44425</c:v>
                </c:pt>
                <c:pt idx="577">
                  <c:v>44424</c:v>
                </c:pt>
                <c:pt idx="578">
                  <c:v>44421</c:v>
                </c:pt>
                <c:pt idx="579">
                  <c:v>44420</c:v>
                </c:pt>
                <c:pt idx="580">
                  <c:v>44419</c:v>
                </c:pt>
                <c:pt idx="581">
                  <c:v>44418</c:v>
                </c:pt>
                <c:pt idx="582">
                  <c:v>44417</c:v>
                </c:pt>
                <c:pt idx="583">
                  <c:v>44414</c:v>
                </c:pt>
                <c:pt idx="584">
                  <c:v>44413</c:v>
                </c:pt>
                <c:pt idx="585">
                  <c:v>44412</c:v>
                </c:pt>
                <c:pt idx="586">
                  <c:v>44411</c:v>
                </c:pt>
                <c:pt idx="587">
                  <c:v>44410</c:v>
                </c:pt>
                <c:pt idx="588">
                  <c:v>44407</c:v>
                </c:pt>
                <c:pt idx="589">
                  <c:v>44406</c:v>
                </c:pt>
                <c:pt idx="590">
                  <c:v>44405</c:v>
                </c:pt>
                <c:pt idx="591">
                  <c:v>44404</c:v>
                </c:pt>
                <c:pt idx="592">
                  <c:v>44403</c:v>
                </c:pt>
                <c:pt idx="593">
                  <c:v>44399</c:v>
                </c:pt>
                <c:pt idx="594">
                  <c:v>44397</c:v>
                </c:pt>
                <c:pt idx="595">
                  <c:v>44396</c:v>
                </c:pt>
                <c:pt idx="596">
                  <c:v>44393</c:v>
                </c:pt>
                <c:pt idx="597">
                  <c:v>44392</c:v>
                </c:pt>
                <c:pt idx="598">
                  <c:v>44391</c:v>
                </c:pt>
                <c:pt idx="599">
                  <c:v>44390</c:v>
                </c:pt>
                <c:pt idx="600">
                  <c:v>44389</c:v>
                </c:pt>
                <c:pt idx="601">
                  <c:v>44386</c:v>
                </c:pt>
                <c:pt idx="602">
                  <c:v>44385</c:v>
                </c:pt>
                <c:pt idx="603">
                  <c:v>44384</c:v>
                </c:pt>
                <c:pt idx="604">
                  <c:v>44383</c:v>
                </c:pt>
                <c:pt idx="605">
                  <c:v>44382</c:v>
                </c:pt>
                <c:pt idx="606">
                  <c:v>44379</c:v>
                </c:pt>
                <c:pt idx="607">
                  <c:v>44378</c:v>
                </c:pt>
                <c:pt idx="608">
                  <c:v>44377</c:v>
                </c:pt>
                <c:pt idx="609">
                  <c:v>44376</c:v>
                </c:pt>
                <c:pt idx="610">
                  <c:v>44375</c:v>
                </c:pt>
                <c:pt idx="611">
                  <c:v>44372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44361</c:v>
                </c:pt>
                <c:pt idx="620">
                  <c:v>44358</c:v>
                </c:pt>
                <c:pt idx="621">
                  <c:v>44357</c:v>
                </c:pt>
                <c:pt idx="622">
                  <c:v>44356</c:v>
                </c:pt>
                <c:pt idx="623">
                  <c:v>44355</c:v>
                </c:pt>
                <c:pt idx="624">
                  <c:v>44354</c:v>
                </c:pt>
                <c:pt idx="625">
                  <c:v>44351</c:v>
                </c:pt>
                <c:pt idx="626">
                  <c:v>44350</c:v>
                </c:pt>
                <c:pt idx="627">
                  <c:v>44349</c:v>
                </c:pt>
                <c:pt idx="628">
                  <c:v>44348</c:v>
                </c:pt>
                <c:pt idx="629">
                  <c:v>44347</c:v>
                </c:pt>
                <c:pt idx="630">
                  <c:v>44344</c:v>
                </c:pt>
                <c:pt idx="631">
                  <c:v>44341</c:v>
                </c:pt>
                <c:pt idx="632">
                  <c:v>44340</c:v>
                </c:pt>
                <c:pt idx="633">
                  <c:v>44337</c:v>
                </c:pt>
                <c:pt idx="634">
                  <c:v>44336</c:v>
                </c:pt>
                <c:pt idx="635">
                  <c:v>44335</c:v>
                </c:pt>
                <c:pt idx="636">
                  <c:v>44334</c:v>
                </c:pt>
                <c:pt idx="637">
                  <c:v>44333</c:v>
                </c:pt>
                <c:pt idx="638">
                  <c:v>44329</c:v>
                </c:pt>
                <c:pt idx="639">
                  <c:v>44328</c:v>
                </c:pt>
                <c:pt idx="640">
                  <c:v>44327</c:v>
                </c:pt>
                <c:pt idx="641">
                  <c:v>44326</c:v>
                </c:pt>
                <c:pt idx="642">
                  <c:v>44323</c:v>
                </c:pt>
                <c:pt idx="643">
                  <c:v>44322</c:v>
                </c:pt>
                <c:pt idx="644">
                  <c:v>44321</c:v>
                </c:pt>
                <c:pt idx="645">
                  <c:v>44320</c:v>
                </c:pt>
                <c:pt idx="646">
                  <c:v>44319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44309</c:v>
                </c:pt>
                <c:pt idx="652">
                  <c:v>44308</c:v>
                </c:pt>
                <c:pt idx="653">
                  <c:v>44307</c:v>
                </c:pt>
                <c:pt idx="654">
                  <c:v>44306</c:v>
                </c:pt>
                <c:pt idx="655">
                  <c:v>44305</c:v>
                </c:pt>
                <c:pt idx="656">
                  <c:v>44302</c:v>
                </c:pt>
                <c:pt idx="657">
                  <c:v>44301</c:v>
                </c:pt>
                <c:pt idx="658">
                  <c:v>44298</c:v>
                </c:pt>
                <c:pt idx="659">
                  <c:v>44295</c:v>
                </c:pt>
                <c:pt idx="660">
                  <c:v>44294</c:v>
                </c:pt>
                <c:pt idx="661">
                  <c:v>44293</c:v>
                </c:pt>
                <c:pt idx="662">
                  <c:v>44292</c:v>
                </c:pt>
                <c:pt idx="663">
                  <c:v>44291</c:v>
                </c:pt>
                <c:pt idx="664">
                  <c:v>44287</c:v>
                </c:pt>
                <c:pt idx="665">
                  <c:v>44286</c:v>
                </c:pt>
                <c:pt idx="666">
                  <c:v>44285</c:v>
                </c:pt>
                <c:pt idx="667">
                  <c:v>44284</c:v>
                </c:pt>
                <c:pt idx="668">
                  <c:v>44281</c:v>
                </c:pt>
                <c:pt idx="669">
                  <c:v>44280</c:v>
                </c:pt>
                <c:pt idx="670">
                  <c:v>44279</c:v>
                </c:pt>
                <c:pt idx="671">
                  <c:v>44278</c:v>
                </c:pt>
                <c:pt idx="672">
                  <c:v>44277</c:v>
                </c:pt>
                <c:pt idx="673">
                  <c:v>44274</c:v>
                </c:pt>
                <c:pt idx="674">
                  <c:v>44273</c:v>
                </c:pt>
                <c:pt idx="675">
                  <c:v>44272</c:v>
                </c:pt>
                <c:pt idx="676">
                  <c:v>44271</c:v>
                </c:pt>
                <c:pt idx="677">
                  <c:v>44270</c:v>
                </c:pt>
                <c:pt idx="678">
                  <c:v>44267</c:v>
                </c:pt>
                <c:pt idx="679">
                  <c:v>44265</c:v>
                </c:pt>
                <c:pt idx="680">
                  <c:v>44264</c:v>
                </c:pt>
                <c:pt idx="681">
                  <c:v>44263</c:v>
                </c:pt>
                <c:pt idx="682">
                  <c:v>44260</c:v>
                </c:pt>
                <c:pt idx="683">
                  <c:v>44259</c:v>
                </c:pt>
                <c:pt idx="684">
                  <c:v>44258</c:v>
                </c:pt>
                <c:pt idx="685">
                  <c:v>44257</c:v>
                </c:pt>
                <c:pt idx="686">
                  <c:v>44256</c:v>
                </c:pt>
                <c:pt idx="687">
                  <c:v>44252</c:v>
                </c:pt>
                <c:pt idx="688">
                  <c:v>44251</c:v>
                </c:pt>
                <c:pt idx="689">
                  <c:v>44250</c:v>
                </c:pt>
                <c:pt idx="690">
                  <c:v>44249</c:v>
                </c:pt>
                <c:pt idx="691">
                  <c:v>44246</c:v>
                </c:pt>
                <c:pt idx="692">
                  <c:v>44245</c:v>
                </c:pt>
                <c:pt idx="693">
                  <c:v>44244</c:v>
                </c:pt>
                <c:pt idx="694">
                  <c:v>44243</c:v>
                </c:pt>
                <c:pt idx="695">
                  <c:v>44242</c:v>
                </c:pt>
                <c:pt idx="696">
                  <c:v>44239</c:v>
                </c:pt>
                <c:pt idx="697">
                  <c:v>44238</c:v>
                </c:pt>
                <c:pt idx="698">
                  <c:v>44237</c:v>
                </c:pt>
                <c:pt idx="699">
                  <c:v>44236</c:v>
                </c:pt>
                <c:pt idx="700">
                  <c:v>44235</c:v>
                </c:pt>
                <c:pt idx="701">
                  <c:v>44232</c:v>
                </c:pt>
                <c:pt idx="702">
                  <c:v>44230</c:v>
                </c:pt>
                <c:pt idx="703">
                  <c:v>44229</c:v>
                </c:pt>
                <c:pt idx="704">
                  <c:v>44228</c:v>
                </c:pt>
                <c:pt idx="705">
                  <c:v>44225</c:v>
                </c:pt>
                <c:pt idx="706">
                  <c:v>44223</c:v>
                </c:pt>
                <c:pt idx="707">
                  <c:v>44222</c:v>
                </c:pt>
                <c:pt idx="708">
                  <c:v>44221</c:v>
                </c:pt>
                <c:pt idx="709">
                  <c:v>44218</c:v>
                </c:pt>
                <c:pt idx="710">
                  <c:v>44217</c:v>
                </c:pt>
                <c:pt idx="711">
                  <c:v>44216</c:v>
                </c:pt>
                <c:pt idx="712">
                  <c:v>44215</c:v>
                </c:pt>
                <c:pt idx="713">
                  <c:v>44214</c:v>
                </c:pt>
                <c:pt idx="714">
                  <c:v>44211</c:v>
                </c:pt>
                <c:pt idx="715">
                  <c:v>44209</c:v>
                </c:pt>
                <c:pt idx="716">
                  <c:v>44208</c:v>
                </c:pt>
                <c:pt idx="717">
                  <c:v>44207</c:v>
                </c:pt>
                <c:pt idx="718">
                  <c:v>44204</c:v>
                </c:pt>
                <c:pt idx="719">
                  <c:v>44203</c:v>
                </c:pt>
                <c:pt idx="720">
                  <c:v>44202</c:v>
                </c:pt>
                <c:pt idx="721">
                  <c:v>44201</c:v>
                </c:pt>
                <c:pt idx="722">
                  <c:v>44200</c:v>
                </c:pt>
              </c:numCache>
            </c:numRef>
          </c:cat>
          <c:val>
            <c:numRef>
              <c:f>'Price volume'!$S$3:$S$725</c:f>
              <c:numCache>
                <c:formatCode>General</c:formatCode>
                <c:ptCount val="723"/>
                <c:pt idx="0">
                  <c:v>76.3</c:v>
                </c:pt>
                <c:pt idx="1">
                  <c:v>79.400000000000006</c:v>
                </c:pt>
                <c:pt idx="2">
                  <c:v>80</c:v>
                </c:pt>
                <c:pt idx="3">
                  <c:v>80.5</c:v>
                </c:pt>
                <c:pt idx="4">
                  <c:v>80.3</c:v>
                </c:pt>
                <c:pt idx="5">
                  <c:v>82</c:v>
                </c:pt>
                <c:pt idx="6">
                  <c:v>81.3</c:v>
                </c:pt>
                <c:pt idx="7">
                  <c:v>82</c:v>
                </c:pt>
                <c:pt idx="8">
                  <c:v>81.7</c:v>
                </c:pt>
                <c:pt idx="9">
                  <c:v>80.400000000000006</c:v>
                </c:pt>
                <c:pt idx="10">
                  <c:v>79.900000000000006</c:v>
                </c:pt>
                <c:pt idx="11">
                  <c:v>79</c:v>
                </c:pt>
                <c:pt idx="12">
                  <c:v>78.900000000000006</c:v>
                </c:pt>
                <c:pt idx="13">
                  <c:v>80</c:v>
                </c:pt>
                <c:pt idx="14">
                  <c:v>79.2</c:v>
                </c:pt>
                <c:pt idx="15">
                  <c:v>78.5</c:v>
                </c:pt>
                <c:pt idx="16">
                  <c:v>78</c:v>
                </c:pt>
                <c:pt idx="17">
                  <c:v>79.3</c:v>
                </c:pt>
                <c:pt idx="18">
                  <c:v>80</c:v>
                </c:pt>
                <c:pt idx="19">
                  <c:v>80</c:v>
                </c:pt>
                <c:pt idx="20">
                  <c:v>81.3</c:v>
                </c:pt>
                <c:pt idx="21">
                  <c:v>83</c:v>
                </c:pt>
                <c:pt idx="22">
                  <c:v>82.1</c:v>
                </c:pt>
                <c:pt idx="23">
                  <c:v>81.099999999999994</c:v>
                </c:pt>
                <c:pt idx="24">
                  <c:v>78.099999999999994</c:v>
                </c:pt>
                <c:pt idx="25">
                  <c:v>77.3</c:v>
                </c:pt>
                <c:pt idx="26">
                  <c:v>77.3</c:v>
                </c:pt>
                <c:pt idx="27">
                  <c:v>78</c:v>
                </c:pt>
                <c:pt idx="28">
                  <c:v>76.599999999999994</c:v>
                </c:pt>
                <c:pt idx="29">
                  <c:v>74.7</c:v>
                </c:pt>
                <c:pt idx="30">
                  <c:v>72.400000000000006</c:v>
                </c:pt>
                <c:pt idx="31">
                  <c:v>72</c:v>
                </c:pt>
                <c:pt idx="32">
                  <c:v>72.3</c:v>
                </c:pt>
                <c:pt idx="33">
                  <c:v>73.5</c:v>
                </c:pt>
                <c:pt idx="34">
                  <c:v>72</c:v>
                </c:pt>
                <c:pt idx="35">
                  <c:v>72</c:v>
                </c:pt>
                <c:pt idx="36">
                  <c:v>71.099999999999994</c:v>
                </c:pt>
                <c:pt idx="37">
                  <c:v>72.3</c:v>
                </c:pt>
                <c:pt idx="38">
                  <c:v>73</c:v>
                </c:pt>
                <c:pt idx="39">
                  <c:v>74</c:v>
                </c:pt>
                <c:pt idx="40">
                  <c:v>74.900000000000006</c:v>
                </c:pt>
                <c:pt idx="41">
                  <c:v>75.099999999999994</c:v>
                </c:pt>
                <c:pt idx="42">
                  <c:v>76.5</c:v>
                </c:pt>
                <c:pt idx="43">
                  <c:v>76.3</c:v>
                </c:pt>
                <c:pt idx="44">
                  <c:v>76.7</c:v>
                </c:pt>
                <c:pt idx="45">
                  <c:v>75.3</c:v>
                </c:pt>
                <c:pt idx="46">
                  <c:v>75.599999999999994</c:v>
                </c:pt>
                <c:pt idx="47">
                  <c:v>73</c:v>
                </c:pt>
                <c:pt idx="48">
                  <c:v>74.099999999999994</c:v>
                </c:pt>
                <c:pt idx="49">
                  <c:v>74.599999999999994</c:v>
                </c:pt>
                <c:pt idx="50">
                  <c:v>73.900000000000006</c:v>
                </c:pt>
                <c:pt idx="51">
                  <c:v>72.099999999999994</c:v>
                </c:pt>
                <c:pt idx="52">
                  <c:v>72.099999999999994</c:v>
                </c:pt>
                <c:pt idx="53">
                  <c:v>71.8</c:v>
                </c:pt>
                <c:pt idx="54">
                  <c:v>71.900000000000006</c:v>
                </c:pt>
                <c:pt idx="55">
                  <c:v>72.5</c:v>
                </c:pt>
                <c:pt idx="56">
                  <c:v>74.900000000000006</c:v>
                </c:pt>
                <c:pt idx="57">
                  <c:v>73.400000000000006</c:v>
                </c:pt>
                <c:pt idx="58">
                  <c:v>74.8</c:v>
                </c:pt>
                <c:pt idx="59">
                  <c:v>70</c:v>
                </c:pt>
                <c:pt idx="60">
                  <c:v>70.5</c:v>
                </c:pt>
                <c:pt idx="61">
                  <c:v>71.5</c:v>
                </c:pt>
                <c:pt idx="62">
                  <c:v>71.5</c:v>
                </c:pt>
                <c:pt idx="63">
                  <c:v>73</c:v>
                </c:pt>
                <c:pt idx="64">
                  <c:v>73</c:v>
                </c:pt>
                <c:pt idx="65">
                  <c:v>72.8</c:v>
                </c:pt>
                <c:pt idx="66">
                  <c:v>73.900000000000006</c:v>
                </c:pt>
                <c:pt idx="67">
                  <c:v>74</c:v>
                </c:pt>
                <c:pt idx="68">
                  <c:v>76</c:v>
                </c:pt>
                <c:pt idx="69">
                  <c:v>76.8</c:v>
                </c:pt>
                <c:pt idx="70">
                  <c:v>75.599999999999994</c:v>
                </c:pt>
                <c:pt idx="71">
                  <c:v>75.3</c:v>
                </c:pt>
                <c:pt idx="72">
                  <c:v>77.3</c:v>
                </c:pt>
                <c:pt idx="73">
                  <c:v>78.8</c:v>
                </c:pt>
                <c:pt idx="74">
                  <c:v>79.900000000000006</c:v>
                </c:pt>
                <c:pt idx="75">
                  <c:v>78.400000000000006</c:v>
                </c:pt>
                <c:pt idx="76">
                  <c:v>78.3</c:v>
                </c:pt>
                <c:pt idx="77">
                  <c:v>78.5</c:v>
                </c:pt>
                <c:pt idx="78">
                  <c:v>78.599999999999994</c:v>
                </c:pt>
                <c:pt idx="79">
                  <c:v>78</c:v>
                </c:pt>
                <c:pt idx="80">
                  <c:v>79.599999999999994</c:v>
                </c:pt>
                <c:pt idx="81">
                  <c:v>80</c:v>
                </c:pt>
                <c:pt idx="82">
                  <c:v>81.099999999999994</c:v>
                </c:pt>
                <c:pt idx="83">
                  <c:v>80</c:v>
                </c:pt>
                <c:pt idx="84">
                  <c:v>80.7</c:v>
                </c:pt>
                <c:pt idx="85">
                  <c:v>80.2</c:v>
                </c:pt>
                <c:pt idx="86">
                  <c:v>80.099999999999994</c:v>
                </c:pt>
                <c:pt idx="87">
                  <c:v>80.400000000000006</c:v>
                </c:pt>
                <c:pt idx="88">
                  <c:v>80.2</c:v>
                </c:pt>
                <c:pt idx="89">
                  <c:v>83.5</c:v>
                </c:pt>
                <c:pt idx="90">
                  <c:v>81.599999999999994</c:v>
                </c:pt>
                <c:pt idx="91">
                  <c:v>79.5</c:v>
                </c:pt>
                <c:pt idx="92">
                  <c:v>77.3</c:v>
                </c:pt>
                <c:pt idx="93">
                  <c:v>77.7</c:v>
                </c:pt>
                <c:pt idx="94">
                  <c:v>77.900000000000006</c:v>
                </c:pt>
                <c:pt idx="95">
                  <c:v>81</c:v>
                </c:pt>
                <c:pt idx="96">
                  <c:v>82.5</c:v>
                </c:pt>
                <c:pt idx="97">
                  <c:v>83</c:v>
                </c:pt>
                <c:pt idx="98">
                  <c:v>80</c:v>
                </c:pt>
                <c:pt idx="99">
                  <c:v>80.7</c:v>
                </c:pt>
                <c:pt idx="100">
                  <c:v>82.8</c:v>
                </c:pt>
                <c:pt idx="101">
                  <c:v>83.7</c:v>
                </c:pt>
                <c:pt idx="102">
                  <c:v>82.7</c:v>
                </c:pt>
                <c:pt idx="103">
                  <c:v>80.3</c:v>
                </c:pt>
                <c:pt idx="104">
                  <c:v>84.8</c:v>
                </c:pt>
                <c:pt idx="105">
                  <c:v>88.8</c:v>
                </c:pt>
                <c:pt idx="106">
                  <c:v>87.2</c:v>
                </c:pt>
                <c:pt idx="107">
                  <c:v>85</c:v>
                </c:pt>
                <c:pt idx="108">
                  <c:v>87</c:v>
                </c:pt>
                <c:pt idx="109">
                  <c:v>84.8</c:v>
                </c:pt>
                <c:pt idx="110">
                  <c:v>83.6</c:v>
                </c:pt>
                <c:pt idx="111">
                  <c:v>81.7</c:v>
                </c:pt>
                <c:pt idx="112">
                  <c:v>79.900000000000006</c:v>
                </c:pt>
                <c:pt idx="113">
                  <c:v>77.8</c:v>
                </c:pt>
                <c:pt idx="114">
                  <c:v>77</c:v>
                </c:pt>
                <c:pt idx="115">
                  <c:v>77.8</c:v>
                </c:pt>
                <c:pt idx="116">
                  <c:v>73.5</c:v>
                </c:pt>
                <c:pt idx="117">
                  <c:v>74</c:v>
                </c:pt>
                <c:pt idx="118">
                  <c:v>74.099999999999994</c:v>
                </c:pt>
                <c:pt idx="119">
                  <c:v>72</c:v>
                </c:pt>
                <c:pt idx="120">
                  <c:v>71.900000000000006</c:v>
                </c:pt>
                <c:pt idx="121">
                  <c:v>71.900000000000006</c:v>
                </c:pt>
                <c:pt idx="122">
                  <c:v>70</c:v>
                </c:pt>
                <c:pt idx="123">
                  <c:v>68.599999999999994</c:v>
                </c:pt>
                <c:pt idx="124">
                  <c:v>65.8</c:v>
                </c:pt>
                <c:pt idx="125">
                  <c:v>65.7</c:v>
                </c:pt>
                <c:pt idx="126">
                  <c:v>65.900000000000006</c:v>
                </c:pt>
                <c:pt idx="127">
                  <c:v>64.599999999999994</c:v>
                </c:pt>
                <c:pt idx="128">
                  <c:v>64</c:v>
                </c:pt>
                <c:pt idx="129">
                  <c:v>64</c:v>
                </c:pt>
                <c:pt idx="130">
                  <c:v>65</c:v>
                </c:pt>
                <c:pt idx="131">
                  <c:v>66.099999999999994</c:v>
                </c:pt>
                <c:pt idx="132">
                  <c:v>67.3</c:v>
                </c:pt>
                <c:pt idx="133">
                  <c:v>54.1</c:v>
                </c:pt>
                <c:pt idx="134">
                  <c:v>54</c:v>
                </c:pt>
                <c:pt idx="135">
                  <c:v>54.8</c:v>
                </c:pt>
                <c:pt idx="136">
                  <c:v>53.4</c:v>
                </c:pt>
                <c:pt idx="137">
                  <c:v>53.1</c:v>
                </c:pt>
                <c:pt idx="138">
                  <c:v>53.2</c:v>
                </c:pt>
                <c:pt idx="139">
                  <c:v>51.5</c:v>
                </c:pt>
                <c:pt idx="140">
                  <c:v>52.5</c:v>
                </c:pt>
                <c:pt idx="141">
                  <c:v>52.9</c:v>
                </c:pt>
                <c:pt idx="142">
                  <c:v>53</c:v>
                </c:pt>
                <c:pt idx="143">
                  <c:v>53.3</c:v>
                </c:pt>
                <c:pt idx="144">
                  <c:v>53</c:v>
                </c:pt>
                <c:pt idx="145">
                  <c:v>53</c:v>
                </c:pt>
                <c:pt idx="146">
                  <c:v>50</c:v>
                </c:pt>
                <c:pt idx="147">
                  <c:v>49</c:v>
                </c:pt>
                <c:pt idx="148">
                  <c:v>47.4</c:v>
                </c:pt>
                <c:pt idx="149">
                  <c:v>49</c:v>
                </c:pt>
                <c:pt idx="150">
                  <c:v>49.5</c:v>
                </c:pt>
                <c:pt idx="151">
                  <c:v>49.4</c:v>
                </c:pt>
                <c:pt idx="152">
                  <c:v>49.1</c:v>
                </c:pt>
                <c:pt idx="153">
                  <c:v>47.5</c:v>
                </c:pt>
                <c:pt idx="154">
                  <c:v>46.8</c:v>
                </c:pt>
                <c:pt idx="155">
                  <c:v>47.2</c:v>
                </c:pt>
                <c:pt idx="156">
                  <c:v>49.9</c:v>
                </c:pt>
                <c:pt idx="157">
                  <c:v>49.5</c:v>
                </c:pt>
                <c:pt idx="158">
                  <c:v>47.5</c:v>
                </c:pt>
                <c:pt idx="159">
                  <c:v>44.7</c:v>
                </c:pt>
                <c:pt idx="160">
                  <c:v>45.1</c:v>
                </c:pt>
                <c:pt idx="161">
                  <c:v>46.5</c:v>
                </c:pt>
                <c:pt idx="162">
                  <c:v>47.3</c:v>
                </c:pt>
                <c:pt idx="163">
                  <c:v>48.8</c:v>
                </c:pt>
                <c:pt idx="164">
                  <c:v>49.9</c:v>
                </c:pt>
                <c:pt idx="165">
                  <c:v>49.3</c:v>
                </c:pt>
                <c:pt idx="166">
                  <c:v>47.1</c:v>
                </c:pt>
                <c:pt idx="167">
                  <c:v>48.8</c:v>
                </c:pt>
                <c:pt idx="168">
                  <c:v>46.5</c:v>
                </c:pt>
                <c:pt idx="169">
                  <c:v>46.7</c:v>
                </c:pt>
                <c:pt idx="170">
                  <c:v>46.6</c:v>
                </c:pt>
                <c:pt idx="171">
                  <c:v>45</c:v>
                </c:pt>
                <c:pt idx="172">
                  <c:v>43.8</c:v>
                </c:pt>
                <c:pt idx="173">
                  <c:v>44.8</c:v>
                </c:pt>
                <c:pt idx="174">
                  <c:v>46</c:v>
                </c:pt>
                <c:pt idx="175">
                  <c:v>46.2</c:v>
                </c:pt>
                <c:pt idx="176">
                  <c:v>47.9</c:v>
                </c:pt>
                <c:pt idx="177">
                  <c:v>48.3</c:v>
                </c:pt>
                <c:pt idx="178">
                  <c:v>48.5</c:v>
                </c:pt>
                <c:pt idx="179">
                  <c:v>49.3</c:v>
                </c:pt>
                <c:pt idx="180">
                  <c:v>50</c:v>
                </c:pt>
                <c:pt idx="181">
                  <c:v>50.5</c:v>
                </c:pt>
                <c:pt idx="182">
                  <c:v>51.8</c:v>
                </c:pt>
                <c:pt idx="183">
                  <c:v>52</c:v>
                </c:pt>
                <c:pt idx="184">
                  <c:v>52.7</c:v>
                </c:pt>
                <c:pt idx="185">
                  <c:v>52.1</c:v>
                </c:pt>
                <c:pt idx="186">
                  <c:v>52.7</c:v>
                </c:pt>
                <c:pt idx="187">
                  <c:v>52.2</c:v>
                </c:pt>
                <c:pt idx="188">
                  <c:v>53.9</c:v>
                </c:pt>
                <c:pt idx="189">
                  <c:v>54.5</c:v>
                </c:pt>
                <c:pt idx="190">
                  <c:v>54.1</c:v>
                </c:pt>
                <c:pt idx="191">
                  <c:v>55.7</c:v>
                </c:pt>
                <c:pt idx="192">
                  <c:v>56.7</c:v>
                </c:pt>
                <c:pt idx="193">
                  <c:v>55</c:v>
                </c:pt>
                <c:pt idx="194">
                  <c:v>54.5</c:v>
                </c:pt>
                <c:pt idx="195">
                  <c:v>55</c:v>
                </c:pt>
                <c:pt idx="196">
                  <c:v>54.4</c:v>
                </c:pt>
                <c:pt idx="197">
                  <c:v>58.2</c:v>
                </c:pt>
                <c:pt idx="198">
                  <c:v>59.9</c:v>
                </c:pt>
                <c:pt idx="199">
                  <c:v>59.7</c:v>
                </c:pt>
                <c:pt idx="200">
                  <c:v>58.3</c:v>
                </c:pt>
                <c:pt idx="201">
                  <c:v>58.1</c:v>
                </c:pt>
                <c:pt idx="202">
                  <c:v>58.2</c:v>
                </c:pt>
                <c:pt idx="203">
                  <c:v>58</c:v>
                </c:pt>
                <c:pt idx="204">
                  <c:v>58.2</c:v>
                </c:pt>
                <c:pt idx="205">
                  <c:v>59.5</c:v>
                </c:pt>
                <c:pt idx="206">
                  <c:v>59.9</c:v>
                </c:pt>
                <c:pt idx="207">
                  <c:v>60.2</c:v>
                </c:pt>
                <c:pt idx="208">
                  <c:v>61</c:v>
                </c:pt>
                <c:pt idx="209">
                  <c:v>59.3</c:v>
                </c:pt>
                <c:pt idx="210">
                  <c:v>55.4</c:v>
                </c:pt>
                <c:pt idx="211">
                  <c:v>53.1</c:v>
                </c:pt>
                <c:pt idx="212">
                  <c:v>53.4</c:v>
                </c:pt>
                <c:pt idx="213">
                  <c:v>53</c:v>
                </c:pt>
                <c:pt idx="214">
                  <c:v>57.1</c:v>
                </c:pt>
                <c:pt idx="215">
                  <c:v>54.9</c:v>
                </c:pt>
                <c:pt idx="216">
                  <c:v>53.6</c:v>
                </c:pt>
                <c:pt idx="217">
                  <c:v>53.1</c:v>
                </c:pt>
                <c:pt idx="218">
                  <c:v>52</c:v>
                </c:pt>
                <c:pt idx="219">
                  <c:v>49</c:v>
                </c:pt>
                <c:pt idx="220">
                  <c:v>48.3</c:v>
                </c:pt>
                <c:pt idx="221">
                  <c:v>47</c:v>
                </c:pt>
                <c:pt idx="222">
                  <c:v>46.8</c:v>
                </c:pt>
                <c:pt idx="223">
                  <c:v>48.1</c:v>
                </c:pt>
                <c:pt idx="224">
                  <c:v>49.3</c:v>
                </c:pt>
                <c:pt idx="225">
                  <c:v>49.8</c:v>
                </c:pt>
                <c:pt idx="226">
                  <c:v>49.8</c:v>
                </c:pt>
                <c:pt idx="227">
                  <c:v>49.9</c:v>
                </c:pt>
                <c:pt idx="228">
                  <c:v>49.7</c:v>
                </c:pt>
                <c:pt idx="229">
                  <c:v>51.8</c:v>
                </c:pt>
                <c:pt idx="230">
                  <c:v>49.6</c:v>
                </c:pt>
                <c:pt idx="231">
                  <c:v>46</c:v>
                </c:pt>
                <c:pt idx="232">
                  <c:v>45.1</c:v>
                </c:pt>
                <c:pt idx="233">
                  <c:v>44.2</c:v>
                </c:pt>
                <c:pt idx="234">
                  <c:v>43.6</c:v>
                </c:pt>
                <c:pt idx="235">
                  <c:v>43.1</c:v>
                </c:pt>
                <c:pt idx="236">
                  <c:v>43.7</c:v>
                </c:pt>
                <c:pt idx="237">
                  <c:v>44.9</c:v>
                </c:pt>
                <c:pt idx="238">
                  <c:v>45</c:v>
                </c:pt>
                <c:pt idx="239">
                  <c:v>42.1</c:v>
                </c:pt>
                <c:pt idx="240">
                  <c:v>42.5</c:v>
                </c:pt>
                <c:pt idx="241">
                  <c:v>41</c:v>
                </c:pt>
                <c:pt idx="242">
                  <c:v>40.299999999999997</c:v>
                </c:pt>
                <c:pt idx="243">
                  <c:v>41</c:v>
                </c:pt>
                <c:pt idx="244">
                  <c:v>40.5</c:v>
                </c:pt>
                <c:pt idx="245">
                  <c:v>40.1</c:v>
                </c:pt>
                <c:pt idx="246">
                  <c:v>40.1</c:v>
                </c:pt>
                <c:pt idx="247">
                  <c:v>40.4</c:v>
                </c:pt>
                <c:pt idx="248">
                  <c:v>40.4</c:v>
                </c:pt>
                <c:pt idx="249">
                  <c:v>40.5</c:v>
                </c:pt>
                <c:pt idx="250">
                  <c:v>41</c:v>
                </c:pt>
                <c:pt idx="251">
                  <c:v>41.2</c:v>
                </c:pt>
                <c:pt idx="252">
                  <c:v>41.3</c:v>
                </c:pt>
                <c:pt idx="253">
                  <c:v>41.5</c:v>
                </c:pt>
                <c:pt idx="254">
                  <c:v>41</c:v>
                </c:pt>
                <c:pt idx="255">
                  <c:v>40.9</c:v>
                </c:pt>
                <c:pt idx="256">
                  <c:v>41</c:v>
                </c:pt>
                <c:pt idx="257">
                  <c:v>40.9</c:v>
                </c:pt>
                <c:pt idx="258">
                  <c:v>41</c:v>
                </c:pt>
                <c:pt idx="259">
                  <c:v>41.6</c:v>
                </c:pt>
                <c:pt idx="260">
                  <c:v>42</c:v>
                </c:pt>
                <c:pt idx="261">
                  <c:v>41.5</c:v>
                </c:pt>
                <c:pt idx="262">
                  <c:v>42.2</c:v>
                </c:pt>
                <c:pt idx="263">
                  <c:v>42.4</c:v>
                </c:pt>
                <c:pt idx="264">
                  <c:v>42.8</c:v>
                </c:pt>
                <c:pt idx="265">
                  <c:v>42.4</c:v>
                </c:pt>
                <c:pt idx="266">
                  <c:v>42.3</c:v>
                </c:pt>
                <c:pt idx="267">
                  <c:v>42.9</c:v>
                </c:pt>
                <c:pt idx="268">
                  <c:v>42.7</c:v>
                </c:pt>
                <c:pt idx="269">
                  <c:v>42.8</c:v>
                </c:pt>
                <c:pt idx="270">
                  <c:v>42.6</c:v>
                </c:pt>
                <c:pt idx="271">
                  <c:v>41.8</c:v>
                </c:pt>
                <c:pt idx="272">
                  <c:v>41.4</c:v>
                </c:pt>
                <c:pt idx="273">
                  <c:v>41.2</c:v>
                </c:pt>
                <c:pt idx="274">
                  <c:v>41.1</c:v>
                </c:pt>
                <c:pt idx="275">
                  <c:v>41.2</c:v>
                </c:pt>
                <c:pt idx="276">
                  <c:v>40.6</c:v>
                </c:pt>
                <c:pt idx="277">
                  <c:v>40.200000000000003</c:v>
                </c:pt>
                <c:pt idx="278">
                  <c:v>40.1</c:v>
                </c:pt>
                <c:pt idx="279">
                  <c:v>40.1</c:v>
                </c:pt>
                <c:pt idx="280">
                  <c:v>40</c:v>
                </c:pt>
                <c:pt idx="281">
                  <c:v>40.1</c:v>
                </c:pt>
                <c:pt idx="282">
                  <c:v>40.1</c:v>
                </c:pt>
                <c:pt idx="283">
                  <c:v>40</c:v>
                </c:pt>
                <c:pt idx="284">
                  <c:v>40.299999999999997</c:v>
                </c:pt>
                <c:pt idx="285">
                  <c:v>41</c:v>
                </c:pt>
                <c:pt idx="286">
                  <c:v>39.9</c:v>
                </c:pt>
                <c:pt idx="287">
                  <c:v>39.9</c:v>
                </c:pt>
                <c:pt idx="288">
                  <c:v>40.1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40.299999999999997</c:v>
                </c:pt>
                <c:pt idx="292">
                  <c:v>40.700000000000003</c:v>
                </c:pt>
                <c:pt idx="293">
                  <c:v>40.1</c:v>
                </c:pt>
                <c:pt idx="294">
                  <c:v>40.1</c:v>
                </c:pt>
                <c:pt idx="295">
                  <c:v>40.4</c:v>
                </c:pt>
                <c:pt idx="296">
                  <c:v>41</c:v>
                </c:pt>
                <c:pt idx="297">
                  <c:v>39.9</c:v>
                </c:pt>
                <c:pt idx="298">
                  <c:v>41.1</c:v>
                </c:pt>
                <c:pt idx="299">
                  <c:v>40.200000000000003</c:v>
                </c:pt>
                <c:pt idx="300">
                  <c:v>40.1</c:v>
                </c:pt>
                <c:pt idx="301">
                  <c:v>41.2</c:v>
                </c:pt>
                <c:pt idx="302">
                  <c:v>41.7</c:v>
                </c:pt>
                <c:pt idx="303">
                  <c:v>41</c:v>
                </c:pt>
                <c:pt idx="304">
                  <c:v>41</c:v>
                </c:pt>
                <c:pt idx="305">
                  <c:v>40.299999999999997</c:v>
                </c:pt>
                <c:pt idx="306">
                  <c:v>40.1</c:v>
                </c:pt>
                <c:pt idx="307">
                  <c:v>40.4</c:v>
                </c:pt>
                <c:pt idx="308">
                  <c:v>41</c:v>
                </c:pt>
                <c:pt idx="309">
                  <c:v>42.4</c:v>
                </c:pt>
                <c:pt idx="310">
                  <c:v>41.6</c:v>
                </c:pt>
                <c:pt idx="311">
                  <c:v>42</c:v>
                </c:pt>
                <c:pt idx="312">
                  <c:v>42.1</c:v>
                </c:pt>
                <c:pt idx="313">
                  <c:v>40.9</c:v>
                </c:pt>
                <c:pt idx="314">
                  <c:v>40.299999999999997</c:v>
                </c:pt>
                <c:pt idx="315">
                  <c:v>41.4</c:v>
                </c:pt>
                <c:pt idx="316">
                  <c:v>41.9</c:v>
                </c:pt>
                <c:pt idx="317">
                  <c:v>42.2</c:v>
                </c:pt>
                <c:pt idx="318">
                  <c:v>43.3</c:v>
                </c:pt>
                <c:pt idx="319">
                  <c:v>42.6</c:v>
                </c:pt>
                <c:pt idx="320">
                  <c:v>44.1</c:v>
                </c:pt>
                <c:pt idx="321">
                  <c:v>45.8</c:v>
                </c:pt>
                <c:pt idx="322">
                  <c:v>46.3</c:v>
                </c:pt>
                <c:pt idx="323">
                  <c:v>45.6</c:v>
                </c:pt>
                <c:pt idx="324">
                  <c:v>43</c:v>
                </c:pt>
                <c:pt idx="325">
                  <c:v>41.6</c:v>
                </c:pt>
                <c:pt idx="326">
                  <c:v>40</c:v>
                </c:pt>
                <c:pt idx="327">
                  <c:v>40.200000000000003</c:v>
                </c:pt>
                <c:pt idx="328">
                  <c:v>40.700000000000003</c:v>
                </c:pt>
                <c:pt idx="329">
                  <c:v>40</c:v>
                </c:pt>
                <c:pt idx="330">
                  <c:v>40.200000000000003</c:v>
                </c:pt>
                <c:pt idx="331">
                  <c:v>43</c:v>
                </c:pt>
                <c:pt idx="332">
                  <c:v>41.7</c:v>
                </c:pt>
                <c:pt idx="333">
                  <c:v>41.8</c:v>
                </c:pt>
                <c:pt idx="334">
                  <c:v>40</c:v>
                </c:pt>
                <c:pt idx="335">
                  <c:v>39.5</c:v>
                </c:pt>
                <c:pt idx="336">
                  <c:v>39.6</c:v>
                </c:pt>
                <c:pt idx="337">
                  <c:v>39.799999999999997</c:v>
                </c:pt>
                <c:pt idx="338">
                  <c:v>39.799999999999997</c:v>
                </c:pt>
                <c:pt idx="339">
                  <c:v>40</c:v>
                </c:pt>
                <c:pt idx="340">
                  <c:v>40.1</c:v>
                </c:pt>
                <c:pt idx="341">
                  <c:v>40.1</c:v>
                </c:pt>
                <c:pt idx="342">
                  <c:v>39.9</c:v>
                </c:pt>
                <c:pt idx="343">
                  <c:v>40.1</c:v>
                </c:pt>
                <c:pt idx="344">
                  <c:v>41</c:v>
                </c:pt>
                <c:pt idx="345">
                  <c:v>41.1</c:v>
                </c:pt>
                <c:pt idx="346">
                  <c:v>43</c:v>
                </c:pt>
                <c:pt idx="347">
                  <c:v>43.1</c:v>
                </c:pt>
                <c:pt idx="348">
                  <c:v>43.6</c:v>
                </c:pt>
                <c:pt idx="349">
                  <c:v>43.6</c:v>
                </c:pt>
                <c:pt idx="350">
                  <c:v>41.8</c:v>
                </c:pt>
                <c:pt idx="351">
                  <c:v>42.2</c:v>
                </c:pt>
                <c:pt idx="352">
                  <c:v>41.3</c:v>
                </c:pt>
                <c:pt idx="353">
                  <c:v>41.1</c:v>
                </c:pt>
                <c:pt idx="354">
                  <c:v>41.1</c:v>
                </c:pt>
                <c:pt idx="355">
                  <c:v>42.6</c:v>
                </c:pt>
                <c:pt idx="356">
                  <c:v>41.7</c:v>
                </c:pt>
                <c:pt idx="357">
                  <c:v>42</c:v>
                </c:pt>
                <c:pt idx="358">
                  <c:v>43.1</c:v>
                </c:pt>
                <c:pt idx="359">
                  <c:v>45</c:v>
                </c:pt>
                <c:pt idx="360">
                  <c:v>44.9</c:v>
                </c:pt>
                <c:pt idx="361">
                  <c:v>44.7</c:v>
                </c:pt>
                <c:pt idx="362">
                  <c:v>43.6</c:v>
                </c:pt>
                <c:pt idx="363">
                  <c:v>42.3</c:v>
                </c:pt>
                <c:pt idx="364">
                  <c:v>42.5</c:v>
                </c:pt>
                <c:pt idx="365">
                  <c:v>41.7</c:v>
                </c:pt>
                <c:pt idx="366">
                  <c:v>42.7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39.5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42.1</c:v>
                </c:pt>
                <c:pt idx="376">
                  <c:v>41.5</c:v>
                </c:pt>
                <c:pt idx="377">
                  <c:v>42.2</c:v>
                </c:pt>
                <c:pt idx="378">
                  <c:v>42</c:v>
                </c:pt>
                <c:pt idx="379">
                  <c:v>44</c:v>
                </c:pt>
                <c:pt idx="380">
                  <c:v>44.9</c:v>
                </c:pt>
                <c:pt idx="381">
                  <c:v>44.7</c:v>
                </c:pt>
                <c:pt idx="382">
                  <c:v>46</c:v>
                </c:pt>
                <c:pt idx="383">
                  <c:v>46.7</c:v>
                </c:pt>
                <c:pt idx="384">
                  <c:v>46.6</c:v>
                </c:pt>
                <c:pt idx="385">
                  <c:v>45.2</c:v>
                </c:pt>
                <c:pt idx="386">
                  <c:v>47.3</c:v>
                </c:pt>
                <c:pt idx="387">
                  <c:v>47.7</c:v>
                </c:pt>
                <c:pt idx="388">
                  <c:v>47.8</c:v>
                </c:pt>
                <c:pt idx="389">
                  <c:v>48</c:v>
                </c:pt>
                <c:pt idx="390">
                  <c:v>48.6</c:v>
                </c:pt>
                <c:pt idx="391">
                  <c:v>49.1</c:v>
                </c:pt>
                <c:pt idx="392">
                  <c:v>49.4</c:v>
                </c:pt>
                <c:pt idx="393">
                  <c:v>49.1</c:v>
                </c:pt>
                <c:pt idx="394">
                  <c:v>49.7</c:v>
                </c:pt>
                <c:pt idx="395">
                  <c:v>49.5</c:v>
                </c:pt>
                <c:pt idx="396">
                  <c:v>50</c:v>
                </c:pt>
                <c:pt idx="397">
                  <c:v>50</c:v>
                </c:pt>
                <c:pt idx="398">
                  <c:v>49.8</c:v>
                </c:pt>
                <c:pt idx="399">
                  <c:v>50.1</c:v>
                </c:pt>
                <c:pt idx="400">
                  <c:v>50.1</c:v>
                </c:pt>
                <c:pt idx="401">
                  <c:v>51.2</c:v>
                </c:pt>
                <c:pt idx="402">
                  <c:v>52</c:v>
                </c:pt>
                <c:pt idx="403">
                  <c:v>52.5</c:v>
                </c:pt>
                <c:pt idx="404">
                  <c:v>51.7</c:v>
                </c:pt>
                <c:pt idx="405">
                  <c:v>51.7</c:v>
                </c:pt>
                <c:pt idx="406">
                  <c:v>53.9</c:v>
                </c:pt>
                <c:pt idx="407">
                  <c:v>52.1</c:v>
                </c:pt>
                <c:pt idx="408">
                  <c:v>51.7</c:v>
                </c:pt>
                <c:pt idx="409">
                  <c:v>49.8</c:v>
                </c:pt>
                <c:pt idx="410">
                  <c:v>50</c:v>
                </c:pt>
                <c:pt idx="411">
                  <c:v>49.8</c:v>
                </c:pt>
                <c:pt idx="412">
                  <c:v>49.7</c:v>
                </c:pt>
                <c:pt idx="413">
                  <c:v>50</c:v>
                </c:pt>
                <c:pt idx="414">
                  <c:v>50.2</c:v>
                </c:pt>
                <c:pt idx="415">
                  <c:v>50.1</c:v>
                </c:pt>
                <c:pt idx="416">
                  <c:v>49.9</c:v>
                </c:pt>
                <c:pt idx="417">
                  <c:v>50.1</c:v>
                </c:pt>
                <c:pt idx="418">
                  <c:v>53.8</c:v>
                </c:pt>
                <c:pt idx="419">
                  <c:v>56</c:v>
                </c:pt>
                <c:pt idx="420">
                  <c:v>56.1</c:v>
                </c:pt>
                <c:pt idx="421">
                  <c:v>57.6</c:v>
                </c:pt>
                <c:pt idx="422">
                  <c:v>60</c:v>
                </c:pt>
                <c:pt idx="423">
                  <c:v>57</c:v>
                </c:pt>
                <c:pt idx="424">
                  <c:v>60</c:v>
                </c:pt>
                <c:pt idx="425">
                  <c:v>60.9</c:v>
                </c:pt>
                <c:pt idx="426">
                  <c:v>70</c:v>
                </c:pt>
                <c:pt idx="427">
                  <c:v>70.599999999999994</c:v>
                </c:pt>
                <c:pt idx="428">
                  <c:v>73.599999999999994</c:v>
                </c:pt>
                <c:pt idx="429">
                  <c:v>74.099999999999994</c:v>
                </c:pt>
                <c:pt idx="430">
                  <c:v>74.900000000000006</c:v>
                </c:pt>
                <c:pt idx="431">
                  <c:v>75.099999999999994</c:v>
                </c:pt>
                <c:pt idx="432">
                  <c:v>76.900000000000006</c:v>
                </c:pt>
                <c:pt idx="433">
                  <c:v>76</c:v>
                </c:pt>
                <c:pt idx="434">
                  <c:v>74.900000000000006</c:v>
                </c:pt>
                <c:pt idx="435">
                  <c:v>74</c:v>
                </c:pt>
                <c:pt idx="436">
                  <c:v>74.5</c:v>
                </c:pt>
                <c:pt idx="437">
                  <c:v>75.099999999999994</c:v>
                </c:pt>
                <c:pt idx="438">
                  <c:v>74.8</c:v>
                </c:pt>
                <c:pt idx="439">
                  <c:v>75.3</c:v>
                </c:pt>
                <c:pt idx="440">
                  <c:v>72.599999999999994</c:v>
                </c:pt>
                <c:pt idx="441">
                  <c:v>75.5</c:v>
                </c:pt>
                <c:pt idx="442">
                  <c:v>75</c:v>
                </c:pt>
                <c:pt idx="443">
                  <c:v>76</c:v>
                </c:pt>
                <c:pt idx="444">
                  <c:v>76.3</c:v>
                </c:pt>
                <c:pt idx="445">
                  <c:v>76.599999999999994</c:v>
                </c:pt>
                <c:pt idx="446">
                  <c:v>77.5</c:v>
                </c:pt>
                <c:pt idx="447">
                  <c:v>75.599999999999994</c:v>
                </c:pt>
                <c:pt idx="448">
                  <c:v>74.7</c:v>
                </c:pt>
                <c:pt idx="449">
                  <c:v>75.5</c:v>
                </c:pt>
                <c:pt idx="450">
                  <c:v>76.7</c:v>
                </c:pt>
                <c:pt idx="451">
                  <c:v>76.8</c:v>
                </c:pt>
                <c:pt idx="452">
                  <c:v>77.099999999999994</c:v>
                </c:pt>
                <c:pt idx="453">
                  <c:v>77.400000000000006</c:v>
                </c:pt>
                <c:pt idx="454">
                  <c:v>75.5</c:v>
                </c:pt>
                <c:pt idx="455">
                  <c:v>75.400000000000006</c:v>
                </c:pt>
                <c:pt idx="456">
                  <c:v>75.8</c:v>
                </c:pt>
                <c:pt idx="457">
                  <c:v>74.900000000000006</c:v>
                </c:pt>
                <c:pt idx="458">
                  <c:v>75.7</c:v>
                </c:pt>
                <c:pt idx="459">
                  <c:v>76.3</c:v>
                </c:pt>
                <c:pt idx="460">
                  <c:v>76</c:v>
                </c:pt>
                <c:pt idx="461">
                  <c:v>75.400000000000006</c:v>
                </c:pt>
                <c:pt idx="462">
                  <c:v>75.400000000000006</c:v>
                </c:pt>
                <c:pt idx="463">
                  <c:v>76.7</c:v>
                </c:pt>
                <c:pt idx="464">
                  <c:v>75.7</c:v>
                </c:pt>
                <c:pt idx="465">
                  <c:v>75.900000000000006</c:v>
                </c:pt>
                <c:pt idx="466">
                  <c:v>75.400000000000006</c:v>
                </c:pt>
                <c:pt idx="467">
                  <c:v>75.3</c:v>
                </c:pt>
                <c:pt idx="468">
                  <c:v>76.400000000000006</c:v>
                </c:pt>
                <c:pt idx="469">
                  <c:v>77.599999999999994</c:v>
                </c:pt>
                <c:pt idx="470">
                  <c:v>77.5</c:v>
                </c:pt>
                <c:pt idx="471">
                  <c:v>77.2</c:v>
                </c:pt>
                <c:pt idx="472">
                  <c:v>77</c:v>
                </c:pt>
                <c:pt idx="473">
                  <c:v>76.099999999999994</c:v>
                </c:pt>
                <c:pt idx="474">
                  <c:v>76.2</c:v>
                </c:pt>
                <c:pt idx="475">
                  <c:v>76.400000000000006</c:v>
                </c:pt>
                <c:pt idx="476">
                  <c:v>75.099999999999994</c:v>
                </c:pt>
                <c:pt idx="477">
                  <c:v>74.400000000000006</c:v>
                </c:pt>
                <c:pt idx="478">
                  <c:v>72.900000000000006</c:v>
                </c:pt>
                <c:pt idx="479">
                  <c:v>72.7</c:v>
                </c:pt>
                <c:pt idx="480">
                  <c:v>72.2</c:v>
                </c:pt>
                <c:pt idx="481">
                  <c:v>72.599999999999994</c:v>
                </c:pt>
                <c:pt idx="482">
                  <c:v>72.5</c:v>
                </c:pt>
                <c:pt idx="483">
                  <c:v>72</c:v>
                </c:pt>
                <c:pt idx="484">
                  <c:v>71.900000000000006</c:v>
                </c:pt>
                <c:pt idx="485">
                  <c:v>71.5</c:v>
                </c:pt>
                <c:pt idx="486">
                  <c:v>71</c:v>
                </c:pt>
                <c:pt idx="487">
                  <c:v>71.2</c:v>
                </c:pt>
                <c:pt idx="488">
                  <c:v>70.7</c:v>
                </c:pt>
                <c:pt idx="489">
                  <c:v>71</c:v>
                </c:pt>
                <c:pt idx="490">
                  <c:v>70</c:v>
                </c:pt>
                <c:pt idx="491">
                  <c:v>70.099999999999994</c:v>
                </c:pt>
                <c:pt idx="492">
                  <c:v>71.900000000000006</c:v>
                </c:pt>
                <c:pt idx="493">
                  <c:v>73</c:v>
                </c:pt>
                <c:pt idx="494">
                  <c:v>73.400000000000006</c:v>
                </c:pt>
                <c:pt idx="495">
                  <c:v>73.400000000000006</c:v>
                </c:pt>
                <c:pt idx="496">
                  <c:v>73</c:v>
                </c:pt>
                <c:pt idx="497">
                  <c:v>72.900000000000006</c:v>
                </c:pt>
                <c:pt idx="498">
                  <c:v>73.900000000000006</c:v>
                </c:pt>
                <c:pt idx="499">
                  <c:v>74.3</c:v>
                </c:pt>
                <c:pt idx="500">
                  <c:v>73</c:v>
                </c:pt>
                <c:pt idx="501">
                  <c:v>73</c:v>
                </c:pt>
                <c:pt idx="502">
                  <c:v>73.3</c:v>
                </c:pt>
                <c:pt idx="503">
                  <c:v>73.400000000000006</c:v>
                </c:pt>
                <c:pt idx="504">
                  <c:v>73.5</c:v>
                </c:pt>
                <c:pt idx="505">
                  <c:v>73.2</c:v>
                </c:pt>
                <c:pt idx="506">
                  <c:v>73.3</c:v>
                </c:pt>
                <c:pt idx="507">
                  <c:v>73.8</c:v>
                </c:pt>
                <c:pt idx="508">
                  <c:v>74</c:v>
                </c:pt>
                <c:pt idx="509">
                  <c:v>74.099999999999994</c:v>
                </c:pt>
                <c:pt idx="510">
                  <c:v>74.400000000000006</c:v>
                </c:pt>
                <c:pt idx="511">
                  <c:v>75.3</c:v>
                </c:pt>
                <c:pt idx="512">
                  <c:v>75.400000000000006</c:v>
                </c:pt>
                <c:pt idx="513">
                  <c:v>75.2</c:v>
                </c:pt>
                <c:pt idx="514">
                  <c:v>75.5</c:v>
                </c:pt>
                <c:pt idx="515">
                  <c:v>75.5</c:v>
                </c:pt>
                <c:pt idx="516">
                  <c:v>76.400000000000006</c:v>
                </c:pt>
                <c:pt idx="517">
                  <c:v>78</c:v>
                </c:pt>
                <c:pt idx="518">
                  <c:v>78.099999999999994</c:v>
                </c:pt>
                <c:pt idx="519">
                  <c:v>79</c:v>
                </c:pt>
                <c:pt idx="520">
                  <c:v>78.400000000000006</c:v>
                </c:pt>
                <c:pt idx="521">
                  <c:v>79.400000000000006</c:v>
                </c:pt>
                <c:pt idx="522">
                  <c:v>80</c:v>
                </c:pt>
                <c:pt idx="523">
                  <c:v>80.5</c:v>
                </c:pt>
                <c:pt idx="524">
                  <c:v>80.099999999999994</c:v>
                </c:pt>
                <c:pt idx="525">
                  <c:v>78.7</c:v>
                </c:pt>
                <c:pt idx="526">
                  <c:v>79.099999999999994</c:v>
                </c:pt>
                <c:pt idx="527">
                  <c:v>79.400000000000006</c:v>
                </c:pt>
                <c:pt idx="528">
                  <c:v>79.5</c:v>
                </c:pt>
                <c:pt idx="529">
                  <c:v>78.5</c:v>
                </c:pt>
                <c:pt idx="530">
                  <c:v>79</c:v>
                </c:pt>
                <c:pt idx="531">
                  <c:v>79.099999999999994</c:v>
                </c:pt>
                <c:pt idx="532">
                  <c:v>78.7</c:v>
                </c:pt>
                <c:pt idx="533">
                  <c:v>78.599999999999994</c:v>
                </c:pt>
                <c:pt idx="534">
                  <c:v>78.2</c:v>
                </c:pt>
                <c:pt idx="535">
                  <c:v>77.5</c:v>
                </c:pt>
                <c:pt idx="536">
                  <c:v>78.099999999999994</c:v>
                </c:pt>
                <c:pt idx="537">
                  <c:v>78.900000000000006</c:v>
                </c:pt>
                <c:pt idx="538">
                  <c:v>78.7</c:v>
                </c:pt>
                <c:pt idx="539">
                  <c:v>79</c:v>
                </c:pt>
                <c:pt idx="540">
                  <c:v>80</c:v>
                </c:pt>
                <c:pt idx="541">
                  <c:v>79.3</c:v>
                </c:pt>
                <c:pt idx="542">
                  <c:v>77.599999999999994</c:v>
                </c:pt>
                <c:pt idx="543">
                  <c:v>76.7</c:v>
                </c:pt>
                <c:pt idx="544">
                  <c:v>77</c:v>
                </c:pt>
                <c:pt idx="545">
                  <c:v>76</c:v>
                </c:pt>
                <c:pt idx="546">
                  <c:v>76.599999999999994</c:v>
                </c:pt>
                <c:pt idx="547">
                  <c:v>77</c:v>
                </c:pt>
                <c:pt idx="548">
                  <c:v>77.5</c:v>
                </c:pt>
                <c:pt idx="549">
                  <c:v>77.3</c:v>
                </c:pt>
                <c:pt idx="550">
                  <c:v>76.7</c:v>
                </c:pt>
                <c:pt idx="551">
                  <c:v>76.7</c:v>
                </c:pt>
                <c:pt idx="552">
                  <c:v>76.5</c:v>
                </c:pt>
                <c:pt idx="553">
                  <c:v>76.099999999999994</c:v>
                </c:pt>
                <c:pt idx="554">
                  <c:v>76.2</c:v>
                </c:pt>
                <c:pt idx="555">
                  <c:v>76</c:v>
                </c:pt>
                <c:pt idx="556">
                  <c:v>75</c:v>
                </c:pt>
                <c:pt idx="557">
                  <c:v>75</c:v>
                </c:pt>
                <c:pt idx="558">
                  <c:v>75.8</c:v>
                </c:pt>
                <c:pt idx="559">
                  <c:v>76.3</c:v>
                </c:pt>
                <c:pt idx="560">
                  <c:v>75.2</c:v>
                </c:pt>
                <c:pt idx="561">
                  <c:v>76.5</c:v>
                </c:pt>
                <c:pt idx="562">
                  <c:v>76.400000000000006</c:v>
                </c:pt>
                <c:pt idx="563">
                  <c:v>77</c:v>
                </c:pt>
                <c:pt idx="564">
                  <c:v>76.7</c:v>
                </c:pt>
                <c:pt idx="565">
                  <c:v>79</c:v>
                </c:pt>
                <c:pt idx="566">
                  <c:v>75.2</c:v>
                </c:pt>
                <c:pt idx="567">
                  <c:v>77</c:v>
                </c:pt>
                <c:pt idx="568">
                  <c:v>78.099999999999994</c:v>
                </c:pt>
                <c:pt idx="569">
                  <c:v>79.900000000000006</c:v>
                </c:pt>
                <c:pt idx="570">
                  <c:v>77</c:v>
                </c:pt>
                <c:pt idx="571">
                  <c:v>77.599999999999994</c:v>
                </c:pt>
                <c:pt idx="572">
                  <c:v>77</c:v>
                </c:pt>
                <c:pt idx="573">
                  <c:v>76.5</c:v>
                </c:pt>
                <c:pt idx="574">
                  <c:v>77</c:v>
                </c:pt>
                <c:pt idx="575">
                  <c:v>76.400000000000006</c:v>
                </c:pt>
                <c:pt idx="576">
                  <c:v>76.099999999999994</c:v>
                </c:pt>
                <c:pt idx="577">
                  <c:v>75.599999999999994</c:v>
                </c:pt>
                <c:pt idx="578">
                  <c:v>75.8</c:v>
                </c:pt>
                <c:pt idx="579">
                  <c:v>73.900000000000006</c:v>
                </c:pt>
                <c:pt idx="580">
                  <c:v>74.400000000000006</c:v>
                </c:pt>
                <c:pt idx="581">
                  <c:v>74.599999999999994</c:v>
                </c:pt>
                <c:pt idx="582">
                  <c:v>75</c:v>
                </c:pt>
                <c:pt idx="583">
                  <c:v>75.900000000000006</c:v>
                </c:pt>
                <c:pt idx="584">
                  <c:v>74.7</c:v>
                </c:pt>
                <c:pt idx="585">
                  <c:v>76.8</c:v>
                </c:pt>
                <c:pt idx="586">
                  <c:v>75.400000000000006</c:v>
                </c:pt>
                <c:pt idx="587">
                  <c:v>76</c:v>
                </c:pt>
                <c:pt idx="588">
                  <c:v>77.400000000000006</c:v>
                </c:pt>
                <c:pt idx="589">
                  <c:v>77.5</c:v>
                </c:pt>
                <c:pt idx="590">
                  <c:v>76</c:v>
                </c:pt>
                <c:pt idx="591">
                  <c:v>76.5</c:v>
                </c:pt>
                <c:pt idx="592">
                  <c:v>76.400000000000006</c:v>
                </c:pt>
                <c:pt idx="593">
                  <c:v>77.2</c:v>
                </c:pt>
                <c:pt idx="594">
                  <c:v>77.900000000000006</c:v>
                </c:pt>
                <c:pt idx="595">
                  <c:v>78</c:v>
                </c:pt>
                <c:pt idx="596">
                  <c:v>77.900000000000006</c:v>
                </c:pt>
                <c:pt idx="597">
                  <c:v>77.5</c:v>
                </c:pt>
                <c:pt idx="598">
                  <c:v>77.400000000000006</c:v>
                </c:pt>
                <c:pt idx="599">
                  <c:v>77.3</c:v>
                </c:pt>
                <c:pt idx="600">
                  <c:v>77.2</c:v>
                </c:pt>
                <c:pt idx="601">
                  <c:v>76.900000000000006</c:v>
                </c:pt>
                <c:pt idx="602">
                  <c:v>76.8</c:v>
                </c:pt>
                <c:pt idx="603">
                  <c:v>77</c:v>
                </c:pt>
                <c:pt idx="604">
                  <c:v>77.2</c:v>
                </c:pt>
                <c:pt idx="605">
                  <c:v>77.599999999999994</c:v>
                </c:pt>
                <c:pt idx="606">
                  <c:v>78</c:v>
                </c:pt>
                <c:pt idx="607">
                  <c:v>78</c:v>
                </c:pt>
                <c:pt idx="608">
                  <c:v>78</c:v>
                </c:pt>
                <c:pt idx="609">
                  <c:v>78.5</c:v>
                </c:pt>
                <c:pt idx="610">
                  <c:v>78.900000000000006</c:v>
                </c:pt>
                <c:pt idx="611">
                  <c:v>78.099999999999994</c:v>
                </c:pt>
                <c:pt idx="612">
                  <c:v>77.900000000000006</c:v>
                </c:pt>
                <c:pt idx="613">
                  <c:v>78</c:v>
                </c:pt>
                <c:pt idx="614">
                  <c:v>78.8</c:v>
                </c:pt>
                <c:pt idx="615">
                  <c:v>78.900000000000006</c:v>
                </c:pt>
                <c:pt idx="616">
                  <c:v>79.7</c:v>
                </c:pt>
                <c:pt idx="617">
                  <c:v>79.599999999999994</c:v>
                </c:pt>
                <c:pt idx="618">
                  <c:v>77.5</c:v>
                </c:pt>
                <c:pt idx="619">
                  <c:v>78</c:v>
                </c:pt>
                <c:pt idx="620">
                  <c:v>78.099999999999994</c:v>
                </c:pt>
                <c:pt idx="621">
                  <c:v>78.2</c:v>
                </c:pt>
                <c:pt idx="622">
                  <c:v>77.8</c:v>
                </c:pt>
                <c:pt idx="623">
                  <c:v>77.7</c:v>
                </c:pt>
                <c:pt idx="624">
                  <c:v>78.5</c:v>
                </c:pt>
                <c:pt idx="625">
                  <c:v>78.2</c:v>
                </c:pt>
                <c:pt idx="626">
                  <c:v>77</c:v>
                </c:pt>
                <c:pt idx="627">
                  <c:v>76.400000000000006</c:v>
                </c:pt>
                <c:pt idx="628">
                  <c:v>76.900000000000006</c:v>
                </c:pt>
                <c:pt idx="629">
                  <c:v>75.7</c:v>
                </c:pt>
                <c:pt idx="630">
                  <c:v>75</c:v>
                </c:pt>
                <c:pt idx="631">
                  <c:v>74.099999999999994</c:v>
                </c:pt>
                <c:pt idx="632">
                  <c:v>73.400000000000006</c:v>
                </c:pt>
                <c:pt idx="633">
                  <c:v>73.099999999999994</c:v>
                </c:pt>
                <c:pt idx="634">
                  <c:v>75</c:v>
                </c:pt>
                <c:pt idx="635">
                  <c:v>75.8</c:v>
                </c:pt>
                <c:pt idx="636">
                  <c:v>75.2</c:v>
                </c:pt>
                <c:pt idx="637">
                  <c:v>74.900000000000006</c:v>
                </c:pt>
                <c:pt idx="638">
                  <c:v>73.7</c:v>
                </c:pt>
                <c:pt idx="639">
                  <c:v>73.099999999999994</c:v>
                </c:pt>
                <c:pt idx="640">
                  <c:v>73</c:v>
                </c:pt>
                <c:pt idx="641">
                  <c:v>72.900000000000006</c:v>
                </c:pt>
                <c:pt idx="642">
                  <c:v>73.8</c:v>
                </c:pt>
                <c:pt idx="643">
                  <c:v>73.2</c:v>
                </c:pt>
                <c:pt idx="644">
                  <c:v>73.3</c:v>
                </c:pt>
                <c:pt idx="645">
                  <c:v>72.900000000000006</c:v>
                </c:pt>
                <c:pt idx="646">
                  <c:v>72.2</c:v>
                </c:pt>
                <c:pt idx="647">
                  <c:v>72.8</c:v>
                </c:pt>
                <c:pt idx="648">
                  <c:v>72.400000000000006</c:v>
                </c:pt>
                <c:pt idx="649">
                  <c:v>73</c:v>
                </c:pt>
                <c:pt idx="650">
                  <c:v>72</c:v>
                </c:pt>
                <c:pt idx="651">
                  <c:v>74.5</c:v>
                </c:pt>
                <c:pt idx="652">
                  <c:v>75.099999999999994</c:v>
                </c:pt>
                <c:pt idx="653">
                  <c:v>76.400000000000006</c:v>
                </c:pt>
                <c:pt idx="654">
                  <c:v>76.599999999999994</c:v>
                </c:pt>
                <c:pt idx="655">
                  <c:v>78</c:v>
                </c:pt>
                <c:pt idx="656">
                  <c:v>78.5</c:v>
                </c:pt>
                <c:pt idx="657">
                  <c:v>78.5</c:v>
                </c:pt>
                <c:pt idx="658">
                  <c:v>78.900000000000006</c:v>
                </c:pt>
                <c:pt idx="659">
                  <c:v>79</c:v>
                </c:pt>
                <c:pt idx="660">
                  <c:v>79.599999999999994</c:v>
                </c:pt>
                <c:pt idx="661">
                  <c:v>78.900000000000006</c:v>
                </c:pt>
                <c:pt idx="662">
                  <c:v>78.900000000000006</c:v>
                </c:pt>
                <c:pt idx="663">
                  <c:v>77.099999999999994</c:v>
                </c:pt>
                <c:pt idx="664">
                  <c:v>79</c:v>
                </c:pt>
                <c:pt idx="665">
                  <c:v>78.599999999999994</c:v>
                </c:pt>
                <c:pt idx="666">
                  <c:v>83.9</c:v>
                </c:pt>
                <c:pt idx="667">
                  <c:v>84</c:v>
                </c:pt>
                <c:pt idx="668">
                  <c:v>83.1</c:v>
                </c:pt>
                <c:pt idx="669">
                  <c:v>82.5</c:v>
                </c:pt>
                <c:pt idx="670">
                  <c:v>82</c:v>
                </c:pt>
                <c:pt idx="671">
                  <c:v>80.400000000000006</c:v>
                </c:pt>
                <c:pt idx="672">
                  <c:v>80.3</c:v>
                </c:pt>
                <c:pt idx="673">
                  <c:v>79.3</c:v>
                </c:pt>
                <c:pt idx="674">
                  <c:v>80.5</c:v>
                </c:pt>
                <c:pt idx="675">
                  <c:v>79.7</c:v>
                </c:pt>
                <c:pt idx="676">
                  <c:v>81</c:v>
                </c:pt>
                <c:pt idx="677">
                  <c:v>80.099999999999994</c:v>
                </c:pt>
                <c:pt idx="678">
                  <c:v>81.599999999999994</c:v>
                </c:pt>
                <c:pt idx="679">
                  <c:v>80</c:v>
                </c:pt>
                <c:pt idx="680">
                  <c:v>81.5</c:v>
                </c:pt>
                <c:pt idx="681">
                  <c:v>81.400000000000006</c:v>
                </c:pt>
                <c:pt idx="682">
                  <c:v>79.400000000000006</c:v>
                </c:pt>
                <c:pt idx="683">
                  <c:v>78.2</c:v>
                </c:pt>
                <c:pt idx="684">
                  <c:v>80</c:v>
                </c:pt>
                <c:pt idx="685">
                  <c:v>81</c:v>
                </c:pt>
                <c:pt idx="686">
                  <c:v>81.900000000000006</c:v>
                </c:pt>
                <c:pt idx="687">
                  <c:v>81.400000000000006</c:v>
                </c:pt>
                <c:pt idx="688">
                  <c:v>76.5</c:v>
                </c:pt>
                <c:pt idx="689">
                  <c:v>75.599999999999994</c:v>
                </c:pt>
                <c:pt idx="690">
                  <c:v>78.599999999999994</c:v>
                </c:pt>
                <c:pt idx="691">
                  <c:v>77.7</c:v>
                </c:pt>
                <c:pt idx="692">
                  <c:v>76.900000000000006</c:v>
                </c:pt>
                <c:pt idx="693">
                  <c:v>76.3</c:v>
                </c:pt>
                <c:pt idx="694">
                  <c:v>76.8</c:v>
                </c:pt>
                <c:pt idx="695">
                  <c:v>79.2</c:v>
                </c:pt>
                <c:pt idx="696">
                  <c:v>79.599999999999994</c:v>
                </c:pt>
                <c:pt idx="697">
                  <c:v>76.8</c:v>
                </c:pt>
                <c:pt idx="698">
                  <c:v>78.7</c:v>
                </c:pt>
                <c:pt idx="699">
                  <c:v>80.099999999999994</c:v>
                </c:pt>
                <c:pt idx="700">
                  <c:v>81.5</c:v>
                </c:pt>
                <c:pt idx="701">
                  <c:v>81.7</c:v>
                </c:pt>
                <c:pt idx="702">
                  <c:v>81.8</c:v>
                </c:pt>
                <c:pt idx="703">
                  <c:v>79</c:v>
                </c:pt>
                <c:pt idx="704">
                  <c:v>86.1</c:v>
                </c:pt>
                <c:pt idx="705">
                  <c:v>86.3</c:v>
                </c:pt>
                <c:pt idx="706">
                  <c:v>86.5</c:v>
                </c:pt>
                <c:pt idx="707">
                  <c:v>89.2</c:v>
                </c:pt>
                <c:pt idx="708">
                  <c:v>89.9</c:v>
                </c:pt>
                <c:pt idx="709">
                  <c:v>87.3</c:v>
                </c:pt>
                <c:pt idx="710">
                  <c:v>87.4</c:v>
                </c:pt>
                <c:pt idx="711">
                  <c:v>89.5</c:v>
                </c:pt>
                <c:pt idx="712">
                  <c:v>88.2</c:v>
                </c:pt>
                <c:pt idx="713">
                  <c:v>79.8</c:v>
                </c:pt>
                <c:pt idx="714">
                  <c:v>74.5</c:v>
                </c:pt>
                <c:pt idx="715">
                  <c:v>72</c:v>
                </c:pt>
                <c:pt idx="716">
                  <c:v>72.400000000000006</c:v>
                </c:pt>
                <c:pt idx="717">
                  <c:v>72.900000000000006</c:v>
                </c:pt>
                <c:pt idx="718">
                  <c:v>73.3</c:v>
                </c:pt>
                <c:pt idx="719">
                  <c:v>73.099999999999994</c:v>
                </c:pt>
                <c:pt idx="720">
                  <c:v>73</c:v>
                </c:pt>
                <c:pt idx="721">
                  <c:v>72.7</c:v>
                </c:pt>
                <c:pt idx="722">
                  <c:v>72.599999999999994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65-4F94-B7C2-3EFD208B301B}"/>
            </c:ext>
          </c:extLst>
        </c:ser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'Price volume'!$O$3:$O$725</c:f>
              <c:numCache>
                <c:formatCode>m/d/yyyy</c:formatCode>
                <c:ptCount val="723"/>
                <c:pt idx="0">
                  <c:v>45307</c:v>
                </c:pt>
                <c:pt idx="1">
                  <c:v>45302</c:v>
                </c:pt>
                <c:pt idx="2">
                  <c:v>45301</c:v>
                </c:pt>
                <c:pt idx="3">
                  <c:v>45300</c:v>
                </c:pt>
                <c:pt idx="4">
                  <c:v>45299</c:v>
                </c:pt>
                <c:pt idx="5">
                  <c:v>45296</c:v>
                </c:pt>
                <c:pt idx="6">
                  <c:v>45295</c:v>
                </c:pt>
                <c:pt idx="7">
                  <c:v>45294</c:v>
                </c:pt>
                <c:pt idx="8">
                  <c:v>45293</c:v>
                </c:pt>
                <c:pt idx="9">
                  <c:v>45289</c:v>
                </c:pt>
                <c:pt idx="10">
                  <c:v>45288</c:v>
                </c:pt>
                <c:pt idx="11">
                  <c:v>45287</c:v>
                </c:pt>
                <c:pt idx="12">
                  <c:v>45282</c:v>
                </c:pt>
                <c:pt idx="13">
                  <c:v>45281</c:v>
                </c:pt>
                <c:pt idx="14">
                  <c:v>45280</c:v>
                </c:pt>
                <c:pt idx="15">
                  <c:v>45279</c:v>
                </c:pt>
                <c:pt idx="16">
                  <c:v>45278</c:v>
                </c:pt>
                <c:pt idx="17">
                  <c:v>45275</c:v>
                </c:pt>
                <c:pt idx="18">
                  <c:v>45274</c:v>
                </c:pt>
                <c:pt idx="19">
                  <c:v>45274</c:v>
                </c:pt>
                <c:pt idx="20">
                  <c:v>45273</c:v>
                </c:pt>
                <c:pt idx="21">
                  <c:v>45272</c:v>
                </c:pt>
                <c:pt idx="22">
                  <c:v>45271</c:v>
                </c:pt>
                <c:pt idx="23">
                  <c:v>45268</c:v>
                </c:pt>
                <c:pt idx="24">
                  <c:v>45267</c:v>
                </c:pt>
                <c:pt idx="25">
                  <c:v>45266</c:v>
                </c:pt>
                <c:pt idx="26">
                  <c:v>45265</c:v>
                </c:pt>
                <c:pt idx="27">
                  <c:v>45264</c:v>
                </c:pt>
                <c:pt idx="28">
                  <c:v>45261</c:v>
                </c:pt>
                <c:pt idx="29">
                  <c:v>45260</c:v>
                </c:pt>
                <c:pt idx="30">
                  <c:v>45259</c:v>
                </c:pt>
                <c:pt idx="31">
                  <c:v>45258</c:v>
                </c:pt>
                <c:pt idx="32">
                  <c:v>45257</c:v>
                </c:pt>
                <c:pt idx="33">
                  <c:v>45254</c:v>
                </c:pt>
                <c:pt idx="34">
                  <c:v>45253</c:v>
                </c:pt>
                <c:pt idx="35">
                  <c:v>45252</c:v>
                </c:pt>
                <c:pt idx="36">
                  <c:v>45251</c:v>
                </c:pt>
                <c:pt idx="37">
                  <c:v>45250</c:v>
                </c:pt>
                <c:pt idx="38">
                  <c:v>45247</c:v>
                </c:pt>
                <c:pt idx="39">
                  <c:v>45246</c:v>
                </c:pt>
                <c:pt idx="40">
                  <c:v>45245</c:v>
                </c:pt>
                <c:pt idx="41">
                  <c:v>45244</c:v>
                </c:pt>
                <c:pt idx="42">
                  <c:v>45243</c:v>
                </c:pt>
                <c:pt idx="43">
                  <c:v>45240</c:v>
                </c:pt>
                <c:pt idx="44">
                  <c:v>45239</c:v>
                </c:pt>
                <c:pt idx="45">
                  <c:v>45238</c:v>
                </c:pt>
                <c:pt idx="46">
                  <c:v>45237</c:v>
                </c:pt>
                <c:pt idx="47">
                  <c:v>45236</c:v>
                </c:pt>
                <c:pt idx="48">
                  <c:v>45233</c:v>
                </c:pt>
                <c:pt idx="49">
                  <c:v>45232</c:v>
                </c:pt>
                <c:pt idx="50">
                  <c:v>45231</c:v>
                </c:pt>
                <c:pt idx="51">
                  <c:v>45230</c:v>
                </c:pt>
                <c:pt idx="52">
                  <c:v>45229</c:v>
                </c:pt>
                <c:pt idx="53">
                  <c:v>45226</c:v>
                </c:pt>
                <c:pt idx="54">
                  <c:v>45225</c:v>
                </c:pt>
                <c:pt idx="55">
                  <c:v>45224</c:v>
                </c:pt>
                <c:pt idx="56">
                  <c:v>45223</c:v>
                </c:pt>
                <c:pt idx="57">
                  <c:v>45222</c:v>
                </c:pt>
                <c:pt idx="58">
                  <c:v>45219</c:v>
                </c:pt>
                <c:pt idx="59">
                  <c:v>45218</c:v>
                </c:pt>
                <c:pt idx="60">
                  <c:v>45217</c:v>
                </c:pt>
                <c:pt idx="61">
                  <c:v>45216</c:v>
                </c:pt>
                <c:pt idx="62">
                  <c:v>45215</c:v>
                </c:pt>
                <c:pt idx="63">
                  <c:v>45212</c:v>
                </c:pt>
                <c:pt idx="64">
                  <c:v>45211</c:v>
                </c:pt>
                <c:pt idx="65">
                  <c:v>45210</c:v>
                </c:pt>
                <c:pt idx="66">
                  <c:v>45209</c:v>
                </c:pt>
                <c:pt idx="67">
                  <c:v>45208</c:v>
                </c:pt>
                <c:pt idx="68">
                  <c:v>45205</c:v>
                </c:pt>
                <c:pt idx="69">
                  <c:v>45204</c:v>
                </c:pt>
                <c:pt idx="70">
                  <c:v>45203</c:v>
                </c:pt>
                <c:pt idx="71">
                  <c:v>45202</c:v>
                </c:pt>
                <c:pt idx="72">
                  <c:v>45201</c:v>
                </c:pt>
                <c:pt idx="73">
                  <c:v>45196</c:v>
                </c:pt>
                <c:pt idx="74">
                  <c:v>45195</c:v>
                </c:pt>
                <c:pt idx="75">
                  <c:v>45194</c:v>
                </c:pt>
                <c:pt idx="76">
                  <c:v>45191</c:v>
                </c:pt>
                <c:pt idx="77">
                  <c:v>45190</c:v>
                </c:pt>
                <c:pt idx="78">
                  <c:v>45189</c:v>
                </c:pt>
                <c:pt idx="79">
                  <c:v>45188</c:v>
                </c:pt>
                <c:pt idx="80">
                  <c:v>45187</c:v>
                </c:pt>
                <c:pt idx="81">
                  <c:v>45184</c:v>
                </c:pt>
                <c:pt idx="82">
                  <c:v>45183</c:v>
                </c:pt>
                <c:pt idx="83">
                  <c:v>45182</c:v>
                </c:pt>
                <c:pt idx="84">
                  <c:v>45181</c:v>
                </c:pt>
                <c:pt idx="85">
                  <c:v>45180</c:v>
                </c:pt>
                <c:pt idx="86">
                  <c:v>45177</c:v>
                </c:pt>
                <c:pt idx="87">
                  <c:v>45176</c:v>
                </c:pt>
                <c:pt idx="88">
                  <c:v>45175</c:v>
                </c:pt>
                <c:pt idx="89">
                  <c:v>45174</c:v>
                </c:pt>
                <c:pt idx="90">
                  <c:v>45173</c:v>
                </c:pt>
                <c:pt idx="91">
                  <c:v>45170</c:v>
                </c:pt>
                <c:pt idx="92">
                  <c:v>45169</c:v>
                </c:pt>
                <c:pt idx="93">
                  <c:v>45167</c:v>
                </c:pt>
                <c:pt idx="94">
                  <c:v>45166</c:v>
                </c:pt>
                <c:pt idx="95">
                  <c:v>45163</c:v>
                </c:pt>
                <c:pt idx="96">
                  <c:v>45162</c:v>
                </c:pt>
                <c:pt idx="97">
                  <c:v>45161</c:v>
                </c:pt>
                <c:pt idx="98">
                  <c:v>45160</c:v>
                </c:pt>
                <c:pt idx="99">
                  <c:v>45159</c:v>
                </c:pt>
                <c:pt idx="100">
                  <c:v>45156</c:v>
                </c:pt>
                <c:pt idx="101">
                  <c:v>45155</c:v>
                </c:pt>
                <c:pt idx="102">
                  <c:v>45154</c:v>
                </c:pt>
                <c:pt idx="103">
                  <c:v>45153</c:v>
                </c:pt>
                <c:pt idx="104">
                  <c:v>45152</c:v>
                </c:pt>
                <c:pt idx="105">
                  <c:v>45149</c:v>
                </c:pt>
                <c:pt idx="106">
                  <c:v>45148</c:v>
                </c:pt>
                <c:pt idx="107">
                  <c:v>45147</c:v>
                </c:pt>
                <c:pt idx="108">
                  <c:v>45146</c:v>
                </c:pt>
                <c:pt idx="109">
                  <c:v>45145</c:v>
                </c:pt>
                <c:pt idx="110">
                  <c:v>45142</c:v>
                </c:pt>
                <c:pt idx="111">
                  <c:v>45141</c:v>
                </c:pt>
                <c:pt idx="112">
                  <c:v>45140</c:v>
                </c:pt>
                <c:pt idx="113">
                  <c:v>45138</c:v>
                </c:pt>
                <c:pt idx="114">
                  <c:v>45135</c:v>
                </c:pt>
                <c:pt idx="115">
                  <c:v>45134</c:v>
                </c:pt>
                <c:pt idx="116">
                  <c:v>45133</c:v>
                </c:pt>
                <c:pt idx="117">
                  <c:v>45132</c:v>
                </c:pt>
                <c:pt idx="118">
                  <c:v>45131</c:v>
                </c:pt>
                <c:pt idx="119">
                  <c:v>45128</c:v>
                </c:pt>
                <c:pt idx="120">
                  <c:v>45127</c:v>
                </c:pt>
                <c:pt idx="121">
                  <c:v>45126</c:v>
                </c:pt>
                <c:pt idx="122">
                  <c:v>45125</c:v>
                </c:pt>
                <c:pt idx="123">
                  <c:v>45124</c:v>
                </c:pt>
                <c:pt idx="124">
                  <c:v>45121</c:v>
                </c:pt>
                <c:pt idx="125">
                  <c:v>45120</c:v>
                </c:pt>
                <c:pt idx="126">
                  <c:v>45119</c:v>
                </c:pt>
                <c:pt idx="127">
                  <c:v>45118</c:v>
                </c:pt>
                <c:pt idx="128">
                  <c:v>45117</c:v>
                </c:pt>
                <c:pt idx="129">
                  <c:v>45114</c:v>
                </c:pt>
                <c:pt idx="130">
                  <c:v>45113</c:v>
                </c:pt>
                <c:pt idx="131">
                  <c:v>45112</c:v>
                </c:pt>
                <c:pt idx="132">
                  <c:v>45111</c:v>
                </c:pt>
                <c:pt idx="133">
                  <c:v>45105</c:v>
                </c:pt>
                <c:pt idx="134">
                  <c:v>45104</c:v>
                </c:pt>
                <c:pt idx="135">
                  <c:v>45103</c:v>
                </c:pt>
                <c:pt idx="136">
                  <c:v>45100</c:v>
                </c:pt>
                <c:pt idx="137">
                  <c:v>45099</c:v>
                </c:pt>
                <c:pt idx="138">
                  <c:v>45098</c:v>
                </c:pt>
                <c:pt idx="139">
                  <c:v>45097</c:v>
                </c:pt>
                <c:pt idx="140">
                  <c:v>45096</c:v>
                </c:pt>
                <c:pt idx="141">
                  <c:v>45093</c:v>
                </c:pt>
                <c:pt idx="142">
                  <c:v>45092</c:v>
                </c:pt>
                <c:pt idx="143">
                  <c:v>45091</c:v>
                </c:pt>
                <c:pt idx="144">
                  <c:v>45090</c:v>
                </c:pt>
                <c:pt idx="145">
                  <c:v>45089</c:v>
                </c:pt>
                <c:pt idx="146">
                  <c:v>45086</c:v>
                </c:pt>
                <c:pt idx="147">
                  <c:v>45085</c:v>
                </c:pt>
                <c:pt idx="148">
                  <c:v>45084</c:v>
                </c:pt>
                <c:pt idx="149">
                  <c:v>45083</c:v>
                </c:pt>
                <c:pt idx="150">
                  <c:v>45082</c:v>
                </c:pt>
                <c:pt idx="151">
                  <c:v>45079</c:v>
                </c:pt>
                <c:pt idx="152">
                  <c:v>45078</c:v>
                </c:pt>
                <c:pt idx="153">
                  <c:v>45077</c:v>
                </c:pt>
                <c:pt idx="154">
                  <c:v>45076</c:v>
                </c:pt>
                <c:pt idx="155">
                  <c:v>45075</c:v>
                </c:pt>
                <c:pt idx="156">
                  <c:v>45072</c:v>
                </c:pt>
                <c:pt idx="157">
                  <c:v>45071</c:v>
                </c:pt>
                <c:pt idx="158">
                  <c:v>45070</c:v>
                </c:pt>
                <c:pt idx="159">
                  <c:v>45069</c:v>
                </c:pt>
                <c:pt idx="160">
                  <c:v>45068</c:v>
                </c:pt>
                <c:pt idx="161">
                  <c:v>45065</c:v>
                </c:pt>
                <c:pt idx="162">
                  <c:v>45064</c:v>
                </c:pt>
                <c:pt idx="163">
                  <c:v>45063</c:v>
                </c:pt>
                <c:pt idx="164">
                  <c:v>45062</c:v>
                </c:pt>
                <c:pt idx="165">
                  <c:v>45061</c:v>
                </c:pt>
                <c:pt idx="166">
                  <c:v>45058</c:v>
                </c:pt>
                <c:pt idx="167">
                  <c:v>45057</c:v>
                </c:pt>
                <c:pt idx="168">
                  <c:v>45056</c:v>
                </c:pt>
                <c:pt idx="169">
                  <c:v>45055</c:v>
                </c:pt>
                <c:pt idx="170">
                  <c:v>45054</c:v>
                </c:pt>
                <c:pt idx="171">
                  <c:v>45050</c:v>
                </c:pt>
                <c:pt idx="172">
                  <c:v>45049</c:v>
                </c:pt>
                <c:pt idx="173">
                  <c:v>45048</c:v>
                </c:pt>
                <c:pt idx="174">
                  <c:v>45044</c:v>
                </c:pt>
                <c:pt idx="175">
                  <c:v>45043</c:v>
                </c:pt>
                <c:pt idx="176">
                  <c:v>45042</c:v>
                </c:pt>
                <c:pt idx="177">
                  <c:v>45041</c:v>
                </c:pt>
                <c:pt idx="178">
                  <c:v>45040</c:v>
                </c:pt>
                <c:pt idx="179">
                  <c:v>45037</c:v>
                </c:pt>
                <c:pt idx="180">
                  <c:v>45036</c:v>
                </c:pt>
                <c:pt idx="181">
                  <c:v>45035</c:v>
                </c:pt>
                <c:pt idx="182">
                  <c:v>45034</c:v>
                </c:pt>
                <c:pt idx="183">
                  <c:v>45033</c:v>
                </c:pt>
                <c:pt idx="184">
                  <c:v>45028</c:v>
                </c:pt>
                <c:pt idx="185">
                  <c:v>45027</c:v>
                </c:pt>
                <c:pt idx="186">
                  <c:v>45026</c:v>
                </c:pt>
                <c:pt idx="187">
                  <c:v>45022</c:v>
                </c:pt>
                <c:pt idx="188">
                  <c:v>45020</c:v>
                </c:pt>
                <c:pt idx="189">
                  <c:v>45019</c:v>
                </c:pt>
                <c:pt idx="190">
                  <c:v>45016</c:v>
                </c:pt>
                <c:pt idx="191">
                  <c:v>45015</c:v>
                </c:pt>
                <c:pt idx="192">
                  <c:v>45014</c:v>
                </c:pt>
                <c:pt idx="193">
                  <c:v>45013</c:v>
                </c:pt>
                <c:pt idx="194">
                  <c:v>45012</c:v>
                </c:pt>
                <c:pt idx="195">
                  <c:v>45009</c:v>
                </c:pt>
                <c:pt idx="196">
                  <c:v>45008</c:v>
                </c:pt>
                <c:pt idx="197">
                  <c:v>45007</c:v>
                </c:pt>
                <c:pt idx="198">
                  <c:v>45006</c:v>
                </c:pt>
                <c:pt idx="199">
                  <c:v>45005</c:v>
                </c:pt>
                <c:pt idx="200">
                  <c:v>45002</c:v>
                </c:pt>
                <c:pt idx="201">
                  <c:v>45001</c:v>
                </c:pt>
                <c:pt idx="202">
                  <c:v>45000</c:v>
                </c:pt>
                <c:pt idx="203">
                  <c:v>44999</c:v>
                </c:pt>
                <c:pt idx="204">
                  <c:v>44998</c:v>
                </c:pt>
                <c:pt idx="205">
                  <c:v>44995</c:v>
                </c:pt>
                <c:pt idx="206">
                  <c:v>44994</c:v>
                </c:pt>
                <c:pt idx="207">
                  <c:v>44993</c:v>
                </c:pt>
                <c:pt idx="208">
                  <c:v>44992</c:v>
                </c:pt>
                <c:pt idx="209">
                  <c:v>44988</c:v>
                </c:pt>
                <c:pt idx="210">
                  <c:v>44987</c:v>
                </c:pt>
                <c:pt idx="211">
                  <c:v>44986</c:v>
                </c:pt>
                <c:pt idx="212">
                  <c:v>44985</c:v>
                </c:pt>
                <c:pt idx="213">
                  <c:v>44984</c:v>
                </c:pt>
                <c:pt idx="214">
                  <c:v>44981</c:v>
                </c:pt>
                <c:pt idx="215">
                  <c:v>44980</c:v>
                </c:pt>
                <c:pt idx="216">
                  <c:v>44979</c:v>
                </c:pt>
                <c:pt idx="217">
                  <c:v>44978</c:v>
                </c:pt>
                <c:pt idx="218">
                  <c:v>44977</c:v>
                </c:pt>
                <c:pt idx="219">
                  <c:v>44974</c:v>
                </c:pt>
                <c:pt idx="220">
                  <c:v>44973</c:v>
                </c:pt>
                <c:pt idx="221">
                  <c:v>44972</c:v>
                </c:pt>
                <c:pt idx="222">
                  <c:v>44971</c:v>
                </c:pt>
                <c:pt idx="223">
                  <c:v>44970</c:v>
                </c:pt>
                <c:pt idx="224">
                  <c:v>44967</c:v>
                </c:pt>
                <c:pt idx="225">
                  <c:v>44966</c:v>
                </c:pt>
                <c:pt idx="226">
                  <c:v>44965</c:v>
                </c:pt>
                <c:pt idx="227">
                  <c:v>44964</c:v>
                </c:pt>
                <c:pt idx="228">
                  <c:v>44963</c:v>
                </c:pt>
                <c:pt idx="229">
                  <c:v>44960</c:v>
                </c:pt>
                <c:pt idx="230">
                  <c:v>44959</c:v>
                </c:pt>
                <c:pt idx="231">
                  <c:v>44958</c:v>
                </c:pt>
                <c:pt idx="232">
                  <c:v>44957</c:v>
                </c:pt>
                <c:pt idx="233">
                  <c:v>44956</c:v>
                </c:pt>
                <c:pt idx="234">
                  <c:v>44953</c:v>
                </c:pt>
                <c:pt idx="235">
                  <c:v>44952</c:v>
                </c:pt>
                <c:pt idx="236">
                  <c:v>44951</c:v>
                </c:pt>
                <c:pt idx="237">
                  <c:v>44950</c:v>
                </c:pt>
                <c:pt idx="238">
                  <c:v>44949</c:v>
                </c:pt>
                <c:pt idx="239">
                  <c:v>44946</c:v>
                </c:pt>
                <c:pt idx="240">
                  <c:v>44945</c:v>
                </c:pt>
                <c:pt idx="241">
                  <c:v>44944</c:v>
                </c:pt>
                <c:pt idx="242">
                  <c:v>44943</c:v>
                </c:pt>
                <c:pt idx="243">
                  <c:v>44939</c:v>
                </c:pt>
                <c:pt idx="244">
                  <c:v>44938</c:v>
                </c:pt>
                <c:pt idx="245">
                  <c:v>44937</c:v>
                </c:pt>
                <c:pt idx="246">
                  <c:v>44936</c:v>
                </c:pt>
                <c:pt idx="247">
                  <c:v>44935</c:v>
                </c:pt>
                <c:pt idx="248">
                  <c:v>44931</c:v>
                </c:pt>
                <c:pt idx="249">
                  <c:v>44930</c:v>
                </c:pt>
                <c:pt idx="250">
                  <c:v>44929</c:v>
                </c:pt>
                <c:pt idx="251">
                  <c:v>44928</c:v>
                </c:pt>
                <c:pt idx="252">
                  <c:v>44925</c:v>
                </c:pt>
                <c:pt idx="253">
                  <c:v>44924</c:v>
                </c:pt>
                <c:pt idx="254">
                  <c:v>44923</c:v>
                </c:pt>
                <c:pt idx="255">
                  <c:v>44922</c:v>
                </c:pt>
                <c:pt idx="256">
                  <c:v>44918</c:v>
                </c:pt>
                <c:pt idx="257">
                  <c:v>44917</c:v>
                </c:pt>
                <c:pt idx="258">
                  <c:v>44916</c:v>
                </c:pt>
                <c:pt idx="259">
                  <c:v>44915</c:v>
                </c:pt>
                <c:pt idx="260">
                  <c:v>44914</c:v>
                </c:pt>
                <c:pt idx="261">
                  <c:v>44911</c:v>
                </c:pt>
                <c:pt idx="262">
                  <c:v>44910</c:v>
                </c:pt>
                <c:pt idx="263">
                  <c:v>44909</c:v>
                </c:pt>
                <c:pt idx="264">
                  <c:v>44908</c:v>
                </c:pt>
                <c:pt idx="265">
                  <c:v>44907</c:v>
                </c:pt>
                <c:pt idx="266">
                  <c:v>44904</c:v>
                </c:pt>
                <c:pt idx="267">
                  <c:v>44903</c:v>
                </c:pt>
                <c:pt idx="268">
                  <c:v>44901</c:v>
                </c:pt>
                <c:pt idx="269">
                  <c:v>44900</c:v>
                </c:pt>
                <c:pt idx="270">
                  <c:v>44897</c:v>
                </c:pt>
                <c:pt idx="271">
                  <c:v>44896</c:v>
                </c:pt>
                <c:pt idx="272">
                  <c:v>44895</c:v>
                </c:pt>
                <c:pt idx="273">
                  <c:v>44894</c:v>
                </c:pt>
                <c:pt idx="274">
                  <c:v>44893</c:v>
                </c:pt>
                <c:pt idx="275">
                  <c:v>44890</c:v>
                </c:pt>
                <c:pt idx="276">
                  <c:v>44889</c:v>
                </c:pt>
                <c:pt idx="277">
                  <c:v>44888</c:v>
                </c:pt>
                <c:pt idx="278">
                  <c:v>44887</c:v>
                </c:pt>
                <c:pt idx="279">
                  <c:v>44886</c:v>
                </c:pt>
                <c:pt idx="280">
                  <c:v>44883</c:v>
                </c:pt>
                <c:pt idx="281">
                  <c:v>44882</c:v>
                </c:pt>
                <c:pt idx="282">
                  <c:v>44881</c:v>
                </c:pt>
                <c:pt idx="283">
                  <c:v>44880</c:v>
                </c:pt>
                <c:pt idx="284">
                  <c:v>44879</c:v>
                </c:pt>
                <c:pt idx="285">
                  <c:v>44876</c:v>
                </c:pt>
                <c:pt idx="286">
                  <c:v>44875</c:v>
                </c:pt>
                <c:pt idx="287">
                  <c:v>44874</c:v>
                </c:pt>
                <c:pt idx="288">
                  <c:v>44873</c:v>
                </c:pt>
                <c:pt idx="289">
                  <c:v>44869</c:v>
                </c:pt>
                <c:pt idx="290">
                  <c:v>44868</c:v>
                </c:pt>
                <c:pt idx="291">
                  <c:v>44867</c:v>
                </c:pt>
                <c:pt idx="292">
                  <c:v>44866</c:v>
                </c:pt>
                <c:pt idx="293">
                  <c:v>44865</c:v>
                </c:pt>
                <c:pt idx="294">
                  <c:v>44862</c:v>
                </c:pt>
                <c:pt idx="295">
                  <c:v>44861</c:v>
                </c:pt>
                <c:pt idx="296">
                  <c:v>44860</c:v>
                </c:pt>
                <c:pt idx="297">
                  <c:v>44859</c:v>
                </c:pt>
                <c:pt idx="298">
                  <c:v>44855</c:v>
                </c:pt>
                <c:pt idx="299">
                  <c:v>44854</c:v>
                </c:pt>
                <c:pt idx="300">
                  <c:v>44853</c:v>
                </c:pt>
                <c:pt idx="301">
                  <c:v>44852</c:v>
                </c:pt>
                <c:pt idx="302">
                  <c:v>44851</c:v>
                </c:pt>
                <c:pt idx="303">
                  <c:v>44848</c:v>
                </c:pt>
                <c:pt idx="304">
                  <c:v>44847</c:v>
                </c:pt>
                <c:pt idx="305">
                  <c:v>44846</c:v>
                </c:pt>
                <c:pt idx="306">
                  <c:v>44845</c:v>
                </c:pt>
                <c:pt idx="307">
                  <c:v>44841</c:v>
                </c:pt>
                <c:pt idx="308">
                  <c:v>44840</c:v>
                </c:pt>
                <c:pt idx="309">
                  <c:v>44839</c:v>
                </c:pt>
                <c:pt idx="310">
                  <c:v>44838</c:v>
                </c:pt>
                <c:pt idx="311">
                  <c:v>44837</c:v>
                </c:pt>
                <c:pt idx="312">
                  <c:v>44834</c:v>
                </c:pt>
                <c:pt idx="313">
                  <c:v>44833</c:v>
                </c:pt>
                <c:pt idx="314">
                  <c:v>44832</c:v>
                </c:pt>
                <c:pt idx="315">
                  <c:v>44831</c:v>
                </c:pt>
                <c:pt idx="316">
                  <c:v>44830</c:v>
                </c:pt>
                <c:pt idx="317">
                  <c:v>44827</c:v>
                </c:pt>
                <c:pt idx="318">
                  <c:v>44826</c:v>
                </c:pt>
                <c:pt idx="319">
                  <c:v>44825</c:v>
                </c:pt>
                <c:pt idx="320">
                  <c:v>44824</c:v>
                </c:pt>
                <c:pt idx="321">
                  <c:v>44823</c:v>
                </c:pt>
                <c:pt idx="322">
                  <c:v>44820</c:v>
                </c:pt>
                <c:pt idx="323">
                  <c:v>44819</c:v>
                </c:pt>
                <c:pt idx="324">
                  <c:v>44818</c:v>
                </c:pt>
                <c:pt idx="325">
                  <c:v>44817</c:v>
                </c:pt>
                <c:pt idx="326">
                  <c:v>44816</c:v>
                </c:pt>
                <c:pt idx="327">
                  <c:v>44813</c:v>
                </c:pt>
                <c:pt idx="328">
                  <c:v>44812</c:v>
                </c:pt>
                <c:pt idx="329">
                  <c:v>44811</c:v>
                </c:pt>
                <c:pt idx="330">
                  <c:v>44810</c:v>
                </c:pt>
                <c:pt idx="331">
                  <c:v>44809</c:v>
                </c:pt>
                <c:pt idx="332">
                  <c:v>44806</c:v>
                </c:pt>
                <c:pt idx="333">
                  <c:v>44805</c:v>
                </c:pt>
                <c:pt idx="334">
                  <c:v>44804</c:v>
                </c:pt>
                <c:pt idx="335">
                  <c:v>44803</c:v>
                </c:pt>
                <c:pt idx="336">
                  <c:v>44802</c:v>
                </c:pt>
                <c:pt idx="337">
                  <c:v>44799</c:v>
                </c:pt>
                <c:pt idx="338">
                  <c:v>44798</c:v>
                </c:pt>
                <c:pt idx="339">
                  <c:v>44797</c:v>
                </c:pt>
                <c:pt idx="340">
                  <c:v>44796</c:v>
                </c:pt>
                <c:pt idx="341">
                  <c:v>44795</c:v>
                </c:pt>
                <c:pt idx="342">
                  <c:v>44792</c:v>
                </c:pt>
                <c:pt idx="343">
                  <c:v>44791</c:v>
                </c:pt>
                <c:pt idx="344">
                  <c:v>44790</c:v>
                </c:pt>
                <c:pt idx="345">
                  <c:v>44789</c:v>
                </c:pt>
                <c:pt idx="346">
                  <c:v>44788</c:v>
                </c:pt>
                <c:pt idx="347">
                  <c:v>44785</c:v>
                </c:pt>
                <c:pt idx="348">
                  <c:v>44783</c:v>
                </c:pt>
                <c:pt idx="349">
                  <c:v>44782</c:v>
                </c:pt>
                <c:pt idx="350">
                  <c:v>44781</c:v>
                </c:pt>
                <c:pt idx="351">
                  <c:v>44778</c:v>
                </c:pt>
                <c:pt idx="352">
                  <c:v>44777</c:v>
                </c:pt>
                <c:pt idx="353">
                  <c:v>44776</c:v>
                </c:pt>
                <c:pt idx="354">
                  <c:v>44775</c:v>
                </c:pt>
                <c:pt idx="355">
                  <c:v>44774</c:v>
                </c:pt>
                <c:pt idx="356">
                  <c:v>44771</c:v>
                </c:pt>
                <c:pt idx="357">
                  <c:v>44770</c:v>
                </c:pt>
                <c:pt idx="358">
                  <c:v>44769</c:v>
                </c:pt>
                <c:pt idx="359">
                  <c:v>44768</c:v>
                </c:pt>
                <c:pt idx="360">
                  <c:v>44767</c:v>
                </c:pt>
                <c:pt idx="361">
                  <c:v>44764</c:v>
                </c:pt>
                <c:pt idx="362">
                  <c:v>44763</c:v>
                </c:pt>
                <c:pt idx="363">
                  <c:v>44762</c:v>
                </c:pt>
                <c:pt idx="364">
                  <c:v>44761</c:v>
                </c:pt>
                <c:pt idx="365">
                  <c:v>44760</c:v>
                </c:pt>
                <c:pt idx="366">
                  <c:v>44757</c:v>
                </c:pt>
                <c:pt idx="367">
                  <c:v>44756</c:v>
                </c:pt>
                <c:pt idx="368">
                  <c:v>44754</c:v>
                </c:pt>
                <c:pt idx="369">
                  <c:v>44753</c:v>
                </c:pt>
                <c:pt idx="370">
                  <c:v>44750</c:v>
                </c:pt>
                <c:pt idx="371">
                  <c:v>44749</c:v>
                </c:pt>
                <c:pt idx="372">
                  <c:v>44748</c:v>
                </c:pt>
                <c:pt idx="373">
                  <c:v>44747</c:v>
                </c:pt>
                <c:pt idx="374">
                  <c:v>44746</c:v>
                </c:pt>
                <c:pt idx="375">
                  <c:v>44743</c:v>
                </c:pt>
                <c:pt idx="376">
                  <c:v>44742</c:v>
                </c:pt>
                <c:pt idx="377">
                  <c:v>44741</c:v>
                </c:pt>
                <c:pt idx="378">
                  <c:v>44740</c:v>
                </c:pt>
                <c:pt idx="379">
                  <c:v>44739</c:v>
                </c:pt>
                <c:pt idx="380">
                  <c:v>44736</c:v>
                </c:pt>
                <c:pt idx="381">
                  <c:v>44735</c:v>
                </c:pt>
                <c:pt idx="382">
                  <c:v>44734</c:v>
                </c:pt>
                <c:pt idx="383">
                  <c:v>44733</c:v>
                </c:pt>
                <c:pt idx="384">
                  <c:v>44732</c:v>
                </c:pt>
                <c:pt idx="385">
                  <c:v>44729</c:v>
                </c:pt>
                <c:pt idx="386">
                  <c:v>44728</c:v>
                </c:pt>
                <c:pt idx="387">
                  <c:v>44727</c:v>
                </c:pt>
                <c:pt idx="388">
                  <c:v>44725</c:v>
                </c:pt>
                <c:pt idx="389">
                  <c:v>44722</c:v>
                </c:pt>
                <c:pt idx="390">
                  <c:v>44721</c:v>
                </c:pt>
                <c:pt idx="391">
                  <c:v>44720</c:v>
                </c:pt>
                <c:pt idx="392">
                  <c:v>44719</c:v>
                </c:pt>
                <c:pt idx="393">
                  <c:v>44718</c:v>
                </c:pt>
                <c:pt idx="394">
                  <c:v>44715</c:v>
                </c:pt>
                <c:pt idx="395">
                  <c:v>44714</c:v>
                </c:pt>
                <c:pt idx="396">
                  <c:v>44713</c:v>
                </c:pt>
                <c:pt idx="397">
                  <c:v>44712</c:v>
                </c:pt>
                <c:pt idx="398">
                  <c:v>44711</c:v>
                </c:pt>
                <c:pt idx="399">
                  <c:v>44708</c:v>
                </c:pt>
                <c:pt idx="400">
                  <c:v>44707</c:v>
                </c:pt>
                <c:pt idx="401">
                  <c:v>44706</c:v>
                </c:pt>
                <c:pt idx="402">
                  <c:v>44705</c:v>
                </c:pt>
                <c:pt idx="403">
                  <c:v>44704</c:v>
                </c:pt>
                <c:pt idx="404">
                  <c:v>44701</c:v>
                </c:pt>
                <c:pt idx="405">
                  <c:v>44700</c:v>
                </c:pt>
                <c:pt idx="406">
                  <c:v>44699</c:v>
                </c:pt>
                <c:pt idx="407">
                  <c:v>44698</c:v>
                </c:pt>
                <c:pt idx="408">
                  <c:v>44694</c:v>
                </c:pt>
                <c:pt idx="409">
                  <c:v>44693</c:v>
                </c:pt>
                <c:pt idx="410">
                  <c:v>44690</c:v>
                </c:pt>
                <c:pt idx="411">
                  <c:v>44687</c:v>
                </c:pt>
                <c:pt idx="412">
                  <c:v>44686</c:v>
                </c:pt>
                <c:pt idx="413">
                  <c:v>44685</c:v>
                </c:pt>
                <c:pt idx="414">
                  <c:v>44680</c:v>
                </c:pt>
                <c:pt idx="415">
                  <c:v>44679</c:v>
                </c:pt>
                <c:pt idx="416">
                  <c:v>44678</c:v>
                </c:pt>
                <c:pt idx="417">
                  <c:v>44677</c:v>
                </c:pt>
                <c:pt idx="418">
                  <c:v>44676</c:v>
                </c:pt>
                <c:pt idx="419">
                  <c:v>44659</c:v>
                </c:pt>
                <c:pt idx="420">
                  <c:v>44658</c:v>
                </c:pt>
                <c:pt idx="421">
                  <c:v>44657</c:v>
                </c:pt>
                <c:pt idx="422">
                  <c:v>44656</c:v>
                </c:pt>
                <c:pt idx="423">
                  <c:v>44655</c:v>
                </c:pt>
                <c:pt idx="424">
                  <c:v>44652</c:v>
                </c:pt>
                <c:pt idx="425">
                  <c:v>44651</c:v>
                </c:pt>
                <c:pt idx="426">
                  <c:v>44650</c:v>
                </c:pt>
                <c:pt idx="427">
                  <c:v>44649</c:v>
                </c:pt>
                <c:pt idx="428">
                  <c:v>44648</c:v>
                </c:pt>
                <c:pt idx="429">
                  <c:v>44645</c:v>
                </c:pt>
                <c:pt idx="430">
                  <c:v>44644</c:v>
                </c:pt>
                <c:pt idx="431">
                  <c:v>44643</c:v>
                </c:pt>
                <c:pt idx="432">
                  <c:v>44642</c:v>
                </c:pt>
                <c:pt idx="433">
                  <c:v>44641</c:v>
                </c:pt>
                <c:pt idx="434">
                  <c:v>44638</c:v>
                </c:pt>
                <c:pt idx="435">
                  <c:v>44636</c:v>
                </c:pt>
                <c:pt idx="436">
                  <c:v>44635</c:v>
                </c:pt>
                <c:pt idx="437">
                  <c:v>44634</c:v>
                </c:pt>
                <c:pt idx="438">
                  <c:v>44631</c:v>
                </c:pt>
                <c:pt idx="439">
                  <c:v>44630</c:v>
                </c:pt>
                <c:pt idx="440">
                  <c:v>44629</c:v>
                </c:pt>
                <c:pt idx="441">
                  <c:v>44628</c:v>
                </c:pt>
                <c:pt idx="442">
                  <c:v>44627</c:v>
                </c:pt>
                <c:pt idx="443">
                  <c:v>44624</c:v>
                </c:pt>
                <c:pt idx="444">
                  <c:v>44623</c:v>
                </c:pt>
                <c:pt idx="445">
                  <c:v>44622</c:v>
                </c:pt>
                <c:pt idx="446">
                  <c:v>44620</c:v>
                </c:pt>
                <c:pt idx="447">
                  <c:v>44617</c:v>
                </c:pt>
                <c:pt idx="448">
                  <c:v>44616</c:v>
                </c:pt>
                <c:pt idx="449">
                  <c:v>44615</c:v>
                </c:pt>
                <c:pt idx="450">
                  <c:v>44614</c:v>
                </c:pt>
                <c:pt idx="451">
                  <c:v>44613</c:v>
                </c:pt>
                <c:pt idx="452">
                  <c:v>44610</c:v>
                </c:pt>
                <c:pt idx="453">
                  <c:v>44609</c:v>
                </c:pt>
                <c:pt idx="454">
                  <c:v>44607</c:v>
                </c:pt>
                <c:pt idx="455">
                  <c:v>44606</c:v>
                </c:pt>
                <c:pt idx="456">
                  <c:v>44603</c:v>
                </c:pt>
                <c:pt idx="457">
                  <c:v>44602</c:v>
                </c:pt>
                <c:pt idx="458">
                  <c:v>44601</c:v>
                </c:pt>
                <c:pt idx="459">
                  <c:v>44600</c:v>
                </c:pt>
                <c:pt idx="460">
                  <c:v>44599</c:v>
                </c:pt>
                <c:pt idx="461">
                  <c:v>44595</c:v>
                </c:pt>
                <c:pt idx="462">
                  <c:v>44594</c:v>
                </c:pt>
                <c:pt idx="463">
                  <c:v>44593</c:v>
                </c:pt>
                <c:pt idx="464">
                  <c:v>44592</c:v>
                </c:pt>
                <c:pt idx="465">
                  <c:v>44589</c:v>
                </c:pt>
                <c:pt idx="466">
                  <c:v>44588</c:v>
                </c:pt>
                <c:pt idx="467">
                  <c:v>44587</c:v>
                </c:pt>
                <c:pt idx="468">
                  <c:v>44586</c:v>
                </c:pt>
                <c:pt idx="469">
                  <c:v>44585</c:v>
                </c:pt>
                <c:pt idx="470">
                  <c:v>44582</c:v>
                </c:pt>
                <c:pt idx="471">
                  <c:v>44581</c:v>
                </c:pt>
                <c:pt idx="472">
                  <c:v>44580</c:v>
                </c:pt>
                <c:pt idx="473">
                  <c:v>44579</c:v>
                </c:pt>
                <c:pt idx="474">
                  <c:v>44574</c:v>
                </c:pt>
                <c:pt idx="475">
                  <c:v>44573</c:v>
                </c:pt>
                <c:pt idx="476">
                  <c:v>44572</c:v>
                </c:pt>
                <c:pt idx="477">
                  <c:v>44571</c:v>
                </c:pt>
                <c:pt idx="478">
                  <c:v>44568</c:v>
                </c:pt>
                <c:pt idx="479">
                  <c:v>44567</c:v>
                </c:pt>
                <c:pt idx="480">
                  <c:v>44566</c:v>
                </c:pt>
                <c:pt idx="481">
                  <c:v>44565</c:v>
                </c:pt>
                <c:pt idx="482">
                  <c:v>44564</c:v>
                </c:pt>
                <c:pt idx="483">
                  <c:v>44561</c:v>
                </c:pt>
                <c:pt idx="484">
                  <c:v>44560</c:v>
                </c:pt>
                <c:pt idx="485">
                  <c:v>44559</c:v>
                </c:pt>
                <c:pt idx="486">
                  <c:v>44558</c:v>
                </c:pt>
                <c:pt idx="487">
                  <c:v>44557</c:v>
                </c:pt>
                <c:pt idx="488">
                  <c:v>44554</c:v>
                </c:pt>
                <c:pt idx="489">
                  <c:v>44553</c:v>
                </c:pt>
                <c:pt idx="490">
                  <c:v>44552</c:v>
                </c:pt>
                <c:pt idx="491">
                  <c:v>44551</c:v>
                </c:pt>
                <c:pt idx="492">
                  <c:v>44550</c:v>
                </c:pt>
                <c:pt idx="493">
                  <c:v>44547</c:v>
                </c:pt>
                <c:pt idx="494">
                  <c:v>44546</c:v>
                </c:pt>
                <c:pt idx="495">
                  <c:v>44545</c:v>
                </c:pt>
                <c:pt idx="496">
                  <c:v>44544</c:v>
                </c:pt>
                <c:pt idx="497">
                  <c:v>44543</c:v>
                </c:pt>
                <c:pt idx="498">
                  <c:v>44540</c:v>
                </c:pt>
                <c:pt idx="499">
                  <c:v>44539</c:v>
                </c:pt>
                <c:pt idx="500">
                  <c:v>44538</c:v>
                </c:pt>
                <c:pt idx="501">
                  <c:v>44537</c:v>
                </c:pt>
                <c:pt idx="502">
                  <c:v>44536</c:v>
                </c:pt>
                <c:pt idx="503">
                  <c:v>44533</c:v>
                </c:pt>
                <c:pt idx="504">
                  <c:v>44532</c:v>
                </c:pt>
                <c:pt idx="505">
                  <c:v>44531</c:v>
                </c:pt>
                <c:pt idx="506">
                  <c:v>44530</c:v>
                </c:pt>
                <c:pt idx="507">
                  <c:v>44529</c:v>
                </c:pt>
                <c:pt idx="508">
                  <c:v>44526</c:v>
                </c:pt>
                <c:pt idx="509">
                  <c:v>44525</c:v>
                </c:pt>
                <c:pt idx="510">
                  <c:v>44524</c:v>
                </c:pt>
                <c:pt idx="511">
                  <c:v>44523</c:v>
                </c:pt>
                <c:pt idx="512">
                  <c:v>44522</c:v>
                </c:pt>
                <c:pt idx="513">
                  <c:v>44519</c:v>
                </c:pt>
                <c:pt idx="514">
                  <c:v>44517</c:v>
                </c:pt>
                <c:pt idx="515">
                  <c:v>44516</c:v>
                </c:pt>
                <c:pt idx="516">
                  <c:v>44515</c:v>
                </c:pt>
                <c:pt idx="517">
                  <c:v>44512</c:v>
                </c:pt>
                <c:pt idx="518">
                  <c:v>44511</c:v>
                </c:pt>
                <c:pt idx="519">
                  <c:v>44510</c:v>
                </c:pt>
                <c:pt idx="520">
                  <c:v>44509</c:v>
                </c:pt>
                <c:pt idx="521">
                  <c:v>44508</c:v>
                </c:pt>
                <c:pt idx="522">
                  <c:v>44505</c:v>
                </c:pt>
                <c:pt idx="523">
                  <c:v>44503</c:v>
                </c:pt>
                <c:pt idx="524">
                  <c:v>44502</c:v>
                </c:pt>
                <c:pt idx="525">
                  <c:v>44501</c:v>
                </c:pt>
                <c:pt idx="526">
                  <c:v>44498</c:v>
                </c:pt>
                <c:pt idx="527">
                  <c:v>44497</c:v>
                </c:pt>
                <c:pt idx="528">
                  <c:v>44496</c:v>
                </c:pt>
                <c:pt idx="529">
                  <c:v>44495</c:v>
                </c:pt>
                <c:pt idx="530">
                  <c:v>44494</c:v>
                </c:pt>
                <c:pt idx="531">
                  <c:v>44491</c:v>
                </c:pt>
                <c:pt idx="532">
                  <c:v>44490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44477</c:v>
                </c:pt>
                <c:pt idx="540">
                  <c:v>44476</c:v>
                </c:pt>
                <c:pt idx="541">
                  <c:v>44475</c:v>
                </c:pt>
                <c:pt idx="542">
                  <c:v>44474</c:v>
                </c:pt>
                <c:pt idx="543">
                  <c:v>44473</c:v>
                </c:pt>
                <c:pt idx="544">
                  <c:v>44470</c:v>
                </c:pt>
                <c:pt idx="545">
                  <c:v>44469</c:v>
                </c:pt>
                <c:pt idx="546">
                  <c:v>44468</c:v>
                </c:pt>
                <c:pt idx="547">
                  <c:v>44467</c:v>
                </c:pt>
                <c:pt idx="548">
                  <c:v>44466</c:v>
                </c:pt>
                <c:pt idx="549">
                  <c:v>44463</c:v>
                </c:pt>
                <c:pt idx="550">
                  <c:v>44462</c:v>
                </c:pt>
                <c:pt idx="551">
                  <c:v>44461</c:v>
                </c:pt>
                <c:pt idx="552">
                  <c:v>44460</c:v>
                </c:pt>
                <c:pt idx="553">
                  <c:v>44456</c:v>
                </c:pt>
                <c:pt idx="554">
                  <c:v>44455</c:v>
                </c:pt>
                <c:pt idx="555">
                  <c:v>44454</c:v>
                </c:pt>
                <c:pt idx="556">
                  <c:v>44453</c:v>
                </c:pt>
                <c:pt idx="557">
                  <c:v>44452</c:v>
                </c:pt>
                <c:pt idx="558">
                  <c:v>44449</c:v>
                </c:pt>
                <c:pt idx="559">
                  <c:v>44448</c:v>
                </c:pt>
                <c:pt idx="560">
                  <c:v>44447</c:v>
                </c:pt>
                <c:pt idx="561">
                  <c:v>44446</c:v>
                </c:pt>
                <c:pt idx="562">
                  <c:v>44445</c:v>
                </c:pt>
                <c:pt idx="563">
                  <c:v>44442</c:v>
                </c:pt>
                <c:pt idx="564">
                  <c:v>44441</c:v>
                </c:pt>
                <c:pt idx="565">
                  <c:v>44440</c:v>
                </c:pt>
                <c:pt idx="566">
                  <c:v>44439</c:v>
                </c:pt>
                <c:pt idx="567">
                  <c:v>44438</c:v>
                </c:pt>
                <c:pt idx="568">
                  <c:v>44435</c:v>
                </c:pt>
                <c:pt idx="569">
                  <c:v>44434</c:v>
                </c:pt>
                <c:pt idx="570">
                  <c:v>44433</c:v>
                </c:pt>
                <c:pt idx="571">
                  <c:v>44432</c:v>
                </c:pt>
                <c:pt idx="572">
                  <c:v>44431</c:v>
                </c:pt>
                <c:pt idx="573">
                  <c:v>44428</c:v>
                </c:pt>
                <c:pt idx="574">
                  <c:v>44427</c:v>
                </c:pt>
                <c:pt idx="575">
                  <c:v>44426</c:v>
                </c:pt>
                <c:pt idx="576">
                  <c:v>44425</c:v>
                </c:pt>
                <c:pt idx="577">
                  <c:v>44424</c:v>
                </c:pt>
                <c:pt idx="578">
                  <c:v>44421</c:v>
                </c:pt>
                <c:pt idx="579">
                  <c:v>44420</c:v>
                </c:pt>
                <c:pt idx="580">
                  <c:v>44419</c:v>
                </c:pt>
                <c:pt idx="581">
                  <c:v>44418</c:v>
                </c:pt>
                <c:pt idx="582">
                  <c:v>44417</c:v>
                </c:pt>
                <c:pt idx="583">
                  <c:v>44414</c:v>
                </c:pt>
                <c:pt idx="584">
                  <c:v>44413</c:v>
                </c:pt>
                <c:pt idx="585">
                  <c:v>44412</c:v>
                </c:pt>
                <c:pt idx="586">
                  <c:v>44411</c:v>
                </c:pt>
                <c:pt idx="587">
                  <c:v>44410</c:v>
                </c:pt>
                <c:pt idx="588">
                  <c:v>44407</c:v>
                </c:pt>
                <c:pt idx="589">
                  <c:v>44406</c:v>
                </c:pt>
                <c:pt idx="590">
                  <c:v>44405</c:v>
                </c:pt>
                <c:pt idx="591">
                  <c:v>44404</c:v>
                </c:pt>
                <c:pt idx="592">
                  <c:v>44403</c:v>
                </c:pt>
                <c:pt idx="593">
                  <c:v>44399</c:v>
                </c:pt>
                <c:pt idx="594">
                  <c:v>44397</c:v>
                </c:pt>
                <c:pt idx="595">
                  <c:v>44396</c:v>
                </c:pt>
                <c:pt idx="596">
                  <c:v>44393</c:v>
                </c:pt>
                <c:pt idx="597">
                  <c:v>44392</c:v>
                </c:pt>
                <c:pt idx="598">
                  <c:v>44391</c:v>
                </c:pt>
                <c:pt idx="599">
                  <c:v>44390</c:v>
                </c:pt>
                <c:pt idx="600">
                  <c:v>44389</c:v>
                </c:pt>
                <c:pt idx="601">
                  <c:v>44386</c:v>
                </c:pt>
                <c:pt idx="602">
                  <c:v>44385</c:v>
                </c:pt>
                <c:pt idx="603">
                  <c:v>44384</c:v>
                </c:pt>
                <c:pt idx="604">
                  <c:v>44383</c:v>
                </c:pt>
                <c:pt idx="605">
                  <c:v>44382</c:v>
                </c:pt>
                <c:pt idx="606">
                  <c:v>44379</c:v>
                </c:pt>
                <c:pt idx="607">
                  <c:v>44378</c:v>
                </c:pt>
                <c:pt idx="608">
                  <c:v>44377</c:v>
                </c:pt>
                <c:pt idx="609">
                  <c:v>44376</c:v>
                </c:pt>
                <c:pt idx="610">
                  <c:v>44375</c:v>
                </c:pt>
                <c:pt idx="611">
                  <c:v>44372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44361</c:v>
                </c:pt>
                <c:pt idx="620">
                  <c:v>44358</c:v>
                </c:pt>
                <c:pt idx="621">
                  <c:v>44357</c:v>
                </c:pt>
                <c:pt idx="622">
                  <c:v>44356</c:v>
                </c:pt>
                <c:pt idx="623">
                  <c:v>44355</c:v>
                </c:pt>
                <c:pt idx="624">
                  <c:v>44354</c:v>
                </c:pt>
                <c:pt idx="625">
                  <c:v>44351</c:v>
                </c:pt>
                <c:pt idx="626">
                  <c:v>44350</c:v>
                </c:pt>
                <c:pt idx="627">
                  <c:v>44349</c:v>
                </c:pt>
                <c:pt idx="628">
                  <c:v>44348</c:v>
                </c:pt>
                <c:pt idx="629">
                  <c:v>44347</c:v>
                </c:pt>
                <c:pt idx="630">
                  <c:v>44344</c:v>
                </c:pt>
                <c:pt idx="631">
                  <c:v>44341</c:v>
                </c:pt>
                <c:pt idx="632">
                  <c:v>44340</c:v>
                </c:pt>
                <c:pt idx="633">
                  <c:v>44337</c:v>
                </c:pt>
                <c:pt idx="634">
                  <c:v>44336</c:v>
                </c:pt>
                <c:pt idx="635">
                  <c:v>44335</c:v>
                </c:pt>
                <c:pt idx="636">
                  <c:v>44334</c:v>
                </c:pt>
                <c:pt idx="637">
                  <c:v>44333</c:v>
                </c:pt>
                <c:pt idx="638">
                  <c:v>44329</c:v>
                </c:pt>
                <c:pt idx="639">
                  <c:v>44328</c:v>
                </c:pt>
                <c:pt idx="640">
                  <c:v>44327</c:v>
                </c:pt>
                <c:pt idx="641">
                  <c:v>44326</c:v>
                </c:pt>
                <c:pt idx="642">
                  <c:v>44323</c:v>
                </c:pt>
                <c:pt idx="643">
                  <c:v>44322</c:v>
                </c:pt>
                <c:pt idx="644">
                  <c:v>44321</c:v>
                </c:pt>
                <c:pt idx="645">
                  <c:v>44320</c:v>
                </c:pt>
                <c:pt idx="646">
                  <c:v>44319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44309</c:v>
                </c:pt>
                <c:pt idx="652">
                  <c:v>44308</c:v>
                </c:pt>
                <c:pt idx="653">
                  <c:v>44307</c:v>
                </c:pt>
                <c:pt idx="654">
                  <c:v>44306</c:v>
                </c:pt>
                <c:pt idx="655">
                  <c:v>44305</c:v>
                </c:pt>
                <c:pt idx="656">
                  <c:v>44302</c:v>
                </c:pt>
                <c:pt idx="657">
                  <c:v>44301</c:v>
                </c:pt>
                <c:pt idx="658">
                  <c:v>44298</c:v>
                </c:pt>
                <c:pt idx="659">
                  <c:v>44295</c:v>
                </c:pt>
                <c:pt idx="660">
                  <c:v>44294</c:v>
                </c:pt>
                <c:pt idx="661">
                  <c:v>44293</c:v>
                </c:pt>
                <c:pt idx="662">
                  <c:v>44292</c:v>
                </c:pt>
                <c:pt idx="663">
                  <c:v>44291</c:v>
                </c:pt>
                <c:pt idx="664">
                  <c:v>44287</c:v>
                </c:pt>
                <c:pt idx="665">
                  <c:v>44286</c:v>
                </c:pt>
                <c:pt idx="666">
                  <c:v>44285</c:v>
                </c:pt>
                <c:pt idx="667">
                  <c:v>44284</c:v>
                </c:pt>
                <c:pt idx="668">
                  <c:v>44281</c:v>
                </c:pt>
                <c:pt idx="669">
                  <c:v>44280</c:v>
                </c:pt>
                <c:pt idx="670">
                  <c:v>44279</c:v>
                </c:pt>
                <c:pt idx="671">
                  <c:v>44278</c:v>
                </c:pt>
                <c:pt idx="672">
                  <c:v>44277</c:v>
                </c:pt>
                <c:pt idx="673">
                  <c:v>44274</c:v>
                </c:pt>
                <c:pt idx="674">
                  <c:v>44273</c:v>
                </c:pt>
                <c:pt idx="675">
                  <c:v>44272</c:v>
                </c:pt>
                <c:pt idx="676">
                  <c:v>44271</c:v>
                </c:pt>
                <c:pt idx="677">
                  <c:v>44270</c:v>
                </c:pt>
                <c:pt idx="678">
                  <c:v>44267</c:v>
                </c:pt>
                <c:pt idx="679">
                  <c:v>44265</c:v>
                </c:pt>
                <c:pt idx="680">
                  <c:v>44264</c:v>
                </c:pt>
                <c:pt idx="681">
                  <c:v>44263</c:v>
                </c:pt>
                <c:pt idx="682">
                  <c:v>44260</c:v>
                </c:pt>
                <c:pt idx="683">
                  <c:v>44259</c:v>
                </c:pt>
                <c:pt idx="684">
                  <c:v>44258</c:v>
                </c:pt>
                <c:pt idx="685">
                  <c:v>44257</c:v>
                </c:pt>
                <c:pt idx="686">
                  <c:v>44256</c:v>
                </c:pt>
                <c:pt idx="687">
                  <c:v>44252</c:v>
                </c:pt>
                <c:pt idx="688">
                  <c:v>44251</c:v>
                </c:pt>
                <c:pt idx="689">
                  <c:v>44250</c:v>
                </c:pt>
                <c:pt idx="690">
                  <c:v>44249</c:v>
                </c:pt>
                <c:pt idx="691">
                  <c:v>44246</c:v>
                </c:pt>
                <c:pt idx="692">
                  <c:v>44245</c:v>
                </c:pt>
                <c:pt idx="693">
                  <c:v>44244</c:v>
                </c:pt>
                <c:pt idx="694">
                  <c:v>44243</c:v>
                </c:pt>
                <c:pt idx="695">
                  <c:v>44242</c:v>
                </c:pt>
                <c:pt idx="696">
                  <c:v>44239</c:v>
                </c:pt>
                <c:pt idx="697">
                  <c:v>44238</c:v>
                </c:pt>
                <c:pt idx="698">
                  <c:v>44237</c:v>
                </c:pt>
                <c:pt idx="699">
                  <c:v>44236</c:v>
                </c:pt>
                <c:pt idx="700">
                  <c:v>44235</c:v>
                </c:pt>
                <c:pt idx="701">
                  <c:v>44232</c:v>
                </c:pt>
                <c:pt idx="702">
                  <c:v>44230</c:v>
                </c:pt>
                <c:pt idx="703">
                  <c:v>44229</c:v>
                </c:pt>
                <c:pt idx="704">
                  <c:v>44228</c:v>
                </c:pt>
                <c:pt idx="705">
                  <c:v>44225</c:v>
                </c:pt>
                <c:pt idx="706">
                  <c:v>44223</c:v>
                </c:pt>
                <c:pt idx="707">
                  <c:v>44222</c:v>
                </c:pt>
                <c:pt idx="708">
                  <c:v>44221</c:v>
                </c:pt>
                <c:pt idx="709">
                  <c:v>44218</c:v>
                </c:pt>
                <c:pt idx="710">
                  <c:v>44217</c:v>
                </c:pt>
                <c:pt idx="711">
                  <c:v>44216</c:v>
                </c:pt>
                <c:pt idx="712">
                  <c:v>44215</c:v>
                </c:pt>
                <c:pt idx="713">
                  <c:v>44214</c:v>
                </c:pt>
                <c:pt idx="714">
                  <c:v>44211</c:v>
                </c:pt>
                <c:pt idx="715">
                  <c:v>44209</c:v>
                </c:pt>
                <c:pt idx="716">
                  <c:v>44208</c:v>
                </c:pt>
                <c:pt idx="717">
                  <c:v>44207</c:v>
                </c:pt>
                <c:pt idx="718">
                  <c:v>44204</c:v>
                </c:pt>
                <c:pt idx="719">
                  <c:v>44203</c:v>
                </c:pt>
                <c:pt idx="720">
                  <c:v>44202</c:v>
                </c:pt>
                <c:pt idx="721">
                  <c:v>44201</c:v>
                </c:pt>
                <c:pt idx="722">
                  <c:v>44200</c:v>
                </c:pt>
              </c:numCache>
            </c:numRef>
          </c:cat>
          <c:val>
            <c:numRef>
              <c:f>'Price volume'!$P$4:$P$725</c:f>
            </c:numRef>
          </c:val>
          <c:smooth val="0"/>
          <c:extLst>
            <c:ext xmlns:c16="http://schemas.microsoft.com/office/drawing/2014/chart" uri="{C3380CC4-5D6E-409C-BE32-E72D297353CC}">
              <c16:uniqueId val="{00000000-C365-4F94-B7C2-3EFD208B301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'Price volume'!$O$3:$O$725</c:f>
              <c:numCache>
                <c:formatCode>m/d/yyyy</c:formatCode>
                <c:ptCount val="723"/>
                <c:pt idx="0">
                  <c:v>45307</c:v>
                </c:pt>
                <c:pt idx="1">
                  <c:v>45302</c:v>
                </c:pt>
                <c:pt idx="2">
                  <c:v>45301</c:v>
                </c:pt>
                <c:pt idx="3">
                  <c:v>45300</c:v>
                </c:pt>
                <c:pt idx="4">
                  <c:v>45299</c:v>
                </c:pt>
                <c:pt idx="5">
                  <c:v>45296</c:v>
                </c:pt>
                <c:pt idx="6">
                  <c:v>45295</c:v>
                </c:pt>
                <c:pt idx="7">
                  <c:v>45294</c:v>
                </c:pt>
                <c:pt idx="8">
                  <c:v>45293</c:v>
                </c:pt>
                <c:pt idx="9">
                  <c:v>45289</c:v>
                </c:pt>
                <c:pt idx="10">
                  <c:v>45288</c:v>
                </c:pt>
                <c:pt idx="11">
                  <c:v>45287</c:v>
                </c:pt>
                <c:pt idx="12">
                  <c:v>45282</c:v>
                </c:pt>
                <c:pt idx="13">
                  <c:v>45281</c:v>
                </c:pt>
                <c:pt idx="14">
                  <c:v>45280</c:v>
                </c:pt>
                <c:pt idx="15">
                  <c:v>45279</c:v>
                </c:pt>
                <c:pt idx="16">
                  <c:v>45278</c:v>
                </c:pt>
                <c:pt idx="17">
                  <c:v>45275</c:v>
                </c:pt>
                <c:pt idx="18">
                  <c:v>45274</c:v>
                </c:pt>
                <c:pt idx="19">
                  <c:v>45274</c:v>
                </c:pt>
                <c:pt idx="20">
                  <c:v>45273</c:v>
                </c:pt>
                <c:pt idx="21">
                  <c:v>45272</c:v>
                </c:pt>
                <c:pt idx="22">
                  <c:v>45271</c:v>
                </c:pt>
                <c:pt idx="23">
                  <c:v>45268</c:v>
                </c:pt>
                <c:pt idx="24">
                  <c:v>45267</c:v>
                </c:pt>
                <c:pt idx="25">
                  <c:v>45266</c:v>
                </c:pt>
                <c:pt idx="26">
                  <c:v>45265</c:v>
                </c:pt>
                <c:pt idx="27">
                  <c:v>45264</c:v>
                </c:pt>
                <c:pt idx="28">
                  <c:v>45261</c:v>
                </c:pt>
                <c:pt idx="29">
                  <c:v>45260</c:v>
                </c:pt>
                <c:pt idx="30">
                  <c:v>45259</c:v>
                </c:pt>
                <c:pt idx="31">
                  <c:v>45258</c:v>
                </c:pt>
                <c:pt idx="32">
                  <c:v>45257</c:v>
                </c:pt>
                <c:pt idx="33">
                  <c:v>45254</c:v>
                </c:pt>
                <c:pt idx="34">
                  <c:v>45253</c:v>
                </c:pt>
                <c:pt idx="35">
                  <c:v>45252</c:v>
                </c:pt>
                <c:pt idx="36">
                  <c:v>45251</c:v>
                </c:pt>
                <c:pt idx="37">
                  <c:v>45250</c:v>
                </c:pt>
                <c:pt idx="38">
                  <c:v>45247</c:v>
                </c:pt>
                <c:pt idx="39">
                  <c:v>45246</c:v>
                </c:pt>
                <c:pt idx="40">
                  <c:v>45245</c:v>
                </c:pt>
                <c:pt idx="41">
                  <c:v>45244</c:v>
                </c:pt>
                <c:pt idx="42">
                  <c:v>45243</c:v>
                </c:pt>
                <c:pt idx="43">
                  <c:v>45240</c:v>
                </c:pt>
                <c:pt idx="44">
                  <c:v>45239</c:v>
                </c:pt>
                <c:pt idx="45">
                  <c:v>45238</c:v>
                </c:pt>
                <c:pt idx="46">
                  <c:v>45237</c:v>
                </c:pt>
                <c:pt idx="47">
                  <c:v>45236</c:v>
                </c:pt>
                <c:pt idx="48">
                  <c:v>45233</c:v>
                </c:pt>
                <c:pt idx="49">
                  <c:v>45232</c:v>
                </c:pt>
                <c:pt idx="50">
                  <c:v>45231</c:v>
                </c:pt>
                <c:pt idx="51">
                  <c:v>45230</c:v>
                </c:pt>
                <c:pt idx="52">
                  <c:v>45229</c:v>
                </c:pt>
                <c:pt idx="53">
                  <c:v>45226</c:v>
                </c:pt>
                <c:pt idx="54">
                  <c:v>45225</c:v>
                </c:pt>
                <c:pt idx="55">
                  <c:v>45224</c:v>
                </c:pt>
                <c:pt idx="56">
                  <c:v>45223</c:v>
                </c:pt>
                <c:pt idx="57">
                  <c:v>45222</c:v>
                </c:pt>
                <c:pt idx="58">
                  <c:v>45219</c:v>
                </c:pt>
                <c:pt idx="59">
                  <c:v>45218</c:v>
                </c:pt>
                <c:pt idx="60">
                  <c:v>45217</c:v>
                </c:pt>
                <c:pt idx="61">
                  <c:v>45216</c:v>
                </c:pt>
                <c:pt idx="62">
                  <c:v>45215</c:v>
                </c:pt>
                <c:pt idx="63">
                  <c:v>45212</c:v>
                </c:pt>
                <c:pt idx="64">
                  <c:v>45211</c:v>
                </c:pt>
                <c:pt idx="65">
                  <c:v>45210</c:v>
                </c:pt>
                <c:pt idx="66">
                  <c:v>45209</c:v>
                </c:pt>
                <c:pt idx="67">
                  <c:v>45208</c:v>
                </c:pt>
                <c:pt idx="68">
                  <c:v>45205</c:v>
                </c:pt>
                <c:pt idx="69">
                  <c:v>45204</c:v>
                </c:pt>
                <c:pt idx="70">
                  <c:v>45203</c:v>
                </c:pt>
                <c:pt idx="71">
                  <c:v>45202</c:v>
                </c:pt>
                <c:pt idx="72">
                  <c:v>45201</c:v>
                </c:pt>
                <c:pt idx="73">
                  <c:v>45196</c:v>
                </c:pt>
                <c:pt idx="74">
                  <c:v>45195</c:v>
                </c:pt>
                <c:pt idx="75">
                  <c:v>45194</c:v>
                </c:pt>
                <c:pt idx="76">
                  <c:v>45191</c:v>
                </c:pt>
                <c:pt idx="77">
                  <c:v>45190</c:v>
                </c:pt>
                <c:pt idx="78">
                  <c:v>45189</c:v>
                </c:pt>
                <c:pt idx="79">
                  <c:v>45188</c:v>
                </c:pt>
                <c:pt idx="80">
                  <c:v>45187</c:v>
                </c:pt>
                <c:pt idx="81">
                  <c:v>45184</c:v>
                </c:pt>
                <c:pt idx="82">
                  <c:v>45183</c:v>
                </c:pt>
                <c:pt idx="83">
                  <c:v>45182</c:v>
                </c:pt>
                <c:pt idx="84">
                  <c:v>45181</c:v>
                </c:pt>
                <c:pt idx="85">
                  <c:v>45180</c:v>
                </c:pt>
                <c:pt idx="86">
                  <c:v>45177</c:v>
                </c:pt>
                <c:pt idx="87">
                  <c:v>45176</c:v>
                </c:pt>
                <c:pt idx="88">
                  <c:v>45175</c:v>
                </c:pt>
                <c:pt idx="89">
                  <c:v>45174</c:v>
                </c:pt>
                <c:pt idx="90">
                  <c:v>45173</c:v>
                </c:pt>
                <c:pt idx="91">
                  <c:v>45170</c:v>
                </c:pt>
                <c:pt idx="92">
                  <c:v>45169</c:v>
                </c:pt>
                <c:pt idx="93">
                  <c:v>45167</c:v>
                </c:pt>
                <c:pt idx="94">
                  <c:v>45166</c:v>
                </c:pt>
                <c:pt idx="95">
                  <c:v>45163</c:v>
                </c:pt>
                <c:pt idx="96">
                  <c:v>45162</c:v>
                </c:pt>
                <c:pt idx="97">
                  <c:v>45161</c:v>
                </c:pt>
                <c:pt idx="98">
                  <c:v>45160</c:v>
                </c:pt>
                <c:pt idx="99">
                  <c:v>45159</c:v>
                </c:pt>
                <c:pt idx="100">
                  <c:v>45156</c:v>
                </c:pt>
                <c:pt idx="101">
                  <c:v>45155</c:v>
                </c:pt>
                <c:pt idx="102">
                  <c:v>45154</c:v>
                </c:pt>
                <c:pt idx="103">
                  <c:v>45153</c:v>
                </c:pt>
                <c:pt idx="104">
                  <c:v>45152</c:v>
                </c:pt>
                <c:pt idx="105">
                  <c:v>45149</c:v>
                </c:pt>
                <c:pt idx="106">
                  <c:v>45148</c:v>
                </c:pt>
                <c:pt idx="107">
                  <c:v>45147</c:v>
                </c:pt>
                <c:pt idx="108">
                  <c:v>45146</c:v>
                </c:pt>
                <c:pt idx="109">
                  <c:v>45145</c:v>
                </c:pt>
                <c:pt idx="110">
                  <c:v>45142</c:v>
                </c:pt>
                <c:pt idx="111">
                  <c:v>45141</c:v>
                </c:pt>
                <c:pt idx="112">
                  <c:v>45140</c:v>
                </c:pt>
                <c:pt idx="113">
                  <c:v>45138</c:v>
                </c:pt>
                <c:pt idx="114">
                  <c:v>45135</c:v>
                </c:pt>
                <c:pt idx="115">
                  <c:v>45134</c:v>
                </c:pt>
                <c:pt idx="116">
                  <c:v>45133</c:v>
                </c:pt>
                <c:pt idx="117">
                  <c:v>45132</c:v>
                </c:pt>
                <c:pt idx="118">
                  <c:v>45131</c:v>
                </c:pt>
                <c:pt idx="119">
                  <c:v>45128</c:v>
                </c:pt>
                <c:pt idx="120">
                  <c:v>45127</c:v>
                </c:pt>
                <c:pt idx="121">
                  <c:v>45126</c:v>
                </c:pt>
                <c:pt idx="122">
                  <c:v>45125</c:v>
                </c:pt>
                <c:pt idx="123">
                  <c:v>45124</c:v>
                </c:pt>
                <c:pt idx="124">
                  <c:v>45121</c:v>
                </c:pt>
                <c:pt idx="125">
                  <c:v>45120</c:v>
                </c:pt>
                <c:pt idx="126">
                  <c:v>45119</c:v>
                </c:pt>
                <c:pt idx="127">
                  <c:v>45118</c:v>
                </c:pt>
                <c:pt idx="128">
                  <c:v>45117</c:v>
                </c:pt>
                <c:pt idx="129">
                  <c:v>45114</c:v>
                </c:pt>
                <c:pt idx="130">
                  <c:v>45113</c:v>
                </c:pt>
                <c:pt idx="131">
                  <c:v>45112</c:v>
                </c:pt>
                <c:pt idx="132">
                  <c:v>45111</c:v>
                </c:pt>
                <c:pt idx="133">
                  <c:v>45105</c:v>
                </c:pt>
                <c:pt idx="134">
                  <c:v>45104</c:v>
                </c:pt>
                <c:pt idx="135">
                  <c:v>45103</c:v>
                </c:pt>
                <c:pt idx="136">
                  <c:v>45100</c:v>
                </c:pt>
                <c:pt idx="137">
                  <c:v>45099</c:v>
                </c:pt>
                <c:pt idx="138">
                  <c:v>45098</c:v>
                </c:pt>
                <c:pt idx="139">
                  <c:v>45097</c:v>
                </c:pt>
                <c:pt idx="140">
                  <c:v>45096</c:v>
                </c:pt>
                <c:pt idx="141">
                  <c:v>45093</c:v>
                </c:pt>
                <c:pt idx="142">
                  <c:v>45092</c:v>
                </c:pt>
                <c:pt idx="143">
                  <c:v>45091</c:v>
                </c:pt>
                <c:pt idx="144">
                  <c:v>45090</c:v>
                </c:pt>
                <c:pt idx="145">
                  <c:v>45089</c:v>
                </c:pt>
                <c:pt idx="146">
                  <c:v>45086</c:v>
                </c:pt>
                <c:pt idx="147">
                  <c:v>45085</c:v>
                </c:pt>
                <c:pt idx="148">
                  <c:v>45084</c:v>
                </c:pt>
                <c:pt idx="149">
                  <c:v>45083</c:v>
                </c:pt>
                <c:pt idx="150">
                  <c:v>45082</c:v>
                </c:pt>
                <c:pt idx="151">
                  <c:v>45079</c:v>
                </c:pt>
                <c:pt idx="152">
                  <c:v>45078</c:v>
                </c:pt>
                <c:pt idx="153">
                  <c:v>45077</c:v>
                </c:pt>
                <c:pt idx="154">
                  <c:v>45076</c:v>
                </c:pt>
                <c:pt idx="155">
                  <c:v>45075</c:v>
                </c:pt>
                <c:pt idx="156">
                  <c:v>45072</c:v>
                </c:pt>
                <c:pt idx="157">
                  <c:v>45071</c:v>
                </c:pt>
                <c:pt idx="158">
                  <c:v>45070</c:v>
                </c:pt>
                <c:pt idx="159">
                  <c:v>45069</c:v>
                </c:pt>
                <c:pt idx="160">
                  <c:v>45068</c:v>
                </c:pt>
                <c:pt idx="161">
                  <c:v>45065</c:v>
                </c:pt>
                <c:pt idx="162">
                  <c:v>45064</c:v>
                </c:pt>
                <c:pt idx="163">
                  <c:v>45063</c:v>
                </c:pt>
                <c:pt idx="164">
                  <c:v>45062</c:v>
                </c:pt>
                <c:pt idx="165">
                  <c:v>45061</c:v>
                </c:pt>
                <c:pt idx="166">
                  <c:v>45058</c:v>
                </c:pt>
                <c:pt idx="167">
                  <c:v>45057</c:v>
                </c:pt>
                <c:pt idx="168">
                  <c:v>45056</c:v>
                </c:pt>
                <c:pt idx="169">
                  <c:v>45055</c:v>
                </c:pt>
                <c:pt idx="170">
                  <c:v>45054</c:v>
                </c:pt>
                <c:pt idx="171">
                  <c:v>45050</c:v>
                </c:pt>
                <c:pt idx="172">
                  <c:v>45049</c:v>
                </c:pt>
                <c:pt idx="173">
                  <c:v>45048</c:v>
                </c:pt>
                <c:pt idx="174">
                  <c:v>45044</c:v>
                </c:pt>
                <c:pt idx="175">
                  <c:v>45043</c:v>
                </c:pt>
                <c:pt idx="176">
                  <c:v>45042</c:v>
                </c:pt>
                <c:pt idx="177">
                  <c:v>45041</c:v>
                </c:pt>
                <c:pt idx="178">
                  <c:v>45040</c:v>
                </c:pt>
                <c:pt idx="179">
                  <c:v>45037</c:v>
                </c:pt>
                <c:pt idx="180">
                  <c:v>45036</c:v>
                </c:pt>
                <c:pt idx="181">
                  <c:v>45035</c:v>
                </c:pt>
                <c:pt idx="182">
                  <c:v>45034</c:v>
                </c:pt>
                <c:pt idx="183">
                  <c:v>45033</c:v>
                </c:pt>
                <c:pt idx="184">
                  <c:v>45028</c:v>
                </c:pt>
                <c:pt idx="185">
                  <c:v>45027</c:v>
                </c:pt>
                <c:pt idx="186">
                  <c:v>45026</c:v>
                </c:pt>
                <c:pt idx="187">
                  <c:v>45022</c:v>
                </c:pt>
                <c:pt idx="188">
                  <c:v>45020</c:v>
                </c:pt>
                <c:pt idx="189">
                  <c:v>45019</c:v>
                </c:pt>
                <c:pt idx="190">
                  <c:v>45016</c:v>
                </c:pt>
                <c:pt idx="191">
                  <c:v>45015</c:v>
                </c:pt>
                <c:pt idx="192">
                  <c:v>45014</c:v>
                </c:pt>
                <c:pt idx="193">
                  <c:v>45013</c:v>
                </c:pt>
                <c:pt idx="194">
                  <c:v>45012</c:v>
                </c:pt>
                <c:pt idx="195">
                  <c:v>45009</c:v>
                </c:pt>
                <c:pt idx="196">
                  <c:v>45008</c:v>
                </c:pt>
                <c:pt idx="197">
                  <c:v>45007</c:v>
                </c:pt>
                <c:pt idx="198">
                  <c:v>45006</c:v>
                </c:pt>
                <c:pt idx="199">
                  <c:v>45005</c:v>
                </c:pt>
                <c:pt idx="200">
                  <c:v>45002</c:v>
                </c:pt>
                <c:pt idx="201">
                  <c:v>45001</c:v>
                </c:pt>
                <c:pt idx="202">
                  <c:v>45000</c:v>
                </c:pt>
                <c:pt idx="203">
                  <c:v>44999</c:v>
                </c:pt>
                <c:pt idx="204">
                  <c:v>44998</c:v>
                </c:pt>
                <c:pt idx="205">
                  <c:v>44995</c:v>
                </c:pt>
                <c:pt idx="206">
                  <c:v>44994</c:v>
                </c:pt>
                <c:pt idx="207">
                  <c:v>44993</c:v>
                </c:pt>
                <c:pt idx="208">
                  <c:v>44992</c:v>
                </c:pt>
                <c:pt idx="209">
                  <c:v>44988</c:v>
                </c:pt>
                <c:pt idx="210">
                  <c:v>44987</c:v>
                </c:pt>
                <c:pt idx="211">
                  <c:v>44986</c:v>
                </c:pt>
                <c:pt idx="212">
                  <c:v>44985</c:v>
                </c:pt>
                <c:pt idx="213">
                  <c:v>44984</c:v>
                </c:pt>
                <c:pt idx="214">
                  <c:v>44981</c:v>
                </c:pt>
                <c:pt idx="215">
                  <c:v>44980</c:v>
                </c:pt>
                <c:pt idx="216">
                  <c:v>44979</c:v>
                </c:pt>
                <c:pt idx="217">
                  <c:v>44978</c:v>
                </c:pt>
                <c:pt idx="218">
                  <c:v>44977</c:v>
                </c:pt>
                <c:pt idx="219">
                  <c:v>44974</c:v>
                </c:pt>
                <c:pt idx="220">
                  <c:v>44973</c:v>
                </c:pt>
                <c:pt idx="221">
                  <c:v>44972</c:v>
                </c:pt>
                <c:pt idx="222">
                  <c:v>44971</c:v>
                </c:pt>
                <c:pt idx="223">
                  <c:v>44970</c:v>
                </c:pt>
                <c:pt idx="224">
                  <c:v>44967</c:v>
                </c:pt>
                <c:pt idx="225">
                  <c:v>44966</c:v>
                </c:pt>
                <c:pt idx="226">
                  <c:v>44965</c:v>
                </c:pt>
                <c:pt idx="227">
                  <c:v>44964</c:v>
                </c:pt>
                <c:pt idx="228">
                  <c:v>44963</c:v>
                </c:pt>
                <c:pt idx="229">
                  <c:v>44960</c:v>
                </c:pt>
                <c:pt idx="230">
                  <c:v>44959</c:v>
                </c:pt>
                <c:pt idx="231">
                  <c:v>44958</c:v>
                </c:pt>
                <c:pt idx="232">
                  <c:v>44957</c:v>
                </c:pt>
                <c:pt idx="233">
                  <c:v>44956</c:v>
                </c:pt>
                <c:pt idx="234">
                  <c:v>44953</c:v>
                </c:pt>
                <c:pt idx="235">
                  <c:v>44952</c:v>
                </c:pt>
                <c:pt idx="236">
                  <c:v>44951</c:v>
                </c:pt>
                <c:pt idx="237">
                  <c:v>44950</c:v>
                </c:pt>
                <c:pt idx="238">
                  <c:v>44949</c:v>
                </c:pt>
                <c:pt idx="239">
                  <c:v>44946</c:v>
                </c:pt>
                <c:pt idx="240">
                  <c:v>44945</c:v>
                </c:pt>
                <c:pt idx="241">
                  <c:v>44944</c:v>
                </c:pt>
                <c:pt idx="242">
                  <c:v>44943</c:v>
                </c:pt>
                <c:pt idx="243">
                  <c:v>44939</c:v>
                </c:pt>
                <c:pt idx="244">
                  <c:v>44938</c:v>
                </c:pt>
                <c:pt idx="245">
                  <c:v>44937</c:v>
                </c:pt>
                <c:pt idx="246">
                  <c:v>44936</c:v>
                </c:pt>
                <c:pt idx="247">
                  <c:v>44935</c:v>
                </c:pt>
                <c:pt idx="248">
                  <c:v>44931</c:v>
                </c:pt>
                <c:pt idx="249">
                  <c:v>44930</c:v>
                </c:pt>
                <c:pt idx="250">
                  <c:v>44929</c:v>
                </c:pt>
                <c:pt idx="251">
                  <c:v>44928</c:v>
                </c:pt>
                <c:pt idx="252">
                  <c:v>44925</c:v>
                </c:pt>
                <c:pt idx="253">
                  <c:v>44924</c:v>
                </c:pt>
                <c:pt idx="254">
                  <c:v>44923</c:v>
                </c:pt>
                <c:pt idx="255">
                  <c:v>44922</c:v>
                </c:pt>
                <c:pt idx="256">
                  <c:v>44918</c:v>
                </c:pt>
                <c:pt idx="257">
                  <c:v>44917</c:v>
                </c:pt>
                <c:pt idx="258">
                  <c:v>44916</c:v>
                </c:pt>
                <c:pt idx="259">
                  <c:v>44915</c:v>
                </c:pt>
                <c:pt idx="260">
                  <c:v>44914</c:v>
                </c:pt>
                <c:pt idx="261">
                  <c:v>44911</c:v>
                </c:pt>
                <c:pt idx="262">
                  <c:v>44910</c:v>
                </c:pt>
                <c:pt idx="263">
                  <c:v>44909</c:v>
                </c:pt>
                <c:pt idx="264">
                  <c:v>44908</c:v>
                </c:pt>
                <c:pt idx="265">
                  <c:v>44907</c:v>
                </c:pt>
                <c:pt idx="266">
                  <c:v>44904</c:v>
                </c:pt>
                <c:pt idx="267">
                  <c:v>44903</c:v>
                </c:pt>
                <c:pt idx="268">
                  <c:v>44901</c:v>
                </c:pt>
                <c:pt idx="269">
                  <c:v>44900</c:v>
                </c:pt>
                <c:pt idx="270">
                  <c:v>44897</c:v>
                </c:pt>
                <c:pt idx="271">
                  <c:v>44896</c:v>
                </c:pt>
                <c:pt idx="272">
                  <c:v>44895</c:v>
                </c:pt>
                <c:pt idx="273">
                  <c:v>44894</c:v>
                </c:pt>
                <c:pt idx="274">
                  <c:v>44893</c:v>
                </c:pt>
                <c:pt idx="275">
                  <c:v>44890</c:v>
                </c:pt>
                <c:pt idx="276">
                  <c:v>44889</c:v>
                </c:pt>
                <c:pt idx="277">
                  <c:v>44888</c:v>
                </c:pt>
                <c:pt idx="278">
                  <c:v>44887</c:v>
                </c:pt>
                <c:pt idx="279">
                  <c:v>44886</c:v>
                </c:pt>
                <c:pt idx="280">
                  <c:v>44883</c:v>
                </c:pt>
                <c:pt idx="281">
                  <c:v>44882</c:v>
                </c:pt>
                <c:pt idx="282">
                  <c:v>44881</c:v>
                </c:pt>
                <c:pt idx="283">
                  <c:v>44880</c:v>
                </c:pt>
                <c:pt idx="284">
                  <c:v>44879</c:v>
                </c:pt>
                <c:pt idx="285">
                  <c:v>44876</c:v>
                </c:pt>
                <c:pt idx="286">
                  <c:v>44875</c:v>
                </c:pt>
                <c:pt idx="287">
                  <c:v>44874</c:v>
                </c:pt>
                <c:pt idx="288">
                  <c:v>44873</c:v>
                </c:pt>
                <c:pt idx="289">
                  <c:v>44869</c:v>
                </c:pt>
                <c:pt idx="290">
                  <c:v>44868</c:v>
                </c:pt>
                <c:pt idx="291">
                  <c:v>44867</c:v>
                </c:pt>
                <c:pt idx="292">
                  <c:v>44866</c:v>
                </c:pt>
                <c:pt idx="293">
                  <c:v>44865</c:v>
                </c:pt>
                <c:pt idx="294">
                  <c:v>44862</c:v>
                </c:pt>
                <c:pt idx="295">
                  <c:v>44861</c:v>
                </c:pt>
                <c:pt idx="296">
                  <c:v>44860</c:v>
                </c:pt>
                <c:pt idx="297">
                  <c:v>44859</c:v>
                </c:pt>
                <c:pt idx="298">
                  <c:v>44855</c:v>
                </c:pt>
                <c:pt idx="299">
                  <c:v>44854</c:v>
                </c:pt>
                <c:pt idx="300">
                  <c:v>44853</c:v>
                </c:pt>
                <c:pt idx="301">
                  <c:v>44852</c:v>
                </c:pt>
                <c:pt idx="302">
                  <c:v>44851</c:v>
                </c:pt>
                <c:pt idx="303">
                  <c:v>44848</c:v>
                </c:pt>
                <c:pt idx="304">
                  <c:v>44847</c:v>
                </c:pt>
                <c:pt idx="305">
                  <c:v>44846</c:v>
                </c:pt>
                <c:pt idx="306">
                  <c:v>44845</c:v>
                </c:pt>
                <c:pt idx="307">
                  <c:v>44841</c:v>
                </c:pt>
                <c:pt idx="308">
                  <c:v>44840</c:v>
                </c:pt>
                <c:pt idx="309">
                  <c:v>44839</c:v>
                </c:pt>
                <c:pt idx="310">
                  <c:v>44838</c:v>
                </c:pt>
                <c:pt idx="311">
                  <c:v>44837</c:v>
                </c:pt>
                <c:pt idx="312">
                  <c:v>44834</c:v>
                </c:pt>
                <c:pt idx="313">
                  <c:v>44833</c:v>
                </c:pt>
                <c:pt idx="314">
                  <c:v>44832</c:v>
                </c:pt>
                <c:pt idx="315">
                  <c:v>44831</c:v>
                </c:pt>
                <c:pt idx="316">
                  <c:v>44830</c:v>
                </c:pt>
                <c:pt idx="317">
                  <c:v>44827</c:v>
                </c:pt>
                <c:pt idx="318">
                  <c:v>44826</c:v>
                </c:pt>
                <c:pt idx="319">
                  <c:v>44825</c:v>
                </c:pt>
                <c:pt idx="320">
                  <c:v>44824</c:v>
                </c:pt>
                <c:pt idx="321">
                  <c:v>44823</c:v>
                </c:pt>
                <c:pt idx="322">
                  <c:v>44820</c:v>
                </c:pt>
                <c:pt idx="323">
                  <c:v>44819</c:v>
                </c:pt>
                <c:pt idx="324">
                  <c:v>44818</c:v>
                </c:pt>
                <c:pt idx="325">
                  <c:v>44817</c:v>
                </c:pt>
                <c:pt idx="326">
                  <c:v>44816</c:v>
                </c:pt>
                <c:pt idx="327">
                  <c:v>44813</c:v>
                </c:pt>
                <c:pt idx="328">
                  <c:v>44812</c:v>
                </c:pt>
                <c:pt idx="329">
                  <c:v>44811</c:v>
                </c:pt>
                <c:pt idx="330">
                  <c:v>44810</c:v>
                </c:pt>
                <c:pt idx="331">
                  <c:v>44809</c:v>
                </c:pt>
                <c:pt idx="332">
                  <c:v>44806</c:v>
                </c:pt>
                <c:pt idx="333">
                  <c:v>44805</c:v>
                </c:pt>
                <c:pt idx="334">
                  <c:v>44804</c:v>
                </c:pt>
                <c:pt idx="335">
                  <c:v>44803</c:v>
                </c:pt>
                <c:pt idx="336">
                  <c:v>44802</c:v>
                </c:pt>
                <c:pt idx="337">
                  <c:v>44799</c:v>
                </c:pt>
                <c:pt idx="338">
                  <c:v>44798</c:v>
                </c:pt>
                <c:pt idx="339">
                  <c:v>44797</c:v>
                </c:pt>
                <c:pt idx="340">
                  <c:v>44796</c:v>
                </c:pt>
                <c:pt idx="341">
                  <c:v>44795</c:v>
                </c:pt>
                <c:pt idx="342">
                  <c:v>44792</c:v>
                </c:pt>
                <c:pt idx="343">
                  <c:v>44791</c:v>
                </c:pt>
                <c:pt idx="344">
                  <c:v>44790</c:v>
                </c:pt>
                <c:pt idx="345">
                  <c:v>44789</c:v>
                </c:pt>
                <c:pt idx="346">
                  <c:v>44788</c:v>
                </c:pt>
                <c:pt idx="347">
                  <c:v>44785</c:v>
                </c:pt>
                <c:pt idx="348">
                  <c:v>44783</c:v>
                </c:pt>
                <c:pt idx="349">
                  <c:v>44782</c:v>
                </c:pt>
                <c:pt idx="350">
                  <c:v>44781</c:v>
                </c:pt>
                <c:pt idx="351">
                  <c:v>44778</c:v>
                </c:pt>
                <c:pt idx="352">
                  <c:v>44777</c:v>
                </c:pt>
                <c:pt idx="353">
                  <c:v>44776</c:v>
                </c:pt>
                <c:pt idx="354">
                  <c:v>44775</c:v>
                </c:pt>
                <c:pt idx="355">
                  <c:v>44774</c:v>
                </c:pt>
                <c:pt idx="356">
                  <c:v>44771</c:v>
                </c:pt>
                <c:pt idx="357">
                  <c:v>44770</c:v>
                </c:pt>
                <c:pt idx="358">
                  <c:v>44769</c:v>
                </c:pt>
                <c:pt idx="359">
                  <c:v>44768</c:v>
                </c:pt>
                <c:pt idx="360">
                  <c:v>44767</c:v>
                </c:pt>
                <c:pt idx="361">
                  <c:v>44764</c:v>
                </c:pt>
                <c:pt idx="362">
                  <c:v>44763</c:v>
                </c:pt>
                <c:pt idx="363">
                  <c:v>44762</c:v>
                </c:pt>
                <c:pt idx="364">
                  <c:v>44761</c:v>
                </c:pt>
                <c:pt idx="365">
                  <c:v>44760</c:v>
                </c:pt>
                <c:pt idx="366">
                  <c:v>44757</c:v>
                </c:pt>
                <c:pt idx="367">
                  <c:v>44756</c:v>
                </c:pt>
                <c:pt idx="368">
                  <c:v>44754</c:v>
                </c:pt>
                <c:pt idx="369">
                  <c:v>44753</c:v>
                </c:pt>
                <c:pt idx="370">
                  <c:v>44750</c:v>
                </c:pt>
                <c:pt idx="371">
                  <c:v>44749</c:v>
                </c:pt>
                <c:pt idx="372">
                  <c:v>44748</c:v>
                </c:pt>
                <c:pt idx="373">
                  <c:v>44747</c:v>
                </c:pt>
                <c:pt idx="374">
                  <c:v>44746</c:v>
                </c:pt>
                <c:pt idx="375">
                  <c:v>44743</c:v>
                </c:pt>
                <c:pt idx="376">
                  <c:v>44742</c:v>
                </c:pt>
                <c:pt idx="377">
                  <c:v>44741</c:v>
                </c:pt>
                <c:pt idx="378">
                  <c:v>44740</c:v>
                </c:pt>
                <c:pt idx="379">
                  <c:v>44739</c:v>
                </c:pt>
                <c:pt idx="380">
                  <c:v>44736</c:v>
                </c:pt>
                <c:pt idx="381">
                  <c:v>44735</c:v>
                </c:pt>
                <c:pt idx="382">
                  <c:v>44734</c:v>
                </c:pt>
                <c:pt idx="383">
                  <c:v>44733</c:v>
                </c:pt>
                <c:pt idx="384">
                  <c:v>44732</c:v>
                </c:pt>
                <c:pt idx="385">
                  <c:v>44729</c:v>
                </c:pt>
                <c:pt idx="386">
                  <c:v>44728</c:v>
                </c:pt>
                <c:pt idx="387">
                  <c:v>44727</c:v>
                </c:pt>
                <c:pt idx="388">
                  <c:v>44725</c:v>
                </c:pt>
                <c:pt idx="389">
                  <c:v>44722</c:v>
                </c:pt>
                <c:pt idx="390">
                  <c:v>44721</c:v>
                </c:pt>
                <c:pt idx="391">
                  <c:v>44720</c:v>
                </c:pt>
                <c:pt idx="392">
                  <c:v>44719</c:v>
                </c:pt>
                <c:pt idx="393">
                  <c:v>44718</c:v>
                </c:pt>
                <c:pt idx="394">
                  <c:v>44715</c:v>
                </c:pt>
                <c:pt idx="395">
                  <c:v>44714</c:v>
                </c:pt>
                <c:pt idx="396">
                  <c:v>44713</c:v>
                </c:pt>
                <c:pt idx="397">
                  <c:v>44712</c:v>
                </c:pt>
                <c:pt idx="398">
                  <c:v>44711</c:v>
                </c:pt>
                <c:pt idx="399">
                  <c:v>44708</c:v>
                </c:pt>
                <c:pt idx="400">
                  <c:v>44707</c:v>
                </c:pt>
                <c:pt idx="401">
                  <c:v>44706</c:v>
                </c:pt>
                <c:pt idx="402">
                  <c:v>44705</c:v>
                </c:pt>
                <c:pt idx="403">
                  <c:v>44704</c:v>
                </c:pt>
                <c:pt idx="404">
                  <c:v>44701</c:v>
                </c:pt>
                <c:pt idx="405">
                  <c:v>44700</c:v>
                </c:pt>
                <c:pt idx="406">
                  <c:v>44699</c:v>
                </c:pt>
                <c:pt idx="407">
                  <c:v>44698</c:v>
                </c:pt>
                <c:pt idx="408">
                  <c:v>44694</c:v>
                </c:pt>
                <c:pt idx="409">
                  <c:v>44693</c:v>
                </c:pt>
                <c:pt idx="410">
                  <c:v>44690</c:v>
                </c:pt>
                <c:pt idx="411">
                  <c:v>44687</c:v>
                </c:pt>
                <c:pt idx="412">
                  <c:v>44686</c:v>
                </c:pt>
                <c:pt idx="413">
                  <c:v>44685</c:v>
                </c:pt>
                <c:pt idx="414">
                  <c:v>44680</c:v>
                </c:pt>
                <c:pt idx="415">
                  <c:v>44679</c:v>
                </c:pt>
                <c:pt idx="416">
                  <c:v>44678</c:v>
                </c:pt>
                <c:pt idx="417">
                  <c:v>44677</c:v>
                </c:pt>
                <c:pt idx="418">
                  <c:v>44676</c:v>
                </c:pt>
                <c:pt idx="419">
                  <c:v>44659</c:v>
                </c:pt>
                <c:pt idx="420">
                  <c:v>44658</c:v>
                </c:pt>
                <c:pt idx="421">
                  <c:v>44657</c:v>
                </c:pt>
                <c:pt idx="422">
                  <c:v>44656</c:v>
                </c:pt>
                <c:pt idx="423">
                  <c:v>44655</c:v>
                </c:pt>
                <c:pt idx="424">
                  <c:v>44652</c:v>
                </c:pt>
                <c:pt idx="425">
                  <c:v>44651</c:v>
                </c:pt>
                <c:pt idx="426">
                  <c:v>44650</c:v>
                </c:pt>
                <c:pt idx="427">
                  <c:v>44649</c:v>
                </c:pt>
                <c:pt idx="428">
                  <c:v>44648</c:v>
                </c:pt>
                <c:pt idx="429">
                  <c:v>44645</c:v>
                </c:pt>
                <c:pt idx="430">
                  <c:v>44644</c:v>
                </c:pt>
                <c:pt idx="431">
                  <c:v>44643</c:v>
                </c:pt>
                <c:pt idx="432">
                  <c:v>44642</c:v>
                </c:pt>
                <c:pt idx="433">
                  <c:v>44641</c:v>
                </c:pt>
                <c:pt idx="434">
                  <c:v>44638</c:v>
                </c:pt>
                <c:pt idx="435">
                  <c:v>44636</c:v>
                </c:pt>
                <c:pt idx="436">
                  <c:v>44635</c:v>
                </c:pt>
                <c:pt idx="437">
                  <c:v>44634</c:v>
                </c:pt>
                <c:pt idx="438">
                  <c:v>44631</c:v>
                </c:pt>
                <c:pt idx="439">
                  <c:v>44630</c:v>
                </c:pt>
                <c:pt idx="440">
                  <c:v>44629</c:v>
                </c:pt>
                <c:pt idx="441">
                  <c:v>44628</c:v>
                </c:pt>
                <c:pt idx="442">
                  <c:v>44627</c:v>
                </c:pt>
                <c:pt idx="443">
                  <c:v>44624</c:v>
                </c:pt>
                <c:pt idx="444">
                  <c:v>44623</c:v>
                </c:pt>
                <c:pt idx="445">
                  <c:v>44622</c:v>
                </c:pt>
                <c:pt idx="446">
                  <c:v>44620</c:v>
                </c:pt>
                <c:pt idx="447">
                  <c:v>44617</c:v>
                </c:pt>
                <c:pt idx="448">
                  <c:v>44616</c:v>
                </c:pt>
                <c:pt idx="449">
                  <c:v>44615</c:v>
                </c:pt>
                <c:pt idx="450">
                  <c:v>44614</c:v>
                </c:pt>
                <c:pt idx="451">
                  <c:v>44613</c:v>
                </c:pt>
                <c:pt idx="452">
                  <c:v>44610</c:v>
                </c:pt>
                <c:pt idx="453">
                  <c:v>44609</c:v>
                </c:pt>
                <c:pt idx="454">
                  <c:v>44607</c:v>
                </c:pt>
                <c:pt idx="455">
                  <c:v>44606</c:v>
                </c:pt>
                <c:pt idx="456">
                  <c:v>44603</c:v>
                </c:pt>
                <c:pt idx="457">
                  <c:v>44602</c:v>
                </c:pt>
                <c:pt idx="458">
                  <c:v>44601</c:v>
                </c:pt>
                <c:pt idx="459">
                  <c:v>44600</c:v>
                </c:pt>
                <c:pt idx="460">
                  <c:v>44599</c:v>
                </c:pt>
                <c:pt idx="461">
                  <c:v>44595</c:v>
                </c:pt>
                <c:pt idx="462">
                  <c:v>44594</c:v>
                </c:pt>
                <c:pt idx="463">
                  <c:v>44593</c:v>
                </c:pt>
                <c:pt idx="464">
                  <c:v>44592</c:v>
                </c:pt>
                <c:pt idx="465">
                  <c:v>44589</c:v>
                </c:pt>
                <c:pt idx="466">
                  <c:v>44588</c:v>
                </c:pt>
                <c:pt idx="467">
                  <c:v>44587</c:v>
                </c:pt>
                <c:pt idx="468">
                  <c:v>44586</c:v>
                </c:pt>
                <c:pt idx="469">
                  <c:v>44585</c:v>
                </c:pt>
                <c:pt idx="470">
                  <c:v>44582</c:v>
                </c:pt>
                <c:pt idx="471">
                  <c:v>44581</c:v>
                </c:pt>
                <c:pt idx="472">
                  <c:v>44580</c:v>
                </c:pt>
                <c:pt idx="473">
                  <c:v>44579</c:v>
                </c:pt>
                <c:pt idx="474">
                  <c:v>44574</c:v>
                </c:pt>
                <c:pt idx="475">
                  <c:v>44573</c:v>
                </c:pt>
                <c:pt idx="476">
                  <c:v>44572</c:v>
                </c:pt>
                <c:pt idx="477">
                  <c:v>44571</c:v>
                </c:pt>
                <c:pt idx="478">
                  <c:v>44568</c:v>
                </c:pt>
                <c:pt idx="479">
                  <c:v>44567</c:v>
                </c:pt>
                <c:pt idx="480">
                  <c:v>44566</c:v>
                </c:pt>
                <c:pt idx="481">
                  <c:v>44565</c:v>
                </c:pt>
                <c:pt idx="482">
                  <c:v>44564</c:v>
                </c:pt>
                <c:pt idx="483">
                  <c:v>44561</c:v>
                </c:pt>
                <c:pt idx="484">
                  <c:v>44560</c:v>
                </c:pt>
                <c:pt idx="485">
                  <c:v>44559</c:v>
                </c:pt>
                <c:pt idx="486">
                  <c:v>44558</c:v>
                </c:pt>
                <c:pt idx="487">
                  <c:v>44557</c:v>
                </c:pt>
                <c:pt idx="488">
                  <c:v>44554</c:v>
                </c:pt>
                <c:pt idx="489">
                  <c:v>44553</c:v>
                </c:pt>
                <c:pt idx="490">
                  <c:v>44552</c:v>
                </c:pt>
                <c:pt idx="491">
                  <c:v>44551</c:v>
                </c:pt>
                <c:pt idx="492">
                  <c:v>44550</c:v>
                </c:pt>
                <c:pt idx="493">
                  <c:v>44547</c:v>
                </c:pt>
                <c:pt idx="494">
                  <c:v>44546</c:v>
                </c:pt>
                <c:pt idx="495">
                  <c:v>44545</c:v>
                </c:pt>
                <c:pt idx="496">
                  <c:v>44544</c:v>
                </c:pt>
                <c:pt idx="497">
                  <c:v>44543</c:v>
                </c:pt>
                <c:pt idx="498">
                  <c:v>44540</c:v>
                </c:pt>
                <c:pt idx="499">
                  <c:v>44539</c:v>
                </c:pt>
                <c:pt idx="500">
                  <c:v>44538</c:v>
                </c:pt>
                <c:pt idx="501">
                  <c:v>44537</c:v>
                </c:pt>
                <c:pt idx="502">
                  <c:v>44536</c:v>
                </c:pt>
                <c:pt idx="503">
                  <c:v>44533</c:v>
                </c:pt>
                <c:pt idx="504">
                  <c:v>44532</c:v>
                </c:pt>
                <c:pt idx="505">
                  <c:v>44531</c:v>
                </c:pt>
                <c:pt idx="506">
                  <c:v>44530</c:v>
                </c:pt>
                <c:pt idx="507">
                  <c:v>44529</c:v>
                </c:pt>
                <c:pt idx="508">
                  <c:v>44526</c:v>
                </c:pt>
                <c:pt idx="509">
                  <c:v>44525</c:v>
                </c:pt>
                <c:pt idx="510">
                  <c:v>44524</c:v>
                </c:pt>
                <c:pt idx="511">
                  <c:v>44523</c:v>
                </c:pt>
                <c:pt idx="512">
                  <c:v>44522</c:v>
                </c:pt>
                <c:pt idx="513">
                  <c:v>44519</c:v>
                </c:pt>
                <c:pt idx="514">
                  <c:v>44517</c:v>
                </c:pt>
                <c:pt idx="515">
                  <c:v>44516</c:v>
                </c:pt>
                <c:pt idx="516">
                  <c:v>44515</c:v>
                </c:pt>
                <c:pt idx="517">
                  <c:v>44512</c:v>
                </c:pt>
                <c:pt idx="518">
                  <c:v>44511</c:v>
                </c:pt>
                <c:pt idx="519">
                  <c:v>44510</c:v>
                </c:pt>
                <c:pt idx="520">
                  <c:v>44509</c:v>
                </c:pt>
                <c:pt idx="521">
                  <c:v>44508</c:v>
                </c:pt>
                <c:pt idx="522">
                  <c:v>44505</c:v>
                </c:pt>
                <c:pt idx="523">
                  <c:v>44503</c:v>
                </c:pt>
                <c:pt idx="524">
                  <c:v>44502</c:v>
                </c:pt>
                <c:pt idx="525">
                  <c:v>44501</c:v>
                </c:pt>
                <c:pt idx="526">
                  <c:v>44498</c:v>
                </c:pt>
                <c:pt idx="527">
                  <c:v>44497</c:v>
                </c:pt>
                <c:pt idx="528">
                  <c:v>44496</c:v>
                </c:pt>
                <c:pt idx="529">
                  <c:v>44495</c:v>
                </c:pt>
                <c:pt idx="530">
                  <c:v>44494</c:v>
                </c:pt>
                <c:pt idx="531">
                  <c:v>44491</c:v>
                </c:pt>
                <c:pt idx="532">
                  <c:v>44490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44477</c:v>
                </c:pt>
                <c:pt idx="540">
                  <c:v>44476</c:v>
                </c:pt>
                <c:pt idx="541">
                  <c:v>44475</c:v>
                </c:pt>
                <c:pt idx="542">
                  <c:v>44474</c:v>
                </c:pt>
                <c:pt idx="543">
                  <c:v>44473</c:v>
                </c:pt>
                <c:pt idx="544">
                  <c:v>44470</c:v>
                </c:pt>
                <c:pt idx="545">
                  <c:v>44469</c:v>
                </c:pt>
                <c:pt idx="546">
                  <c:v>44468</c:v>
                </c:pt>
                <c:pt idx="547">
                  <c:v>44467</c:v>
                </c:pt>
                <c:pt idx="548">
                  <c:v>44466</c:v>
                </c:pt>
                <c:pt idx="549">
                  <c:v>44463</c:v>
                </c:pt>
                <c:pt idx="550">
                  <c:v>44462</c:v>
                </c:pt>
                <c:pt idx="551">
                  <c:v>44461</c:v>
                </c:pt>
                <c:pt idx="552">
                  <c:v>44460</c:v>
                </c:pt>
                <c:pt idx="553">
                  <c:v>44456</c:v>
                </c:pt>
                <c:pt idx="554">
                  <c:v>44455</c:v>
                </c:pt>
                <c:pt idx="555">
                  <c:v>44454</c:v>
                </c:pt>
                <c:pt idx="556">
                  <c:v>44453</c:v>
                </c:pt>
                <c:pt idx="557">
                  <c:v>44452</c:v>
                </c:pt>
                <c:pt idx="558">
                  <c:v>44449</c:v>
                </c:pt>
                <c:pt idx="559">
                  <c:v>44448</c:v>
                </c:pt>
                <c:pt idx="560">
                  <c:v>44447</c:v>
                </c:pt>
                <c:pt idx="561">
                  <c:v>44446</c:v>
                </c:pt>
                <c:pt idx="562">
                  <c:v>44445</c:v>
                </c:pt>
                <c:pt idx="563">
                  <c:v>44442</c:v>
                </c:pt>
                <c:pt idx="564">
                  <c:v>44441</c:v>
                </c:pt>
                <c:pt idx="565">
                  <c:v>44440</c:v>
                </c:pt>
                <c:pt idx="566">
                  <c:v>44439</c:v>
                </c:pt>
                <c:pt idx="567">
                  <c:v>44438</c:v>
                </c:pt>
                <c:pt idx="568">
                  <c:v>44435</c:v>
                </c:pt>
                <c:pt idx="569">
                  <c:v>44434</c:v>
                </c:pt>
                <c:pt idx="570">
                  <c:v>44433</c:v>
                </c:pt>
                <c:pt idx="571">
                  <c:v>44432</c:v>
                </c:pt>
                <c:pt idx="572">
                  <c:v>44431</c:v>
                </c:pt>
                <c:pt idx="573">
                  <c:v>44428</c:v>
                </c:pt>
                <c:pt idx="574">
                  <c:v>44427</c:v>
                </c:pt>
                <c:pt idx="575">
                  <c:v>44426</c:v>
                </c:pt>
                <c:pt idx="576">
                  <c:v>44425</c:v>
                </c:pt>
                <c:pt idx="577">
                  <c:v>44424</c:v>
                </c:pt>
                <c:pt idx="578">
                  <c:v>44421</c:v>
                </c:pt>
                <c:pt idx="579">
                  <c:v>44420</c:v>
                </c:pt>
                <c:pt idx="580">
                  <c:v>44419</c:v>
                </c:pt>
                <c:pt idx="581">
                  <c:v>44418</c:v>
                </c:pt>
                <c:pt idx="582">
                  <c:v>44417</c:v>
                </c:pt>
                <c:pt idx="583">
                  <c:v>44414</c:v>
                </c:pt>
                <c:pt idx="584">
                  <c:v>44413</c:v>
                </c:pt>
                <c:pt idx="585">
                  <c:v>44412</c:v>
                </c:pt>
                <c:pt idx="586">
                  <c:v>44411</c:v>
                </c:pt>
                <c:pt idx="587">
                  <c:v>44410</c:v>
                </c:pt>
                <c:pt idx="588">
                  <c:v>44407</c:v>
                </c:pt>
                <c:pt idx="589">
                  <c:v>44406</c:v>
                </c:pt>
                <c:pt idx="590">
                  <c:v>44405</c:v>
                </c:pt>
                <c:pt idx="591">
                  <c:v>44404</c:v>
                </c:pt>
                <c:pt idx="592">
                  <c:v>44403</c:v>
                </c:pt>
                <c:pt idx="593">
                  <c:v>44399</c:v>
                </c:pt>
                <c:pt idx="594">
                  <c:v>44397</c:v>
                </c:pt>
                <c:pt idx="595">
                  <c:v>44396</c:v>
                </c:pt>
                <c:pt idx="596">
                  <c:v>44393</c:v>
                </c:pt>
                <c:pt idx="597">
                  <c:v>44392</c:v>
                </c:pt>
                <c:pt idx="598">
                  <c:v>44391</c:v>
                </c:pt>
                <c:pt idx="599">
                  <c:v>44390</c:v>
                </c:pt>
                <c:pt idx="600">
                  <c:v>44389</c:v>
                </c:pt>
                <c:pt idx="601">
                  <c:v>44386</c:v>
                </c:pt>
                <c:pt idx="602">
                  <c:v>44385</c:v>
                </c:pt>
                <c:pt idx="603">
                  <c:v>44384</c:v>
                </c:pt>
                <c:pt idx="604">
                  <c:v>44383</c:v>
                </c:pt>
                <c:pt idx="605">
                  <c:v>44382</c:v>
                </c:pt>
                <c:pt idx="606">
                  <c:v>44379</c:v>
                </c:pt>
                <c:pt idx="607">
                  <c:v>44378</c:v>
                </c:pt>
                <c:pt idx="608">
                  <c:v>44377</c:v>
                </c:pt>
                <c:pt idx="609">
                  <c:v>44376</c:v>
                </c:pt>
                <c:pt idx="610">
                  <c:v>44375</c:v>
                </c:pt>
                <c:pt idx="611">
                  <c:v>44372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44361</c:v>
                </c:pt>
                <c:pt idx="620">
                  <c:v>44358</c:v>
                </c:pt>
                <c:pt idx="621">
                  <c:v>44357</c:v>
                </c:pt>
                <c:pt idx="622">
                  <c:v>44356</c:v>
                </c:pt>
                <c:pt idx="623">
                  <c:v>44355</c:v>
                </c:pt>
                <c:pt idx="624">
                  <c:v>44354</c:v>
                </c:pt>
                <c:pt idx="625">
                  <c:v>44351</c:v>
                </c:pt>
                <c:pt idx="626">
                  <c:v>44350</c:v>
                </c:pt>
                <c:pt idx="627">
                  <c:v>44349</c:v>
                </c:pt>
                <c:pt idx="628">
                  <c:v>44348</c:v>
                </c:pt>
                <c:pt idx="629">
                  <c:v>44347</c:v>
                </c:pt>
                <c:pt idx="630">
                  <c:v>44344</c:v>
                </c:pt>
                <c:pt idx="631">
                  <c:v>44341</c:v>
                </c:pt>
                <c:pt idx="632">
                  <c:v>44340</c:v>
                </c:pt>
                <c:pt idx="633">
                  <c:v>44337</c:v>
                </c:pt>
                <c:pt idx="634">
                  <c:v>44336</c:v>
                </c:pt>
                <c:pt idx="635">
                  <c:v>44335</c:v>
                </c:pt>
                <c:pt idx="636">
                  <c:v>44334</c:v>
                </c:pt>
                <c:pt idx="637">
                  <c:v>44333</c:v>
                </c:pt>
                <c:pt idx="638">
                  <c:v>44329</c:v>
                </c:pt>
                <c:pt idx="639">
                  <c:v>44328</c:v>
                </c:pt>
                <c:pt idx="640">
                  <c:v>44327</c:v>
                </c:pt>
                <c:pt idx="641">
                  <c:v>44326</c:v>
                </c:pt>
                <c:pt idx="642">
                  <c:v>44323</c:v>
                </c:pt>
                <c:pt idx="643">
                  <c:v>44322</c:v>
                </c:pt>
                <c:pt idx="644">
                  <c:v>44321</c:v>
                </c:pt>
                <c:pt idx="645">
                  <c:v>44320</c:v>
                </c:pt>
                <c:pt idx="646">
                  <c:v>44319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44309</c:v>
                </c:pt>
                <c:pt idx="652">
                  <c:v>44308</c:v>
                </c:pt>
                <c:pt idx="653">
                  <c:v>44307</c:v>
                </c:pt>
                <c:pt idx="654">
                  <c:v>44306</c:v>
                </c:pt>
                <c:pt idx="655">
                  <c:v>44305</c:v>
                </c:pt>
                <c:pt idx="656">
                  <c:v>44302</c:v>
                </c:pt>
                <c:pt idx="657">
                  <c:v>44301</c:v>
                </c:pt>
                <c:pt idx="658">
                  <c:v>44298</c:v>
                </c:pt>
                <c:pt idx="659">
                  <c:v>44295</c:v>
                </c:pt>
                <c:pt idx="660">
                  <c:v>44294</c:v>
                </c:pt>
                <c:pt idx="661">
                  <c:v>44293</c:v>
                </c:pt>
                <c:pt idx="662">
                  <c:v>44292</c:v>
                </c:pt>
                <c:pt idx="663">
                  <c:v>44291</c:v>
                </c:pt>
                <c:pt idx="664">
                  <c:v>44287</c:v>
                </c:pt>
                <c:pt idx="665">
                  <c:v>44286</c:v>
                </c:pt>
                <c:pt idx="666">
                  <c:v>44285</c:v>
                </c:pt>
                <c:pt idx="667">
                  <c:v>44284</c:v>
                </c:pt>
                <c:pt idx="668">
                  <c:v>44281</c:v>
                </c:pt>
                <c:pt idx="669">
                  <c:v>44280</c:v>
                </c:pt>
                <c:pt idx="670">
                  <c:v>44279</c:v>
                </c:pt>
                <c:pt idx="671">
                  <c:v>44278</c:v>
                </c:pt>
                <c:pt idx="672">
                  <c:v>44277</c:v>
                </c:pt>
                <c:pt idx="673">
                  <c:v>44274</c:v>
                </c:pt>
                <c:pt idx="674">
                  <c:v>44273</c:v>
                </c:pt>
                <c:pt idx="675">
                  <c:v>44272</c:v>
                </c:pt>
                <c:pt idx="676">
                  <c:v>44271</c:v>
                </c:pt>
                <c:pt idx="677">
                  <c:v>44270</c:v>
                </c:pt>
                <c:pt idx="678">
                  <c:v>44267</c:v>
                </c:pt>
                <c:pt idx="679">
                  <c:v>44265</c:v>
                </c:pt>
                <c:pt idx="680">
                  <c:v>44264</c:v>
                </c:pt>
                <c:pt idx="681">
                  <c:v>44263</c:v>
                </c:pt>
                <c:pt idx="682">
                  <c:v>44260</c:v>
                </c:pt>
                <c:pt idx="683">
                  <c:v>44259</c:v>
                </c:pt>
                <c:pt idx="684">
                  <c:v>44258</c:v>
                </c:pt>
                <c:pt idx="685">
                  <c:v>44257</c:v>
                </c:pt>
                <c:pt idx="686">
                  <c:v>44256</c:v>
                </c:pt>
                <c:pt idx="687">
                  <c:v>44252</c:v>
                </c:pt>
                <c:pt idx="688">
                  <c:v>44251</c:v>
                </c:pt>
                <c:pt idx="689">
                  <c:v>44250</c:v>
                </c:pt>
                <c:pt idx="690">
                  <c:v>44249</c:v>
                </c:pt>
                <c:pt idx="691">
                  <c:v>44246</c:v>
                </c:pt>
                <c:pt idx="692">
                  <c:v>44245</c:v>
                </c:pt>
                <c:pt idx="693">
                  <c:v>44244</c:v>
                </c:pt>
                <c:pt idx="694">
                  <c:v>44243</c:v>
                </c:pt>
                <c:pt idx="695">
                  <c:v>44242</c:v>
                </c:pt>
                <c:pt idx="696">
                  <c:v>44239</c:v>
                </c:pt>
                <c:pt idx="697">
                  <c:v>44238</c:v>
                </c:pt>
                <c:pt idx="698">
                  <c:v>44237</c:v>
                </c:pt>
                <c:pt idx="699">
                  <c:v>44236</c:v>
                </c:pt>
                <c:pt idx="700">
                  <c:v>44235</c:v>
                </c:pt>
                <c:pt idx="701">
                  <c:v>44232</c:v>
                </c:pt>
                <c:pt idx="702">
                  <c:v>44230</c:v>
                </c:pt>
                <c:pt idx="703">
                  <c:v>44229</c:v>
                </c:pt>
                <c:pt idx="704">
                  <c:v>44228</c:v>
                </c:pt>
                <c:pt idx="705">
                  <c:v>44225</c:v>
                </c:pt>
                <c:pt idx="706">
                  <c:v>44223</c:v>
                </c:pt>
                <c:pt idx="707">
                  <c:v>44222</c:v>
                </c:pt>
                <c:pt idx="708">
                  <c:v>44221</c:v>
                </c:pt>
                <c:pt idx="709">
                  <c:v>44218</c:v>
                </c:pt>
                <c:pt idx="710">
                  <c:v>44217</c:v>
                </c:pt>
                <c:pt idx="711">
                  <c:v>44216</c:v>
                </c:pt>
                <c:pt idx="712">
                  <c:v>44215</c:v>
                </c:pt>
                <c:pt idx="713">
                  <c:v>44214</c:v>
                </c:pt>
                <c:pt idx="714">
                  <c:v>44211</c:v>
                </c:pt>
                <c:pt idx="715">
                  <c:v>44209</c:v>
                </c:pt>
                <c:pt idx="716">
                  <c:v>44208</c:v>
                </c:pt>
                <c:pt idx="717">
                  <c:v>44207</c:v>
                </c:pt>
                <c:pt idx="718">
                  <c:v>44204</c:v>
                </c:pt>
                <c:pt idx="719">
                  <c:v>44203</c:v>
                </c:pt>
                <c:pt idx="720">
                  <c:v>44202</c:v>
                </c:pt>
                <c:pt idx="721">
                  <c:v>44201</c:v>
                </c:pt>
                <c:pt idx="722">
                  <c:v>44200</c:v>
                </c:pt>
              </c:numCache>
            </c:numRef>
          </c:cat>
          <c:val>
            <c:numRef>
              <c:f>'Price volume'!$Q$4:$Q$725</c:f>
            </c:numRef>
          </c:val>
          <c:smooth val="0"/>
          <c:extLst>
            <c:ext xmlns:c16="http://schemas.microsoft.com/office/drawing/2014/chart" uri="{C3380CC4-5D6E-409C-BE32-E72D297353CC}">
              <c16:uniqueId val="{00000001-C365-4F94-B7C2-3EFD208B301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'Price volume'!$O$3:$O$725</c:f>
              <c:numCache>
                <c:formatCode>m/d/yyyy</c:formatCode>
                <c:ptCount val="723"/>
                <c:pt idx="0">
                  <c:v>45307</c:v>
                </c:pt>
                <c:pt idx="1">
                  <c:v>45302</c:v>
                </c:pt>
                <c:pt idx="2">
                  <c:v>45301</c:v>
                </c:pt>
                <c:pt idx="3">
                  <c:v>45300</c:v>
                </c:pt>
                <c:pt idx="4">
                  <c:v>45299</c:v>
                </c:pt>
                <c:pt idx="5">
                  <c:v>45296</c:v>
                </c:pt>
                <c:pt idx="6">
                  <c:v>45295</c:v>
                </c:pt>
                <c:pt idx="7">
                  <c:v>45294</c:v>
                </c:pt>
                <c:pt idx="8">
                  <c:v>45293</c:v>
                </c:pt>
                <c:pt idx="9">
                  <c:v>45289</c:v>
                </c:pt>
                <c:pt idx="10">
                  <c:v>45288</c:v>
                </c:pt>
                <c:pt idx="11">
                  <c:v>45287</c:v>
                </c:pt>
                <c:pt idx="12">
                  <c:v>45282</c:v>
                </c:pt>
                <c:pt idx="13">
                  <c:v>45281</c:v>
                </c:pt>
                <c:pt idx="14">
                  <c:v>45280</c:v>
                </c:pt>
                <c:pt idx="15">
                  <c:v>45279</c:v>
                </c:pt>
                <c:pt idx="16">
                  <c:v>45278</c:v>
                </c:pt>
                <c:pt idx="17">
                  <c:v>45275</c:v>
                </c:pt>
                <c:pt idx="18">
                  <c:v>45274</c:v>
                </c:pt>
                <c:pt idx="19">
                  <c:v>45274</c:v>
                </c:pt>
                <c:pt idx="20">
                  <c:v>45273</c:v>
                </c:pt>
                <c:pt idx="21">
                  <c:v>45272</c:v>
                </c:pt>
                <c:pt idx="22">
                  <c:v>45271</c:v>
                </c:pt>
                <c:pt idx="23">
                  <c:v>45268</c:v>
                </c:pt>
                <c:pt idx="24">
                  <c:v>45267</c:v>
                </c:pt>
                <c:pt idx="25">
                  <c:v>45266</c:v>
                </c:pt>
                <c:pt idx="26">
                  <c:v>45265</c:v>
                </c:pt>
                <c:pt idx="27">
                  <c:v>45264</c:v>
                </c:pt>
                <c:pt idx="28">
                  <c:v>45261</c:v>
                </c:pt>
                <c:pt idx="29">
                  <c:v>45260</c:v>
                </c:pt>
                <c:pt idx="30">
                  <c:v>45259</c:v>
                </c:pt>
                <c:pt idx="31">
                  <c:v>45258</c:v>
                </c:pt>
                <c:pt idx="32">
                  <c:v>45257</c:v>
                </c:pt>
                <c:pt idx="33">
                  <c:v>45254</c:v>
                </c:pt>
                <c:pt idx="34">
                  <c:v>45253</c:v>
                </c:pt>
                <c:pt idx="35">
                  <c:v>45252</c:v>
                </c:pt>
                <c:pt idx="36">
                  <c:v>45251</c:v>
                </c:pt>
                <c:pt idx="37">
                  <c:v>45250</c:v>
                </c:pt>
                <c:pt idx="38">
                  <c:v>45247</c:v>
                </c:pt>
                <c:pt idx="39">
                  <c:v>45246</c:v>
                </c:pt>
                <c:pt idx="40">
                  <c:v>45245</c:v>
                </c:pt>
                <c:pt idx="41">
                  <c:v>45244</c:v>
                </c:pt>
                <c:pt idx="42">
                  <c:v>45243</c:v>
                </c:pt>
                <c:pt idx="43">
                  <c:v>45240</c:v>
                </c:pt>
                <c:pt idx="44">
                  <c:v>45239</c:v>
                </c:pt>
                <c:pt idx="45">
                  <c:v>45238</c:v>
                </c:pt>
                <c:pt idx="46">
                  <c:v>45237</c:v>
                </c:pt>
                <c:pt idx="47">
                  <c:v>45236</c:v>
                </c:pt>
                <c:pt idx="48">
                  <c:v>45233</c:v>
                </c:pt>
                <c:pt idx="49">
                  <c:v>45232</c:v>
                </c:pt>
                <c:pt idx="50">
                  <c:v>45231</c:v>
                </c:pt>
                <c:pt idx="51">
                  <c:v>45230</c:v>
                </c:pt>
                <c:pt idx="52">
                  <c:v>45229</c:v>
                </c:pt>
                <c:pt idx="53">
                  <c:v>45226</c:v>
                </c:pt>
                <c:pt idx="54">
                  <c:v>45225</c:v>
                </c:pt>
                <c:pt idx="55">
                  <c:v>45224</c:v>
                </c:pt>
                <c:pt idx="56">
                  <c:v>45223</c:v>
                </c:pt>
                <c:pt idx="57">
                  <c:v>45222</c:v>
                </c:pt>
                <c:pt idx="58">
                  <c:v>45219</c:v>
                </c:pt>
                <c:pt idx="59">
                  <c:v>45218</c:v>
                </c:pt>
                <c:pt idx="60">
                  <c:v>45217</c:v>
                </c:pt>
                <c:pt idx="61">
                  <c:v>45216</c:v>
                </c:pt>
                <c:pt idx="62">
                  <c:v>45215</c:v>
                </c:pt>
                <c:pt idx="63">
                  <c:v>45212</c:v>
                </c:pt>
                <c:pt idx="64">
                  <c:v>45211</c:v>
                </c:pt>
                <c:pt idx="65">
                  <c:v>45210</c:v>
                </c:pt>
                <c:pt idx="66">
                  <c:v>45209</c:v>
                </c:pt>
                <c:pt idx="67">
                  <c:v>45208</c:v>
                </c:pt>
                <c:pt idx="68">
                  <c:v>45205</c:v>
                </c:pt>
                <c:pt idx="69">
                  <c:v>45204</c:v>
                </c:pt>
                <c:pt idx="70">
                  <c:v>45203</c:v>
                </c:pt>
                <c:pt idx="71">
                  <c:v>45202</c:v>
                </c:pt>
                <c:pt idx="72">
                  <c:v>45201</c:v>
                </c:pt>
                <c:pt idx="73">
                  <c:v>45196</c:v>
                </c:pt>
                <c:pt idx="74">
                  <c:v>45195</c:v>
                </c:pt>
                <c:pt idx="75">
                  <c:v>45194</c:v>
                </c:pt>
                <c:pt idx="76">
                  <c:v>45191</c:v>
                </c:pt>
                <c:pt idx="77">
                  <c:v>45190</c:v>
                </c:pt>
                <c:pt idx="78">
                  <c:v>45189</c:v>
                </c:pt>
                <c:pt idx="79">
                  <c:v>45188</c:v>
                </c:pt>
                <c:pt idx="80">
                  <c:v>45187</c:v>
                </c:pt>
                <c:pt idx="81">
                  <c:v>45184</c:v>
                </c:pt>
                <c:pt idx="82">
                  <c:v>45183</c:v>
                </c:pt>
                <c:pt idx="83">
                  <c:v>45182</c:v>
                </c:pt>
                <c:pt idx="84">
                  <c:v>45181</c:v>
                </c:pt>
                <c:pt idx="85">
                  <c:v>45180</c:v>
                </c:pt>
                <c:pt idx="86">
                  <c:v>45177</c:v>
                </c:pt>
                <c:pt idx="87">
                  <c:v>45176</c:v>
                </c:pt>
                <c:pt idx="88">
                  <c:v>45175</c:v>
                </c:pt>
                <c:pt idx="89">
                  <c:v>45174</c:v>
                </c:pt>
                <c:pt idx="90">
                  <c:v>45173</c:v>
                </c:pt>
                <c:pt idx="91">
                  <c:v>45170</c:v>
                </c:pt>
                <c:pt idx="92">
                  <c:v>45169</c:v>
                </c:pt>
                <c:pt idx="93">
                  <c:v>45167</c:v>
                </c:pt>
                <c:pt idx="94">
                  <c:v>45166</c:v>
                </c:pt>
                <c:pt idx="95">
                  <c:v>45163</c:v>
                </c:pt>
                <c:pt idx="96">
                  <c:v>45162</c:v>
                </c:pt>
                <c:pt idx="97">
                  <c:v>45161</c:v>
                </c:pt>
                <c:pt idx="98">
                  <c:v>45160</c:v>
                </c:pt>
                <c:pt idx="99">
                  <c:v>45159</c:v>
                </c:pt>
                <c:pt idx="100">
                  <c:v>45156</c:v>
                </c:pt>
                <c:pt idx="101">
                  <c:v>45155</c:v>
                </c:pt>
                <c:pt idx="102">
                  <c:v>45154</c:v>
                </c:pt>
                <c:pt idx="103">
                  <c:v>45153</c:v>
                </c:pt>
                <c:pt idx="104">
                  <c:v>45152</c:v>
                </c:pt>
                <c:pt idx="105">
                  <c:v>45149</c:v>
                </c:pt>
                <c:pt idx="106">
                  <c:v>45148</c:v>
                </c:pt>
                <c:pt idx="107">
                  <c:v>45147</c:v>
                </c:pt>
                <c:pt idx="108">
                  <c:v>45146</c:v>
                </c:pt>
                <c:pt idx="109">
                  <c:v>45145</c:v>
                </c:pt>
                <c:pt idx="110">
                  <c:v>45142</c:v>
                </c:pt>
                <c:pt idx="111">
                  <c:v>45141</c:v>
                </c:pt>
                <c:pt idx="112">
                  <c:v>45140</c:v>
                </c:pt>
                <c:pt idx="113">
                  <c:v>45138</c:v>
                </c:pt>
                <c:pt idx="114">
                  <c:v>45135</c:v>
                </c:pt>
                <c:pt idx="115">
                  <c:v>45134</c:v>
                </c:pt>
                <c:pt idx="116">
                  <c:v>45133</c:v>
                </c:pt>
                <c:pt idx="117">
                  <c:v>45132</c:v>
                </c:pt>
                <c:pt idx="118">
                  <c:v>45131</c:v>
                </c:pt>
                <c:pt idx="119">
                  <c:v>45128</c:v>
                </c:pt>
                <c:pt idx="120">
                  <c:v>45127</c:v>
                </c:pt>
                <c:pt idx="121">
                  <c:v>45126</c:v>
                </c:pt>
                <c:pt idx="122">
                  <c:v>45125</c:v>
                </c:pt>
                <c:pt idx="123">
                  <c:v>45124</c:v>
                </c:pt>
                <c:pt idx="124">
                  <c:v>45121</c:v>
                </c:pt>
                <c:pt idx="125">
                  <c:v>45120</c:v>
                </c:pt>
                <c:pt idx="126">
                  <c:v>45119</c:v>
                </c:pt>
                <c:pt idx="127">
                  <c:v>45118</c:v>
                </c:pt>
                <c:pt idx="128">
                  <c:v>45117</c:v>
                </c:pt>
                <c:pt idx="129">
                  <c:v>45114</c:v>
                </c:pt>
                <c:pt idx="130">
                  <c:v>45113</c:v>
                </c:pt>
                <c:pt idx="131">
                  <c:v>45112</c:v>
                </c:pt>
                <c:pt idx="132">
                  <c:v>45111</c:v>
                </c:pt>
                <c:pt idx="133">
                  <c:v>45105</c:v>
                </c:pt>
                <c:pt idx="134">
                  <c:v>45104</c:v>
                </c:pt>
                <c:pt idx="135">
                  <c:v>45103</c:v>
                </c:pt>
                <c:pt idx="136">
                  <c:v>45100</c:v>
                </c:pt>
                <c:pt idx="137">
                  <c:v>45099</c:v>
                </c:pt>
                <c:pt idx="138">
                  <c:v>45098</c:v>
                </c:pt>
                <c:pt idx="139">
                  <c:v>45097</c:v>
                </c:pt>
                <c:pt idx="140">
                  <c:v>45096</c:v>
                </c:pt>
                <c:pt idx="141">
                  <c:v>45093</c:v>
                </c:pt>
                <c:pt idx="142">
                  <c:v>45092</c:v>
                </c:pt>
                <c:pt idx="143">
                  <c:v>45091</c:v>
                </c:pt>
                <c:pt idx="144">
                  <c:v>45090</c:v>
                </c:pt>
                <c:pt idx="145">
                  <c:v>45089</c:v>
                </c:pt>
                <c:pt idx="146">
                  <c:v>45086</c:v>
                </c:pt>
                <c:pt idx="147">
                  <c:v>45085</c:v>
                </c:pt>
                <c:pt idx="148">
                  <c:v>45084</c:v>
                </c:pt>
                <c:pt idx="149">
                  <c:v>45083</c:v>
                </c:pt>
                <c:pt idx="150">
                  <c:v>45082</c:v>
                </c:pt>
                <c:pt idx="151">
                  <c:v>45079</c:v>
                </c:pt>
                <c:pt idx="152">
                  <c:v>45078</c:v>
                </c:pt>
                <c:pt idx="153">
                  <c:v>45077</c:v>
                </c:pt>
                <c:pt idx="154">
                  <c:v>45076</c:v>
                </c:pt>
                <c:pt idx="155">
                  <c:v>45075</c:v>
                </c:pt>
                <c:pt idx="156">
                  <c:v>45072</c:v>
                </c:pt>
                <c:pt idx="157">
                  <c:v>45071</c:v>
                </c:pt>
                <c:pt idx="158">
                  <c:v>45070</c:v>
                </c:pt>
                <c:pt idx="159">
                  <c:v>45069</c:v>
                </c:pt>
                <c:pt idx="160">
                  <c:v>45068</c:v>
                </c:pt>
                <c:pt idx="161">
                  <c:v>45065</c:v>
                </c:pt>
                <c:pt idx="162">
                  <c:v>45064</c:v>
                </c:pt>
                <c:pt idx="163">
                  <c:v>45063</c:v>
                </c:pt>
                <c:pt idx="164">
                  <c:v>45062</c:v>
                </c:pt>
                <c:pt idx="165">
                  <c:v>45061</c:v>
                </c:pt>
                <c:pt idx="166">
                  <c:v>45058</c:v>
                </c:pt>
                <c:pt idx="167">
                  <c:v>45057</c:v>
                </c:pt>
                <c:pt idx="168">
                  <c:v>45056</c:v>
                </c:pt>
                <c:pt idx="169">
                  <c:v>45055</c:v>
                </c:pt>
                <c:pt idx="170">
                  <c:v>45054</c:v>
                </c:pt>
                <c:pt idx="171">
                  <c:v>45050</c:v>
                </c:pt>
                <c:pt idx="172">
                  <c:v>45049</c:v>
                </c:pt>
                <c:pt idx="173">
                  <c:v>45048</c:v>
                </c:pt>
                <c:pt idx="174">
                  <c:v>45044</c:v>
                </c:pt>
                <c:pt idx="175">
                  <c:v>45043</c:v>
                </c:pt>
                <c:pt idx="176">
                  <c:v>45042</c:v>
                </c:pt>
                <c:pt idx="177">
                  <c:v>45041</c:v>
                </c:pt>
                <c:pt idx="178">
                  <c:v>45040</c:v>
                </c:pt>
                <c:pt idx="179">
                  <c:v>45037</c:v>
                </c:pt>
                <c:pt idx="180">
                  <c:v>45036</c:v>
                </c:pt>
                <c:pt idx="181">
                  <c:v>45035</c:v>
                </c:pt>
                <c:pt idx="182">
                  <c:v>45034</c:v>
                </c:pt>
                <c:pt idx="183">
                  <c:v>45033</c:v>
                </c:pt>
                <c:pt idx="184">
                  <c:v>45028</c:v>
                </c:pt>
                <c:pt idx="185">
                  <c:v>45027</c:v>
                </c:pt>
                <c:pt idx="186">
                  <c:v>45026</c:v>
                </c:pt>
                <c:pt idx="187">
                  <c:v>45022</c:v>
                </c:pt>
                <c:pt idx="188">
                  <c:v>45020</c:v>
                </c:pt>
                <c:pt idx="189">
                  <c:v>45019</c:v>
                </c:pt>
                <c:pt idx="190">
                  <c:v>45016</c:v>
                </c:pt>
                <c:pt idx="191">
                  <c:v>45015</c:v>
                </c:pt>
                <c:pt idx="192">
                  <c:v>45014</c:v>
                </c:pt>
                <c:pt idx="193">
                  <c:v>45013</c:v>
                </c:pt>
                <c:pt idx="194">
                  <c:v>45012</c:v>
                </c:pt>
                <c:pt idx="195">
                  <c:v>45009</c:v>
                </c:pt>
                <c:pt idx="196">
                  <c:v>45008</c:v>
                </c:pt>
                <c:pt idx="197">
                  <c:v>45007</c:v>
                </c:pt>
                <c:pt idx="198">
                  <c:v>45006</c:v>
                </c:pt>
                <c:pt idx="199">
                  <c:v>45005</c:v>
                </c:pt>
                <c:pt idx="200">
                  <c:v>45002</c:v>
                </c:pt>
                <c:pt idx="201">
                  <c:v>45001</c:v>
                </c:pt>
                <c:pt idx="202">
                  <c:v>45000</c:v>
                </c:pt>
                <c:pt idx="203">
                  <c:v>44999</c:v>
                </c:pt>
                <c:pt idx="204">
                  <c:v>44998</c:v>
                </c:pt>
                <c:pt idx="205">
                  <c:v>44995</c:v>
                </c:pt>
                <c:pt idx="206">
                  <c:v>44994</c:v>
                </c:pt>
                <c:pt idx="207">
                  <c:v>44993</c:v>
                </c:pt>
                <c:pt idx="208">
                  <c:v>44992</c:v>
                </c:pt>
                <c:pt idx="209">
                  <c:v>44988</c:v>
                </c:pt>
                <c:pt idx="210">
                  <c:v>44987</c:v>
                </c:pt>
                <c:pt idx="211">
                  <c:v>44986</c:v>
                </c:pt>
                <c:pt idx="212">
                  <c:v>44985</c:v>
                </c:pt>
                <c:pt idx="213">
                  <c:v>44984</c:v>
                </c:pt>
                <c:pt idx="214">
                  <c:v>44981</c:v>
                </c:pt>
                <c:pt idx="215">
                  <c:v>44980</c:v>
                </c:pt>
                <c:pt idx="216">
                  <c:v>44979</c:v>
                </c:pt>
                <c:pt idx="217">
                  <c:v>44978</c:v>
                </c:pt>
                <c:pt idx="218">
                  <c:v>44977</c:v>
                </c:pt>
                <c:pt idx="219">
                  <c:v>44974</c:v>
                </c:pt>
                <c:pt idx="220">
                  <c:v>44973</c:v>
                </c:pt>
                <c:pt idx="221">
                  <c:v>44972</c:v>
                </c:pt>
                <c:pt idx="222">
                  <c:v>44971</c:v>
                </c:pt>
                <c:pt idx="223">
                  <c:v>44970</c:v>
                </c:pt>
                <c:pt idx="224">
                  <c:v>44967</c:v>
                </c:pt>
                <c:pt idx="225">
                  <c:v>44966</c:v>
                </c:pt>
                <c:pt idx="226">
                  <c:v>44965</c:v>
                </c:pt>
                <c:pt idx="227">
                  <c:v>44964</c:v>
                </c:pt>
                <c:pt idx="228">
                  <c:v>44963</c:v>
                </c:pt>
                <c:pt idx="229">
                  <c:v>44960</c:v>
                </c:pt>
                <c:pt idx="230">
                  <c:v>44959</c:v>
                </c:pt>
                <c:pt idx="231">
                  <c:v>44958</c:v>
                </c:pt>
                <c:pt idx="232">
                  <c:v>44957</c:v>
                </c:pt>
                <c:pt idx="233">
                  <c:v>44956</c:v>
                </c:pt>
                <c:pt idx="234">
                  <c:v>44953</c:v>
                </c:pt>
                <c:pt idx="235">
                  <c:v>44952</c:v>
                </c:pt>
                <c:pt idx="236">
                  <c:v>44951</c:v>
                </c:pt>
                <c:pt idx="237">
                  <c:v>44950</c:v>
                </c:pt>
                <c:pt idx="238">
                  <c:v>44949</c:v>
                </c:pt>
                <c:pt idx="239">
                  <c:v>44946</c:v>
                </c:pt>
                <c:pt idx="240">
                  <c:v>44945</c:v>
                </c:pt>
                <c:pt idx="241">
                  <c:v>44944</c:v>
                </c:pt>
                <c:pt idx="242">
                  <c:v>44943</c:v>
                </c:pt>
                <c:pt idx="243">
                  <c:v>44939</c:v>
                </c:pt>
                <c:pt idx="244">
                  <c:v>44938</c:v>
                </c:pt>
                <c:pt idx="245">
                  <c:v>44937</c:v>
                </c:pt>
                <c:pt idx="246">
                  <c:v>44936</c:v>
                </c:pt>
                <c:pt idx="247">
                  <c:v>44935</c:v>
                </c:pt>
                <c:pt idx="248">
                  <c:v>44931</c:v>
                </c:pt>
                <c:pt idx="249">
                  <c:v>44930</c:v>
                </c:pt>
                <c:pt idx="250">
                  <c:v>44929</c:v>
                </c:pt>
                <c:pt idx="251">
                  <c:v>44928</c:v>
                </c:pt>
                <c:pt idx="252">
                  <c:v>44925</c:v>
                </c:pt>
                <c:pt idx="253">
                  <c:v>44924</c:v>
                </c:pt>
                <c:pt idx="254">
                  <c:v>44923</c:v>
                </c:pt>
                <c:pt idx="255">
                  <c:v>44922</c:v>
                </c:pt>
                <c:pt idx="256">
                  <c:v>44918</c:v>
                </c:pt>
                <c:pt idx="257">
                  <c:v>44917</c:v>
                </c:pt>
                <c:pt idx="258">
                  <c:v>44916</c:v>
                </c:pt>
                <c:pt idx="259">
                  <c:v>44915</c:v>
                </c:pt>
                <c:pt idx="260">
                  <c:v>44914</c:v>
                </c:pt>
                <c:pt idx="261">
                  <c:v>44911</c:v>
                </c:pt>
                <c:pt idx="262">
                  <c:v>44910</c:v>
                </c:pt>
                <c:pt idx="263">
                  <c:v>44909</c:v>
                </c:pt>
                <c:pt idx="264">
                  <c:v>44908</c:v>
                </c:pt>
                <c:pt idx="265">
                  <c:v>44907</c:v>
                </c:pt>
                <c:pt idx="266">
                  <c:v>44904</c:v>
                </c:pt>
                <c:pt idx="267">
                  <c:v>44903</c:v>
                </c:pt>
                <c:pt idx="268">
                  <c:v>44901</c:v>
                </c:pt>
                <c:pt idx="269">
                  <c:v>44900</c:v>
                </c:pt>
                <c:pt idx="270">
                  <c:v>44897</c:v>
                </c:pt>
                <c:pt idx="271">
                  <c:v>44896</c:v>
                </c:pt>
                <c:pt idx="272">
                  <c:v>44895</c:v>
                </c:pt>
                <c:pt idx="273">
                  <c:v>44894</c:v>
                </c:pt>
                <c:pt idx="274">
                  <c:v>44893</c:v>
                </c:pt>
                <c:pt idx="275">
                  <c:v>44890</c:v>
                </c:pt>
                <c:pt idx="276">
                  <c:v>44889</c:v>
                </c:pt>
                <c:pt idx="277">
                  <c:v>44888</c:v>
                </c:pt>
                <c:pt idx="278">
                  <c:v>44887</c:v>
                </c:pt>
                <c:pt idx="279">
                  <c:v>44886</c:v>
                </c:pt>
                <c:pt idx="280">
                  <c:v>44883</c:v>
                </c:pt>
                <c:pt idx="281">
                  <c:v>44882</c:v>
                </c:pt>
                <c:pt idx="282">
                  <c:v>44881</c:v>
                </c:pt>
                <c:pt idx="283">
                  <c:v>44880</c:v>
                </c:pt>
                <c:pt idx="284">
                  <c:v>44879</c:v>
                </c:pt>
                <c:pt idx="285">
                  <c:v>44876</c:v>
                </c:pt>
                <c:pt idx="286">
                  <c:v>44875</c:v>
                </c:pt>
                <c:pt idx="287">
                  <c:v>44874</c:v>
                </c:pt>
                <c:pt idx="288">
                  <c:v>44873</c:v>
                </c:pt>
                <c:pt idx="289">
                  <c:v>44869</c:v>
                </c:pt>
                <c:pt idx="290">
                  <c:v>44868</c:v>
                </c:pt>
                <c:pt idx="291">
                  <c:v>44867</c:v>
                </c:pt>
                <c:pt idx="292">
                  <c:v>44866</c:v>
                </c:pt>
                <c:pt idx="293">
                  <c:v>44865</c:v>
                </c:pt>
                <c:pt idx="294">
                  <c:v>44862</c:v>
                </c:pt>
                <c:pt idx="295">
                  <c:v>44861</c:v>
                </c:pt>
                <c:pt idx="296">
                  <c:v>44860</c:v>
                </c:pt>
                <c:pt idx="297">
                  <c:v>44859</c:v>
                </c:pt>
                <c:pt idx="298">
                  <c:v>44855</c:v>
                </c:pt>
                <c:pt idx="299">
                  <c:v>44854</c:v>
                </c:pt>
                <c:pt idx="300">
                  <c:v>44853</c:v>
                </c:pt>
                <c:pt idx="301">
                  <c:v>44852</c:v>
                </c:pt>
                <c:pt idx="302">
                  <c:v>44851</c:v>
                </c:pt>
                <c:pt idx="303">
                  <c:v>44848</c:v>
                </c:pt>
                <c:pt idx="304">
                  <c:v>44847</c:v>
                </c:pt>
                <c:pt idx="305">
                  <c:v>44846</c:v>
                </c:pt>
                <c:pt idx="306">
                  <c:v>44845</c:v>
                </c:pt>
                <c:pt idx="307">
                  <c:v>44841</c:v>
                </c:pt>
                <c:pt idx="308">
                  <c:v>44840</c:v>
                </c:pt>
                <c:pt idx="309">
                  <c:v>44839</c:v>
                </c:pt>
                <c:pt idx="310">
                  <c:v>44838</c:v>
                </c:pt>
                <c:pt idx="311">
                  <c:v>44837</c:v>
                </c:pt>
                <c:pt idx="312">
                  <c:v>44834</c:v>
                </c:pt>
                <c:pt idx="313">
                  <c:v>44833</c:v>
                </c:pt>
                <c:pt idx="314">
                  <c:v>44832</c:v>
                </c:pt>
                <c:pt idx="315">
                  <c:v>44831</c:v>
                </c:pt>
                <c:pt idx="316">
                  <c:v>44830</c:v>
                </c:pt>
                <c:pt idx="317">
                  <c:v>44827</c:v>
                </c:pt>
                <c:pt idx="318">
                  <c:v>44826</c:v>
                </c:pt>
                <c:pt idx="319">
                  <c:v>44825</c:v>
                </c:pt>
                <c:pt idx="320">
                  <c:v>44824</c:v>
                </c:pt>
                <c:pt idx="321">
                  <c:v>44823</c:v>
                </c:pt>
                <c:pt idx="322">
                  <c:v>44820</c:v>
                </c:pt>
                <c:pt idx="323">
                  <c:v>44819</c:v>
                </c:pt>
                <c:pt idx="324">
                  <c:v>44818</c:v>
                </c:pt>
                <c:pt idx="325">
                  <c:v>44817</c:v>
                </c:pt>
                <c:pt idx="326">
                  <c:v>44816</c:v>
                </c:pt>
                <c:pt idx="327">
                  <c:v>44813</c:v>
                </c:pt>
                <c:pt idx="328">
                  <c:v>44812</c:v>
                </c:pt>
                <c:pt idx="329">
                  <c:v>44811</c:v>
                </c:pt>
                <c:pt idx="330">
                  <c:v>44810</c:v>
                </c:pt>
                <c:pt idx="331">
                  <c:v>44809</c:v>
                </c:pt>
                <c:pt idx="332">
                  <c:v>44806</c:v>
                </c:pt>
                <c:pt idx="333">
                  <c:v>44805</c:v>
                </c:pt>
                <c:pt idx="334">
                  <c:v>44804</c:v>
                </c:pt>
                <c:pt idx="335">
                  <c:v>44803</c:v>
                </c:pt>
                <c:pt idx="336">
                  <c:v>44802</c:v>
                </c:pt>
                <c:pt idx="337">
                  <c:v>44799</c:v>
                </c:pt>
                <c:pt idx="338">
                  <c:v>44798</c:v>
                </c:pt>
                <c:pt idx="339">
                  <c:v>44797</c:v>
                </c:pt>
                <c:pt idx="340">
                  <c:v>44796</c:v>
                </c:pt>
                <c:pt idx="341">
                  <c:v>44795</c:v>
                </c:pt>
                <c:pt idx="342">
                  <c:v>44792</c:v>
                </c:pt>
                <c:pt idx="343">
                  <c:v>44791</c:v>
                </c:pt>
                <c:pt idx="344">
                  <c:v>44790</c:v>
                </c:pt>
                <c:pt idx="345">
                  <c:v>44789</c:v>
                </c:pt>
                <c:pt idx="346">
                  <c:v>44788</c:v>
                </c:pt>
                <c:pt idx="347">
                  <c:v>44785</c:v>
                </c:pt>
                <c:pt idx="348">
                  <c:v>44783</c:v>
                </c:pt>
                <c:pt idx="349">
                  <c:v>44782</c:v>
                </c:pt>
                <c:pt idx="350">
                  <c:v>44781</c:v>
                </c:pt>
                <c:pt idx="351">
                  <c:v>44778</c:v>
                </c:pt>
                <c:pt idx="352">
                  <c:v>44777</c:v>
                </c:pt>
                <c:pt idx="353">
                  <c:v>44776</c:v>
                </c:pt>
                <c:pt idx="354">
                  <c:v>44775</c:v>
                </c:pt>
                <c:pt idx="355">
                  <c:v>44774</c:v>
                </c:pt>
                <c:pt idx="356">
                  <c:v>44771</c:v>
                </c:pt>
                <c:pt idx="357">
                  <c:v>44770</c:v>
                </c:pt>
                <c:pt idx="358">
                  <c:v>44769</c:v>
                </c:pt>
                <c:pt idx="359">
                  <c:v>44768</c:v>
                </c:pt>
                <c:pt idx="360">
                  <c:v>44767</c:v>
                </c:pt>
                <c:pt idx="361">
                  <c:v>44764</c:v>
                </c:pt>
                <c:pt idx="362">
                  <c:v>44763</c:v>
                </c:pt>
                <c:pt idx="363">
                  <c:v>44762</c:v>
                </c:pt>
                <c:pt idx="364">
                  <c:v>44761</c:v>
                </c:pt>
                <c:pt idx="365">
                  <c:v>44760</c:v>
                </c:pt>
                <c:pt idx="366">
                  <c:v>44757</c:v>
                </c:pt>
                <c:pt idx="367">
                  <c:v>44756</c:v>
                </c:pt>
                <c:pt idx="368">
                  <c:v>44754</c:v>
                </c:pt>
                <c:pt idx="369">
                  <c:v>44753</c:v>
                </c:pt>
                <c:pt idx="370">
                  <c:v>44750</c:v>
                </c:pt>
                <c:pt idx="371">
                  <c:v>44749</c:v>
                </c:pt>
                <c:pt idx="372">
                  <c:v>44748</c:v>
                </c:pt>
                <c:pt idx="373">
                  <c:v>44747</c:v>
                </c:pt>
                <c:pt idx="374">
                  <c:v>44746</c:v>
                </c:pt>
                <c:pt idx="375">
                  <c:v>44743</c:v>
                </c:pt>
                <c:pt idx="376">
                  <c:v>44742</c:v>
                </c:pt>
                <c:pt idx="377">
                  <c:v>44741</c:v>
                </c:pt>
                <c:pt idx="378">
                  <c:v>44740</c:v>
                </c:pt>
                <c:pt idx="379">
                  <c:v>44739</c:v>
                </c:pt>
                <c:pt idx="380">
                  <c:v>44736</c:v>
                </c:pt>
                <c:pt idx="381">
                  <c:v>44735</c:v>
                </c:pt>
                <c:pt idx="382">
                  <c:v>44734</c:v>
                </c:pt>
                <c:pt idx="383">
                  <c:v>44733</c:v>
                </c:pt>
                <c:pt idx="384">
                  <c:v>44732</c:v>
                </c:pt>
                <c:pt idx="385">
                  <c:v>44729</c:v>
                </c:pt>
                <c:pt idx="386">
                  <c:v>44728</c:v>
                </c:pt>
                <c:pt idx="387">
                  <c:v>44727</c:v>
                </c:pt>
                <c:pt idx="388">
                  <c:v>44725</c:v>
                </c:pt>
                <c:pt idx="389">
                  <c:v>44722</c:v>
                </c:pt>
                <c:pt idx="390">
                  <c:v>44721</c:v>
                </c:pt>
                <c:pt idx="391">
                  <c:v>44720</c:v>
                </c:pt>
                <c:pt idx="392">
                  <c:v>44719</c:v>
                </c:pt>
                <c:pt idx="393">
                  <c:v>44718</c:v>
                </c:pt>
                <c:pt idx="394">
                  <c:v>44715</c:v>
                </c:pt>
                <c:pt idx="395">
                  <c:v>44714</c:v>
                </c:pt>
                <c:pt idx="396">
                  <c:v>44713</c:v>
                </c:pt>
                <c:pt idx="397">
                  <c:v>44712</c:v>
                </c:pt>
                <c:pt idx="398">
                  <c:v>44711</c:v>
                </c:pt>
                <c:pt idx="399">
                  <c:v>44708</c:v>
                </c:pt>
                <c:pt idx="400">
                  <c:v>44707</c:v>
                </c:pt>
                <c:pt idx="401">
                  <c:v>44706</c:v>
                </c:pt>
                <c:pt idx="402">
                  <c:v>44705</c:v>
                </c:pt>
                <c:pt idx="403">
                  <c:v>44704</c:v>
                </c:pt>
                <c:pt idx="404">
                  <c:v>44701</c:v>
                </c:pt>
                <c:pt idx="405">
                  <c:v>44700</c:v>
                </c:pt>
                <c:pt idx="406">
                  <c:v>44699</c:v>
                </c:pt>
                <c:pt idx="407">
                  <c:v>44698</c:v>
                </c:pt>
                <c:pt idx="408">
                  <c:v>44694</c:v>
                </c:pt>
                <c:pt idx="409">
                  <c:v>44693</c:v>
                </c:pt>
                <c:pt idx="410">
                  <c:v>44690</c:v>
                </c:pt>
                <c:pt idx="411">
                  <c:v>44687</c:v>
                </c:pt>
                <c:pt idx="412">
                  <c:v>44686</c:v>
                </c:pt>
                <c:pt idx="413">
                  <c:v>44685</c:v>
                </c:pt>
                <c:pt idx="414">
                  <c:v>44680</c:v>
                </c:pt>
                <c:pt idx="415">
                  <c:v>44679</c:v>
                </c:pt>
                <c:pt idx="416">
                  <c:v>44678</c:v>
                </c:pt>
                <c:pt idx="417">
                  <c:v>44677</c:v>
                </c:pt>
                <c:pt idx="418">
                  <c:v>44676</c:v>
                </c:pt>
                <c:pt idx="419">
                  <c:v>44659</c:v>
                </c:pt>
                <c:pt idx="420">
                  <c:v>44658</c:v>
                </c:pt>
                <c:pt idx="421">
                  <c:v>44657</c:v>
                </c:pt>
                <c:pt idx="422">
                  <c:v>44656</c:v>
                </c:pt>
                <c:pt idx="423">
                  <c:v>44655</c:v>
                </c:pt>
                <c:pt idx="424">
                  <c:v>44652</c:v>
                </c:pt>
                <c:pt idx="425">
                  <c:v>44651</c:v>
                </c:pt>
                <c:pt idx="426">
                  <c:v>44650</c:v>
                </c:pt>
                <c:pt idx="427">
                  <c:v>44649</c:v>
                </c:pt>
                <c:pt idx="428">
                  <c:v>44648</c:v>
                </c:pt>
                <c:pt idx="429">
                  <c:v>44645</c:v>
                </c:pt>
                <c:pt idx="430">
                  <c:v>44644</c:v>
                </c:pt>
                <c:pt idx="431">
                  <c:v>44643</c:v>
                </c:pt>
                <c:pt idx="432">
                  <c:v>44642</c:v>
                </c:pt>
                <c:pt idx="433">
                  <c:v>44641</c:v>
                </c:pt>
                <c:pt idx="434">
                  <c:v>44638</c:v>
                </c:pt>
                <c:pt idx="435">
                  <c:v>44636</c:v>
                </c:pt>
                <c:pt idx="436">
                  <c:v>44635</c:v>
                </c:pt>
                <c:pt idx="437">
                  <c:v>44634</c:v>
                </c:pt>
                <c:pt idx="438">
                  <c:v>44631</c:v>
                </c:pt>
                <c:pt idx="439">
                  <c:v>44630</c:v>
                </c:pt>
                <c:pt idx="440">
                  <c:v>44629</c:v>
                </c:pt>
                <c:pt idx="441">
                  <c:v>44628</c:v>
                </c:pt>
                <c:pt idx="442">
                  <c:v>44627</c:v>
                </c:pt>
                <c:pt idx="443">
                  <c:v>44624</c:v>
                </c:pt>
                <c:pt idx="444">
                  <c:v>44623</c:v>
                </c:pt>
                <c:pt idx="445">
                  <c:v>44622</c:v>
                </c:pt>
                <c:pt idx="446">
                  <c:v>44620</c:v>
                </c:pt>
                <c:pt idx="447">
                  <c:v>44617</c:v>
                </c:pt>
                <c:pt idx="448">
                  <c:v>44616</c:v>
                </c:pt>
                <c:pt idx="449">
                  <c:v>44615</c:v>
                </c:pt>
                <c:pt idx="450">
                  <c:v>44614</c:v>
                </c:pt>
                <c:pt idx="451">
                  <c:v>44613</c:v>
                </c:pt>
                <c:pt idx="452">
                  <c:v>44610</c:v>
                </c:pt>
                <c:pt idx="453">
                  <c:v>44609</c:v>
                </c:pt>
                <c:pt idx="454">
                  <c:v>44607</c:v>
                </c:pt>
                <c:pt idx="455">
                  <c:v>44606</c:v>
                </c:pt>
                <c:pt idx="456">
                  <c:v>44603</c:v>
                </c:pt>
                <c:pt idx="457">
                  <c:v>44602</c:v>
                </c:pt>
                <c:pt idx="458">
                  <c:v>44601</c:v>
                </c:pt>
                <c:pt idx="459">
                  <c:v>44600</c:v>
                </c:pt>
                <c:pt idx="460">
                  <c:v>44599</c:v>
                </c:pt>
                <c:pt idx="461">
                  <c:v>44595</c:v>
                </c:pt>
                <c:pt idx="462">
                  <c:v>44594</c:v>
                </c:pt>
                <c:pt idx="463">
                  <c:v>44593</c:v>
                </c:pt>
                <c:pt idx="464">
                  <c:v>44592</c:v>
                </c:pt>
                <c:pt idx="465">
                  <c:v>44589</c:v>
                </c:pt>
                <c:pt idx="466">
                  <c:v>44588</c:v>
                </c:pt>
                <c:pt idx="467">
                  <c:v>44587</c:v>
                </c:pt>
                <c:pt idx="468">
                  <c:v>44586</c:v>
                </c:pt>
                <c:pt idx="469">
                  <c:v>44585</c:v>
                </c:pt>
                <c:pt idx="470">
                  <c:v>44582</c:v>
                </c:pt>
                <c:pt idx="471">
                  <c:v>44581</c:v>
                </c:pt>
                <c:pt idx="472">
                  <c:v>44580</c:v>
                </c:pt>
                <c:pt idx="473">
                  <c:v>44579</c:v>
                </c:pt>
                <c:pt idx="474">
                  <c:v>44574</c:v>
                </c:pt>
                <c:pt idx="475">
                  <c:v>44573</c:v>
                </c:pt>
                <c:pt idx="476">
                  <c:v>44572</c:v>
                </c:pt>
                <c:pt idx="477">
                  <c:v>44571</c:v>
                </c:pt>
                <c:pt idx="478">
                  <c:v>44568</c:v>
                </c:pt>
                <c:pt idx="479">
                  <c:v>44567</c:v>
                </c:pt>
                <c:pt idx="480">
                  <c:v>44566</c:v>
                </c:pt>
                <c:pt idx="481">
                  <c:v>44565</c:v>
                </c:pt>
                <c:pt idx="482">
                  <c:v>44564</c:v>
                </c:pt>
                <c:pt idx="483">
                  <c:v>44561</c:v>
                </c:pt>
                <c:pt idx="484">
                  <c:v>44560</c:v>
                </c:pt>
                <c:pt idx="485">
                  <c:v>44559</c:v>
                </c:pt>
                <c:pt idx="486">
                  <c:v>44558</c:v>
                </c:pt>
                <c:pt idx="487">
                  <c:v>44557</c:v>
                </c:pt>
                <c:pt idx="488">
                  <c:v>44554</c:v>
                </c:pt>
                <c:pt idx="489">
                  <c:v>44553</c:v>
                </c:pt>
                <c:pt idx="490">
                  <c:v>44552</c:v>
                </c:pt>
                <c:pt idx="491">
                  <c:v>44551</c:v>
                </c:pt>
                <c:pt idx="492">
                  <c:v>44550</c:v>
                </c:pt>
                <c:pt idx="493">
                  <c:v>44547</c:v>
                </c:pt>
                <c:pt idx="494">
                  <c:v>44546</c:v>
                </c:pt>
                <c:pt idx="495">
                  <c:v>44545</c:v>
                </c:pt>
                <c:pt idx="496">
                  <c:v>44544</c:v>
                </c:pt>
                <c:pt idx="497">
                  <c:v>44543</c:v>
                </c:pt>
                <c:pt idx="498">
                  <c:v>44540</c:v>
                </c:pt>
                <c:pt idx="499">
                  <c:v>44539</c:v>
                </c:pt>
                <c:pt idx="500">
                  <c:v>44538</c:v>
                </c:pt>
                <c:pt idx="501">
                  <c:v>44537</c:v>
                </c:pt>
                <c:pt idx="502">
                  <c:v>44536</c:v>
                </c:pt>
                <c:pt idx="503">
                  <c:v>44533</c:v>
                </c:pt>
                <c:pt idx="504">
                  <c:v>44532</c:v>
                </c:pt>
                <c:pt idx="505">
                  <c:v>44531</c:v>
                </c:pt>
                <c:pt idx="506">
                  <c:v>44530</c:v>
                </c:pt>
                <c:pt idx="507">
                  <c:v>44529</c:v>
                </c:pt>
                <c:pt idx="508">
                  <c:v>44526</c:v>
                </c:pt>
                <c:pt idx="509">
                  <c:v>44525</c:v>
                </c:pt>
                <c:pt idx="510">
                  <c:v>44524</c:v>
                </c:pt>
                <c:pt idx="511">
                  <c:v>44523</c:v>
                </c:pt>
                <c:pt idx="512">
                  <c:v>44522</c:v>
                </c:pt>
                <c:pt idx="513">
                  <c:v>44519</c:v>
                </c:pt>
                <c:pt idx="514">
                  <c:v>44517</c:v>
                </c:pt>
                <c:pt idx="515">
                  <c:v>44516</c:v>
                </c:pt>
                <c:pt idx="516">
                  <c:v>44515</c:v>
                </c:pt>
                <c:pt idx="517">
                  <c:v>44512</c:v>
                </c:pt>
                <c:pt idx="518">
                  <c:v>44511</c:v>
                </c:pt>
                <c:pt idx="519">
                  <c:v>44510</c:v>
                </c:pt>
                <c:pt idx="520">
                  <c:v>44509</c:v>
                </c:pt>
                <c:pt idx="521">
                  <c:v>44508</c:v>
                </c:pt>
                <c:pt idx="522">
                  <c:v>44505</c:v>
                </c:pt>
                <c:pt idx="523">
                  <c:v>44503</c:v>
                </c:pt>
                <c:pt idx="524">
                  <c:v>44502</c:v>
                </c:pt>
                <c:pt idx="525">
                  <c:v>44501</c:v>
                </c:pt>
                <c:pt idx="526">
                  <c:v>44498</c:v>
                </c:pt>
                <c:pt idx="527">
                  <c:v>44497</c:v>
                </c:pt>
                <c:pt idx="528">
                  <c:v>44496</c:v>
                </c:pt>
                <c:pt idx="529">
                  <c:v>44495</c:v>
                </c:pt>
                <c:pt idx="530">
                  <c:v>44494</c:v>
                </c:pt>
                <c:pt idx="531">
                  <c:v>44491</c:v>
                </c:pt>
                <c:pt idx="532">
                  <c:v>44490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44477</c:v>
                </c:pt>
                <c:pt idx="540">
                  <c:v>44476</c:v>
                </c:pt>
                <c:pt idx="541">
                  <c:v>44475</c:v>
                </c:pt>
                <c:pt idx="542">
                  <c:v>44474</c:v>
                </c:pt>
                <c:pt idx="543">
                  <c:v>44473</c:v>
                </c:pt>
                <c:pt idx="544">
                  <c:v>44470</c:v>
                </c:pt>
                <c:pt idx="545">
                  <c:v>44469</c:v>
                </c:pt>
                <c:pt idx="546">
                  <c:v>44468</c:v>
                </c:pt>
                <c:pt idx="547">
                  <c:v>44467</c:v>
                </c:pt>
                <c:pt idx="548">
                  <c:v>44466</c:v>
                </c:pt>
                <c:pt idx="549">
                  <c:v>44463</c:v>
                </c:pt>
                <c:pt idx="550">
                  <c:v>44462</c:v>
                </c:pt>
                <c:pt idx="551">
                  <c:v>44461</c:v>
                </c:pt>
                <c:pt idx="552">
                  <c:v>44460</c:v>
                </c:pt>
                <c:pt idx="553">
                  <c:v>44456</c:v>
                </c:pt>
                <c:pt idx="554">
                  <c:v>44455</c:v>
                </c:pt>
                <c:pt idx="555">
                  <c:v>44454</c:v>
                </c:pt>
                <c:pt idx="556">
                  <c:v>44453</c:v>
                </c:pt>
                <c:pt idx="557">
                  <c:v>44452</c:v>
                </c:pt>
                <c:pt idx="558">
                  <c:v>44449</c:v>
                </c:pt>
                <c:pt idx="559">
                  <c:v>44448</c:v>
                </c:pt>
                <c:pt idx="560">
                  <c:v>44447</c:v>
                </c:pt>
                <c:pt idx="561">
                  <c:v>44446</c:v>
                </c:pt>
                <c:pt idx="562">
                  <c:v>44445</c:v>
                </c:pt>
                <c:pt idx="563">
                  <c:v>44442</c:v>
                </c:pt>
                <c:pt idx="564">
                  <c:v>44441</c:v>
                </c:pt>
                <c:pt idx="565">
                  <c:v>44440</c:v>
                </c:pt>
                <c:pt idx="566">
                  <c:v>44439</c:v>
                </c:pt>
                <c:pt idx="567">
                  <c:v>44438</c:v>
                </c:pt>
                <c:pt idx="568">
                  <c:v>44435</c:v>
                </c:pt>
                <c:pt idx="569">
                  <c:v>44434</c:v>
                </c:pt>
                <c:pt idx="570">
                  <c:v>44433</c:v>
                </c:pt>
                <c:pt idx="571">
                  <c:v>44432</c:v>
                </c:pt>
                <c:pt idx="572">
                  <c:v>44431</c:v>
                </c:pt>
                <c:pt idx="573">
                  <c:v>44428</c:v>
                </c:pt>
                <c:pt idx="574">
                  <c:v>44427</c:v>
                </c:pt>
                <c:pt idx="575">
                  <c:v>44426</c:v>
                </c:pt>
                <c:pt idx="576">
                  <c:v>44425</c:v>
                </c:pt>
                <c:pt idx="577">
                  <c:v>44424</c:v>
                </c:pt>
                <c:pt idx="578">
                  <c:v>44421</c:v>
                </c:pt>
                <c:pt idx="579">
                  <c:v>44420</c:v>
                </c:pt>
                <c:pt idx="580">
                  <c:v>44419</c:v>
                </c:pt>
                <c:pt idx="581">
                  <c:v>44418</c:v>
                </c:pt>
                <c:pt idx="582">
                  <c:v>44417</c:v>
                </c:pt>
                <c:pt idx="583">
                  <c:v>44414</c:v>
                </c:pt>
                <c:pt idx="584">
                  <c:v>44413</c:v>
                </c:pt>
                <c:pt idx="585">
                  <c:v>44412</c:v>
                </c:pt>
                <c:pt idx="586">
                  <c:v>44411</c:v>
                </c:pt>
                <c:pt idx="587">
                  <c:v>44410</c:v>
                </c:pt>
                <c:pt idx="588">
                  <c:v>44407</c:v>
                </c:pt>
                <c:pt idx="589">
                  <c:v>44406</c:v>
                </c:pt>
                <c:pt idx="590">
                  <c:v>44405</c:v>
                </c:pt>
                <c:pt idx="591">
                  <c:v>44404</c:v>
                </c:pt>
                <c:pt idx="592">
                  <c:v>44403</c:v>
                </c:pt>
                <c:pt idx="593">
                  <c:v>44399</c:v>
                </c:pt>
                <c:pt idx="594">
                  <c:v>44397</c:v>
                </c:pt>
                <c:pt idx="595">
                  <c:v>44396</c:v>
                </c:pt>
                <c:pt idx="596">
                  <c:v>44393</c:v>
                </c:pt>
                <c:pt idx="597">
                  <c:v>44392</c:v>
                </c:pt>
                <c:pt idx="598">
                  <c:v>44391</c:v>
                </c:pt>
                <c:pt idx="599">
                  <c:v>44390</c:v>
                </c:pt>
                <c:pt idx="600">
                  <c:v>44389</c:v>
                </c:pt>
                <c:pt idx="601">
                  <c:v>44386</c:v>
                </c:pt>
                <c:pt idx="602">
                  <c:v>44385</c:v>
                </c:pt>
                <c:pt idx="603">
                  <c:v>44384</c:v>
                </c:pt>
                <c:pt idx="604">
                  <c:v>44383</c:v>
                </c:pt>
                <c:pt idx="605">
                  <c:v>44382</c:v>
                </c:pt>
                <c:pt idx="606">
                  <c:v>44379</c:v>
                </c:pt>
                <c:pt idx="607">
                  <c:v>44378</c:v>
                </c:pt>
                <c:pt idx="608">
                  <c:v>44377</c:v>
                </c:pt>
                <c:pt idx="609">
                  <c:v>44376</c:v>
                </c:pt>
                <c:pt idx="610">
                  <c:v>44375</c:v>
                </c:pt>
                <c:pt idx="611">
                  <c:v>44372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44361</c:v>
                </c:pt>
                <c:pt idx="620">
                  <c:v>44358</c:v>
                </c:pt>
                <c:pt idx="621">
                  <c:v>44357</c:v>
                </c:pt>
                <c:pt idx="622">
                  <c:v>44356</c:v>
                </c:pt>
                <c:pt idx="623">
                  <c:v>44355</c:v>
                </c:pt>
                <c:pt idx="624">
                  <c:v>44354</c:v>
                </c:pt>
                <c:pt idx="625">
                  <c:v>44351</c:v>
                </c:pt>
                <c:pt idx="626">
                  <c:v>44350</c:v>
                </c:pt>
                <c:pt idx="627">
                  <c:v>44349</c:v>
                </c:pt>
                <c:pt idx="628">
                  <c:v>44348</c:v>
                </c:pt>
                <c:pt idx="629">
                  <c:v>44347</c:v>
                </c:pt>
                <c:pt idx="630">
                  <c:v>44344</c:v>
                </c:pt>
                <c:pt idx="631">
                  <c:v>44341</c:v>
                </c:pt>
                <c:pt idx="632">
                  <c:v>44340</c:v>
                </c:pt>
                <c:pt idx="633">
                  <c:v>44337</c:v>
                </c:pt>
                <c:pt idx="634">
                  <c:v>44336</c:v>
                </c:pt>
                <c:pt idx="635">
                  <c:v>44335</c:v>
                </c:pt>
                <c:pt idx="636">
                  <c:v>44334</c:v>
                </c:pt>
                <c:pt idx="637">
                  <c:v>44333</c:v>
                </c:pt>
                <c:pt idx="638">
                  <c:v>44329</c:v>
                </c:pt>
                <c:pt idx="639">
                  <c:v>44328</c:v>
                </c:pt>
                <c:pt idx="640">
                  <c:v>44327</c:v>
                </c:pt>
                <c:pt idx="641">
                  <c:v>44326</c:v>
                </c:pt>
                <c:pt idx="642">
                  <c:v>44323</c:v>
                </c:pt>
                <c:pt idx="643">
                  <c:v>44322</c:v>
                </c:pt>
                <c:pt idx="644">
                  <c:v>44321</c:v>
                </c:pt>
                <c:pt idx="645">
                  <c:v>44320</c:v>
                </c:pt>
                <c:pt idx="646">
                  <c:v>44319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44309</c:v>
                </c:pt>
                <c:pt idx="652">
                  <c:v>44308</c:v>
                </c:pt>
                <c:pt idx="653">
                  <c:v>44307</c:v>
                </c:pt>
                <c:pt idx="654">
                  <c:v>44306</c:v>
                </c:pt>
                <c:pt idx="655">
                  <c:v>44305</c:v>
                </c:pt>
                <c:pt idx="656">
                  <c:v>44302</c:v>
                </c:pt>
                <c:pt idx="657">
                  <c:v>44301</c:v>
                </c:pt>
                <c:pt idx="658">
                  <c:v>44298</c:v>
                </c:pt>
                <c:pt idx="659">
                  <c:v>44295</c:v>
                </c:pt>
                <c:pt idx="660">
                  <c:v>44294</c:v>
                </c:pt>
                <c:pt idx="661">
                  <c:v>44293</c:v>
                </c:pt>
                <c:pt idx="662">
                  <c:v>44292</c:v>
                </c:pt>
                <c:pt idx="663">
                  <c:v>44291</c:v>
                </c:pt>
                <c:pt idx="664">
                  <c:v>44287</c:v>
                </c:pt>
                <c:pt idx="665">
                  <c:v>44286</c:v>
                </c:pt>
                <c:pt idx="666">
                  <c:v>44285</c:v>
                </c:pt>
                <c:pt idx="667">
                  <c:v>44284</c:v>
                </c:pt>
                <c:pt idx="668">
                  <c:v>44281</c:v>
                </c:pt>
                <c:pt idx="669">
                  <c:v>44280</c:v>
                </c:pt>
                <c:pt idx="670">
                  <c:v>44279</c:v>
                </c:pt>
                <c:pt idx="671">
                  <c:v>44278</c:v>
                </c:pt>
                <c:pt idx="672">
                  <c:v>44277</c:v>
                </c:pt>
                <c:pt idx="673">
                  <c:v>44274</c:v>
                </c:pt>
                <c:pt idx="674">
                  <c:v>44273</c:v>
                </c:pt>
                <c:pt idx="675">
                  <c:v>44272</c:v>
                </c:pt>
                <c:pt idx="676">
                  <c:v>44271</c:v>
                </c:pt>
                <c:pt idx="677">
                  <c:v>44270</c:v>
                </c:pt>
                <c:pt idx="678">
                  <c:v>44267</c:v>
                </c:pt>
                <c:pt idx="679">
                  <c:v>44265</c:v>
                </c:pt>
                <c:pt idx="680">
                  <c:v>44264</c:v>
                </c:pt>
                <c:pt idx="681">
                  <c:v>44263</c:v>
                </c:pt>
                <c:pt idx="682">
                  <c:v>44260</c:v>
                </c:pt>
                <c:pt idx="683">
                  <c:v>44259</c:v>
                </c:pt>
                <c:pt idx="684">
                  <c:v>44258</c:v>
                </c:pt>
                <c:pt idx="685">
                  <c:v>44257</c:v>
                </c:pt>
                <c:pt idx="686">
                  <c:v>44256</c:v>
                </c:pt>
                <c:pt idx="687">
                  <c:v>44252</c:v>
                </c:pt>
                <c:pt idx="688">
                  <c:v>44251</c:v>
                </c:pt>
                <c:pt idx="689">
                  <c:v>44250</c:v>
                </c:pt>
                <c:pt idx="690">
                  <c:v>44249</c:v>
                </c:pt>
                <c:pt idx="691">
                  <c:v>44246</c:v>
                </c:pt>
                <c:pt idx="692">
                  <c:v>44245</c:v>
                </c:pt>
                <c:pt idx="693">
                  <c:v>44244</c:v>
                </c:pt>
                <c:pt idx="694">
                  <c:v>44243</c:v>
                </c:pt>
                <c:pt idx="695">
                  <c:v>44242</c:v>
                </c:pt>
                <c:pt idx="696">
                  <c:v>44239</c:v>
                </c:pt>
                <c:pt idx="697">
                  <c:v>44238</c:v>
                </c:pt>
                <c:pt idx="698">
                  <c:v>44237</c:v>
                </c:pt>
                <c:pt idx="699">
                  <c:v>44236</c:v>
                </c:pt>
                <c:pt idx="700">
                  <c:v>44235</c:v>
                </c:pt>
                <c:pt idx="701">
                  <c:v>44232</c:v>
                </c:pt>
                <c:pt idx="702">
                  <c:v>44230</c:v>
                </c:pt>
                <c:pt idx="703">
                  <c:v>44229</c:v>
                </c:pt>
                <c:pt idx="704">
                  <c:v>44228</c:v>
                </c:pt>
                <c:pt idx="705">
                  <c:v>44225</c:v>
                </c:pt>
                <c:pt idx="706">
                  <c:v>44223</c:v>
                </c:pt>
                <c:pt idx="707">
                  <c:v>44222</c:v>
                </c:pt>
                <c:pt idx="708">
                  <c:v>44221</c:v>
                </c:pt>
                <c:pt idx="709">
                  <c:v>44218</c:v>
                </c:pt>
                <c:pt idx="710">
                  <c:v>44217</c:v>
                </c:pt>
                <c:pt idx="711">
                  <c:v>44216</c:v>
                </c:pt>
                <c:pt idx="712">
                  <c:v>44215</c:v>
                </c:pt>
                <c:pt idx="713">
                  <c:v>44214</c:v>
                </c:pt>
                <c:pt idx="714">
                  <c:v>44211</c:v>
                </c:pt>
                <c:pt idx="715">
                  <c:v>44209</c:v>
                </c:pt>
                <c:pt idx="716">
                  <c:v>44208</c:v>
                </c:pt>
                <c:pt idx="717">
                  <c:v>44207</c:v>
                </c:pt>
                <c:pt idx="718">
                  <c:v>44204</c:v>
                </c:pt>
                <c:pt idx="719">
                  <c:v>44203</c:v>
                </c:pt>
                <c:pt idx="720">
                  <c:v>44202</c:v>
                </c:pt>
                <c:pt idx="721">
                  <c:v>44201</c:v>
                </c:pt>
                <c:pt idx="722">
                  <c:v>44200</c:v>
                </c:pt>
              </c:numCache>
            </c:numRef>
          </c:cat>
          <c:val>
            <c:numRef>
              <c:f>'Price volume'!$R$4:$R$725</c:f>
            </c:numRef>
          </c:val>
          <c:smooth val="0"/>
          <c:extLst>
            <c:ext xmlns:c16="http://schemas.microsoft.com/office/drawing/2014/chart" uri="{C3380CC4-5D6E-409C-BE32-E72D297353CC}">
              <c16:uniqueId val="{00000002-C365-4F94-B7C2-3EFD208B3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695279"/>
        <c:axId val="337065023"/>
      </c:lineChart>
      <c:dateAx>
        <c:axId val="4366952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65023"/>
        <c:crosses val="autoZero"/>
        <c:auto val="1"/>
        <c:lblOffset val="100"/>
        <c:baseTimeUnit val="days"/>
      </c:dateAx>
      <c:valAx>
        <c:axId val="33706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95279"/>
        <c:crosses val="autoZero"/>
        <c:crossBetween val="between"/>
      </c:valAx>
      <c:valAx>
        <c:axId val="3381235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799215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ateAx>
        <c:axId val="163379921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3812351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12</xdr:row>
      <xdr:rowOff>152400</xdr:rowOff>
    </xdr:from>
    <xdr:to>
      <xdr:col>7</xdr:col>
      <xdr:colOff>167640</xdr:colOff>
      <xdr:row>18</xdr:row>
      <xdr:rowOff>160020</xdr:rowOff>
    </xdr:to>
    <xdr:pic>
      <xdr:nvPicPr>
        <xdr:cNvPr id="2" name="Picture 1" descr="Commercial Bank | Sri Lanka">
          <a:extLst>
            <a:ext uri="{FF2B5EF4-FFF2-40B4-BE49-F238E27FC236}">
              <a16:creationId xmlns:a16="http://schemas.microsoft.com/office/drawing/2014/main" id="{6E34B7DC-54DF-7255-FF6E-2136FCEA4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" y="2529840"/>
          <a:ext cx="414528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102</xdr:row>
      <xdr:rowOff>68580</xdr:rowOff>
    </xdr:from>
    <xdr:to>
      <xdr:col>2</xdr:col>
      <xdr:colOff>739586</xdr:colOff>
      <xdr:row>118</xdr:row>
      <xdr:rowOff>114558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69CA3-A950-7C33-99EC-3EBBA915B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8768060"/>
          <a:ext cx="5151566" cy="2972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5</xdr:col>
      <xdr:colOff>686478</xdr:colOff>
      <xdr:row>138</xdr:row>
      <xdr:rowOff>84081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EA8E0D-891A-1DC5-3C61-7C0F68982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2357080"/>
          <a:ext cx="7826418" cy="30101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20</xdr:col>
      <xdr:colOff>304800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6E672E-9EA4-4640-A693-498E98EBA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5</xdr:row>
      <xdr:rowOff>0</xdr:rowOff>
    </xdr:from>
    <xdr:to>
      <xdr:col>33</xdr:col>
      <xdr:colOff>304800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85941F-533A-42A0-A70A-089E24A66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883920</xdr:colOff>
      <xdr:row>7</xdr:row>
      <xdr:rowOff>49530</xdr:rowOff>
    </xdr:from>
    <xdr:to>
      <xdr:col>8</xdr:col>
      <xdr:colOff>373380</xdr:colOff>
      <xdr:row>22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32F97-8B01-C73F-E4A4-B583A0A40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26</xdr:row>
      <xdr:rowOff>0</xdr:rowOff>
    </xdr:from>
    <xdr:to>
      <xdr:col>23</xdr:col>
      <xdr:colOff>304800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0384D5-66C4-4A47-8B87-327E97F01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23</xdr:col>
      <xdr:colOff>304800</xdr:colOff>
      <xdr:row>58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B50A80-59CE-4D97-8829-447FECD5C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464820</xdr:colOff>
      <xdr:row>90</xdr:row>
      <xdr:rowOff>19050</xdr:rowOff>
    </xdr:from>
    <xdr:to>
      <xdr:col>14</xdr:col>
      <xdr:colOff>76200</xdr:colOff>
      <xdr:row>105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309222-B4FE-D7DF-F734-249DC1B95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108</xdr:row>
      <xdr:rowOff>0</xdr:rowOff>
    </xdr:from>
    <xdr:to>
      <xdr:col>14</xdr:col>
      <xdr:colOff>236220</xdr:colOff>
      <xdr:row>123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AA6C28-F546-4185-A64A-E5C45C356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594360</xdr:colOff>
      <xdr:row>124</xdr:row>
      <xdr:rowOff>41910</xdr:rowOff>
    </xdr:from>
    <xdr:to>
      <xdr:col>18</xdr:col>
      <xdr:colOff>266700</xdr:colOff>
      <xdr:row>139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9DD9C8-922A-FCB2-A374-96972C1D1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586740</xdr:colOff>
      <xdr:row>143</xdr:row>
      <xdr:rowOff>133350</xdr:rowOff>
    </xdr:from>
    <xdr:to>
      <xdr:col>14</xdr:col>
      <xdr:colOff>198120</xdr:colOff>
      <xdr:row>158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A2DC1D-9184-77B4-B40D-887CBAE0E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624840</xdr:colOff>
      <xdr:row>164</xdr:row>
      <xdr:rowOff>34290</xdr:rowOff>
    </xdr:from>
    <xdr:to>
      <xdr:col>12</xdr:col>
      <xdr:colOff>449580</xdr:colOff>
      <xdr:row>179</xdr:row>
      <xdr:rowOff>34290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86B2B1E-6599-A33A-9739-6D860B256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548640</xdr:colOff>
      <xdr:row>180</xdr:row>
      <xdr:rowOff>15240</xdr:rowOff>
    </xdr:from>
    <xdr:to>
      <xdr:col>12</xdr:col>
      <xdr:colOff>373380</xdr:colOff>
      <xdr:row>195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1157222-DE38-4CB3-BDC8-8119B4AA6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0</xdr:colOff>
      <xdr:row>197</xdr:row>
      <xdr:rowOff>0</xdr:rowOff>
    </xdr:from>
    <xdr:to>
      <xdr:col>13</xdr:col>
      <xdr:colOff>218300</xdr:colOff>
      <xdr:row>212</xdr:row>
      <xdr:rowOff>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F96BDEF-BF4B-4377-9AC7-3B41396E6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360066</xdr:colOff>
      <xdr:row>220</xdr:row>
      <xdr:rowOff>1674</xdr:rowOff>
    </xdr:from>
    <xdr:to>
      <xdr:col>12</xdr:col>
      <xdr:colOff>167473</xdr:colOff>
      <xdr:row>234</xdr:row>
      <xdr:rowOff>165797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38602EA-0C57-ACB3-995C-916D60BA7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318198</xdr:colOff>
      <xdr:row>240</xdr:row>
      <xdr:rowOff>125605</xdr:rowOff>
    </xdr:from>
    <xdr:to>
      <xdr:col>9</xdr:col>
      <xdr:colOff>334945</xdr:colOff>
      <xdr:row>255</xdr:row>
      <xdr:rowOff>105508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C9ECB80-0E2F-4FFA-B891-C37B2F147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260</xdr:row>
      <xdr:rowOff>0</xdr:rowOff>
    </xdr:from>
    <xdr:to>
      <xdr:col>9</xdr:col>
      <xdr:colOff>16747</xdr:colOff>
      <xdr:row>274</xdr:row>
      <xdr:rowOff>159701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BC62531-95C4-4B12-99B1-0D3BCE4AF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279</xdr:row>
      <xdr:rowOff>0</xdr:rowOff>
    </xdr:from>
    <xdr:to>
      <xdr:col>9</xdr:col>
      <xdr:colOff>16747</xdr:colOff>
      <xdr:row>293</xdr:row>
      <xdr:rowOff>159700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02CAD-457E-458A-AA57-108CDC282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303161</xdr:colOff>
      <xdr:row>302</xdr:row>
      <xdr:rowOff>54077</xdr:rowOff>
    </xdr:from>
    <xdr:to>
      <xdr:col>21</xdr:col>
      <xdr:colOff>24581</xdr:colOff>
      <xdr:row>316</xdr:row>
      <xdr:rowOff>3277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C9E6AA-7AC2-9826-251B-BC2B4CF75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0</xdr:colOff>
      <xdr:row>369</xdr:row>
      <xdr:rowOff>0</xdr:rowOff>
    </xdr:from>
    <xdr:to>
      <xdr:col>21</xdr:col>
      <xdr:colOff>327742</xdr:colOff>
      <xdr:row>383</xdr:row>
      <xdr:rowOff>72103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598E62D-FE04-4665-8D5A-3801230F3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0</xdr:colOff>
      <xdr:row>385</xdr:row>
      <xdr:rowOff>0</xdr:rowOff>
    </xdr:from>
    <xdr:to>
      <xdr:col>21</xdr:col>
      <xdr:colOff>327742</xdr:colOff>
      <xdr:row>400</xdr:row>
      <xdr:rowOff>39329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D594DB3-0C0C-4326-940E-5613EABDD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685800</xdr:colOff>
      <xdr:row>3</xdr:row>
      <xdr:rowOff>7620</xdr:rowOff>
    </xdr:from>
    <xdr:to>
      <xdr:col>13</xdr:col>
      <xdr:colOff>685800</xdr:colOff>
      <xdr:row>18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D3379E-9763-4E24-BC9C-42EA2D1CB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487680</xdr:colOff>
      <xdr:row>19</xdr:row>
      <xdr:rowOff>152400</xdr:rowOff>
    </xdr:from>
    <xdr:to>
      <xdr:col>13</xdr:col>
      <xdr:colOff>487680</xdr:colOff>
      <xdr:row>34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12BE1E-E4D0-4583-9209-251B9F2FE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nsinee Beddage" id="{27CC4F68-21BF-4D83-AFAE-46258CB10D91}" userId="S::hansinee@ambeonsecurities.lk::a49c40e1-8f24-4ead-ac13-ca55420146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13" dT="2023-09-30T03:37:43.86" personId="{27CC4F68-21BF-4D83-AFAE-46258CB10D91}" id="{27353BB4-BE06-44D7-BC91-CE71AFA2651B}">
    <text>Significant credit risk but not impaired</text>
  </threadedComment>
  <threadedComment ref="H314" dT="2023-09-30T03:37:38.98" personId="{27CC4F68-21BF-4D83-AFAE-46258CB10D91}" id="{9916B379-35D6-41FA-B05E-1C34E40081B9}">
    <text>Default or impaired status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F16D-41A9-4CB0-BF92-81B394A8AD32}">
  <dimension ref="B2:L129"/>
  <sheetViews>
    <sheetView workbookViewId="0">
      <pane xSplit="2" ySplit="4" topLeftCell="C5" activePane="bottomRight" state="frozen"/>
      <selection pane="topRight" activeCell="D1" sqref="D1"/>
      <selection pane="bottomLeft" activeCell="A3" sqref="A3"/>
      <selection pane="bottomRight" activeCell="E19" sqref="E19"/>
    </sheetView>
  </sheetViews>
  <sheetFormatPr defaultRowHeight="14.4" x14ac:dyDescent="0.3"/>
  <cols>
    <col min="2" max="2" width="63.44140625" customWidth="1"/>
    <col min="3" max="8" width="14.21875" style="2" customWidth="1"/>
    <col min="9" max="12" width="14.88671875" customWidth="1"/>
  </cols>
  <sheetData>
    <row r="2" spans="2:12" x14ac:dyDescent="0.3">
      <c r="C2" s="13"/>
      <c r="D2" s="13"/>
      <c r="E2" s="13"/>
      <c r="F2" s="13"/>
      <c r="G2" s="13"/>
      <c r="H2" s="13"/>
    </row>
    <row r="3" spans="2:12" x14ac:dyDescent="0.3">
      <c r="B3" t="s">
        <v>69</v>
      </c>
    </row>
    <row r="4" spans="2:12" x14ac:dyDescent="0.3">
      <c r="B4" t="s">
        <v>117</v>
      </c>
      <c r="C4" s="5">
        <v>2017</v>
      </c>
      <c r="D4" s="5">
        <v>2018</v>
      </c>
      <c r="E4" s="5">
        <v>2019</v>
      </c>
      <c r="F4" s="5">
        <v>2020</v>
      </c>
      <c r="G4" s="5">
        <v>2021</v>
      </c>
      <c r="H4" s="5">
        <v>2022</v>
      </c>
      <c r="I4" s="19" t="s">
        <v>124</v>
      </c>
      <c r="J4" s="19" t="s">
        <v>125</v>
      </c>
      <c r="K4" s="19" t="s">
        <v>126</v>
      </c>
      <c r="L4" s="19" t="s">
        <v>127</v>
      </c>
    </row>
    <row r="5" spans="2:12" s="8" customFormat="1" x14ac:dyDescent="0.3">
      <c r="B5" s="11" t="s">
        <v>122</v>
      </c>
      <c r="C5" s="12"/>
      <c r="D5" s="12"/>
      <c r="E5" s="12"/>
      <c r="F5" s="12"/>
      <c r="G5" s="12"/>
      <c r="H5" s="12"/>
    </row>
    <row r="6" spans="2:12" x14ac:dyDescent="0.3">
      <c r="B6" t="s">
        <v>7</v>
      </c>
      <c r="C6" s="26">
        <v>115605156</v>
      </c>
      <c r="D6" s="26">
        <v>139657195</v>
      </c>
      <c r="E6" s="26">
        <v>150741129</v>
      </c>
      <c r="F6" s="26">
        <v>151966413</v>
      </c>
      <c r="G6" s="26">
        <v>163675312</v>
      </c>
      <c r="H6" s="26">
        <v>280386944</v>
      </c>
      <c r="I6" s="14">
        <f>I7+I10+I13+I14+I15</f>
        <v>0</v>
      </c>
      <c r="J6" s="14">
        <f t="shared" ref="J6:L6" si="0">J7+J10+J13+J14+J15</f>
        <v>0</v>
      </c>
      <c r="K6" s="14">
        <f t="shared" si="0"/>
        <v>0</v>
      </c>
      <c r="L6" s="14">
        <f t="shared" si="0"/>
        <v>0</v>
      </c>
    </row>
    <row r="7" spans="2:12" x14ac:dyDescent="0.3">
      <c r="B7" t="s">
        <v>8</v>
      </c>
      <c r="C7" s="27">
        <v>104049102</v>
      </c>
      <c r="D7" s="27">
        <v>118551239</v>
      </c>
      <c r="E7" s="27">
        <v>129287743</v>
      </c>
      <c r="F7" s="27">
        <v>124087713</v>
      </c>
      <c r="G7" s="27">
        <v>132818178</v>
      </c>
      <c r="H7" s="27">
        <v>222393079</v>
      </c>
    </row>
    <row r="8" spans="2:12" x14ac:dyDescent="0.3">
      <c r="B8" t="s">
        <v>9</v>
      </c>
      <c r="C8" s="27">
        <v>64481804</v>
      </c>
      <c r="D8" s="27">
        <v>72933030</v>
      </c>
      <c r="E8" s="27">
        <v>80931352</v>
      </c>
      <c r="F8" s="27">
        <v>73218911</v>
      </c>
      <c r="G8" s="27">
        <v>66401846</v>
      </c>
      <c r="H8" s="27">
        <v>137727868</v>
      </c>
    </row>
    <row r="9" spans="2:12" x14ac:dyDescent="0.3">
      <c r="B9" s="3" t="s">
        <v>10</v>
      </c>
      <c r="C9" s="26">
        <v>39567298</v>
      </c>
      <c r="D9" s="26">
        <v>45618209</v>
      </c>
      <c r="E9" s="26">
        <v>48356391</v>
      </c>
      <c r="F9" s="26">
        <v>50868802</v>
      </c>
      <c r="G9" s="26">
        <v>66416332</v>
      </c>
      <c r="H9" s="26">
        <v>84665211</v>
      </c>
      <c r="I9" s="14">
        <f>I7-I8</f>
        <v>0</v>
      </c>
      <c r="J9" s="14">
        <f t="shared" ref="J9:L9" si="1">J7-J8</f>
        <v>0</v>
      </c>
      <c r="K9" s="14">
        <f t="shared" si="1"/>
        <v>0</v>
      </c>
      <c r="L9" s="14">
        <f t="shared" si="1"/>
        <v>0</v>
      </c>
    </row>
    <row r="10" spans="2:12" x14ac:dyDescent="0.3">
      <c r="B10" t="s">
        <v>11</v>
      </c>
      <c r="C10" s="27">
        <v>10510800</v>
      </c>
      <c r="D10" s="27">
        <v>12494090</v>
      </c>
      <c r="E10" s="27">
        <v>12874966</v>
      </c>
      <c r="F10" s="27">
        <v>11839689</v>
      </c>
      <c r="G10" s="27">
        <v>15917337</v>
      </c>
      <c r="H10" s="27">
        <v>26191530</v>
      </c>
    </row>
    <row r="11" spans="2:12" x14ac:dyDescent="0.3">
      <c r="B11" t="s">
        <v>12</v>
      </c>
      <c r="C11" s="27">
        <v>1586334</v>
      </c>
      <c r="D11" s="27">
        <v>1859698</v>
      </c>
      <c r="E11" s="27">
        <v>2123128</v>
      </c>
      <c r="F11" s="27">
        <v>2018014</v>
      </c>
      <c r="G11" s="27">
        <v>3675143</v>
      </c>
      <c r="H11" s="27">
        <v>6022429</v>
      </c>
    </row>
    <row r="12" spans="2:12" x14ac:dyDescent="0.3">
      <c r="B12" s="3" t="s">
        <v>13</v>
      </c>
      <c r="C12" s="26">
        <v>8924466</v>
      </c>
      <c r="D12" s="26">
        <v>10634392</v>
      </c>
      <c r="E12" s="26">
        <v>10751838</v>
      </c>
      <c r="F12" s="26">
        <v>9821675</v>
      </c>
      <c r="G12" s="26">
        <v>12242194</v>
      </c>
      <c r="H12" s="26">
        <v>20169101</v>
      </c>
      <c r="I12" s="14">
        <f>I10-I11</f>
        <v>0</v>
      </c>
      <c r="J12" s="14">
        <f t="shared" ref="J12:L12" si="2">J10-J11</f>
        <v>0</v>
      </c>
      <c r="K12" s="14">
        <f t="shared" si="2"/>
        <v>0</v>
      </c>
      <c r="L12" s="14">
        <f t="shared" si="2"/>
        <v>0</v>
      </c>
    </row>
    <row r="13" spans="2:12" x14ac:dyDescent="0.3">
      <c r="B13" t="s">
        <v>14</v>
      </c>
      <c r="C13" s="27">
        <v>233956</v>
      </c>
      <c r="D13" s="27">
        <v>-3033236</v>
      </c>
      <c r="E13" s="27">
        <v>1360833</v>
      </c>
      <c r="F13" s="27">
        <v>1878060</v>
      </c>
      <c r="G13" s="27">
        <v>1936007</v>
      </c>
      <c r="H13" s="27">
        <v>35297450</v>
      </c>
      <c r="I13" s="13"/>
      <c r="J13" s="13"/>
      <c r="K13" s="13"/>
      <c r="L13" s="13"/>
    </row>
    <row r="14" spans="2:12" x14ac:dyDescent="0.3">
      <c r="B14" t="s">
        <v>15</v>
      </c>
      <c r="C14" s="27">
        <v>91272</v>
      </c>
      <c r="D14" s="27">
        <v>272004</v>
      </c>
      <c r="E14" s="27">
        <v>1135711</v>
      </c>
      <c r="F14" s="27">
        <v>6390197</v>
      </c>
      <c r="G14" s="27">
        <v>3001574</v>
      </c>
      <c r="H14" s="27">
        <v>276884</v>
      </c>
      <c r="I14" s="13"/>
      <c r="J14" s="13"/>
      <c r="K14" s="13"/>
      <c r="L14" s="13"/>
    </row>
    <row r="15" spans="2:12" x14ac:dyDescent="0.3">
      <c r="B15" t="s">
        <v>16</v>
      </c>
      <c r="C15" s="27">
        <v>720026</v>
      </c>
      <c r="D15" s="27">
        <v>11373098</v>
      </c>
      <c r="E15" s="27">
        <v>6081876</v>
      </c>
      <c r="F15" s="27">
        <v>7770754</v>
      </c>
      <c r="G15" s="27">
        <v>10002216</v>
      </c>
      <c r="H15" s="27">
        <v>-3771999</v>
      </c>
      <c r="I15" s="13"/>
      <c r="J15" s="13"/>
      <c r="K15" s="13"/>
      <c r="L15" s="13"/>
    </row>
    <row r="16" spans="2:12" x14ac:dyDescent="0.3">
      <c r="B16" t="s">
        <v>17</v>
      </c>
      <c r="C16" s="26">
        <v>49537018</v>
      </c>
      <c r="D16" s="26">
        <v>64864467</v>
      </c>
      <c r="E16" s="26">
        <v>67686649</v>
      </c>
      <c r="F16" s="26">
        <v>76729488</v>
      </c>
      <c r="G16" s="26">
        <v>93598323</v>
      </c>
      <c r="H16" s="26">
        <v>136636647</v>
      </c>
      <c r="I16" s="14">
        <f>I9+I12+I13+I14+I15</f>
        <v>0</v>
      </c>
      <c r="J16" s="14">
        <f t="shared" ref="J16:L16" si="3">J9+J12+J13+J14+J15</f>
        <v>0</v>
      </c>
      <c r="K16" s="14">
        <f t="shared" si="3"/>
        <v>0</v>
      </c>
      <c r="L16" s="14">
        <f t="shared" si="3"/>
        <v>0</v>
      </c>
    </row>
    <row r="17" spans="2:12" x14ac:dyDescent="0.3">
      <c r="B17" t="s">
        <v>18</v>
      </c>
      <c r="C17" s="27">
        <v>989315</v>
      </c>
      <c r="D17" s="27">
        <v>8833362</v>
      </c>
      <c r="E17" s="27">
        <v>11331523</v>
      </c>
      <c r="F17" s="27">
        <v>21419532</v>
      </c>
      <c r="G17" s="27">
        <v>25139926</v>
      </c>
      <c r="H17" s="27">
        <v>71924260</v>
      </c>
      <c r="I17" s="13"/>
      <c r="J17" s="13"/>
      <c r="K17" s="13"/>
      <c r="L17" s="13"/>
    </row>
    <row r="18" spans="2:12" x14ac:dyDescent="0.3">
      <c r="B18" s="3" t="s">
        <v>19</v>
      </c>
      <c r="C18" s="26">
        <v>48547703</v>
      </c>
      <c r="D18" s="26">
        <v>56031105</v>
      </c>
      <c r="E18" s="26">
        <v>56355126</v>
      </c>
      <c r="F18" s="26">
        <v>55309956</v>
      </c>
      <c r="G18" s="26">
        <v>68458397</v>
      </c>
      <c r="H18" s="26">
        <v>64712387</v>
      </c>
      <c r="I18" s="14">
        <f>I16-I17</f>
        <v>0</v>
      </c>
      <c r="J18" s="14">
        <f t="shared" ref="J18:L18" si="4">J16-J17</f>
        <v>0</v>
      </c>
      <c r="K18" s="14">
        <f t="shared" si="4"/>
        <v>0</v>
      </c>
      <c r="L18" s="14">
        <f t="shared" si="4"/>
        <v>0</v>
      </c>
    </row>
    <row r="19" spans="2:12" x14ac:dyDescent="0.3">
      <c r="B19" t="s">
        <v>105</v>
      </c>
      <c r="I19" s="13"/>
      <c r="J19" s="13"/>
      <c r="K19" s="13"/>
      <c r="L19" s="13"/>
    </row>
    <row r="20" spans="2:12" x14ac:dyDescent="0.3">
      <c r="B20" s="4" t="s">
        <v>106</v>
      </c>
      <c r="C20" s="27">
        <v>11338517</v>
      </c>
      <c r="D20" s="27">
        <v>13289668</v>
      </c>
      <c r="E20" s="27">
        <v>14408914</v>
      </c>
      <c r="F20" s="27">
        <v>14992748</v>
      </c>
      <c r="G20" s="27">
        <v>16799212</v>
      </c>
      <c r="H20" s="27">
        <v>19788283</v>
      </c>
      <c r="I20" s="13"/>
      <c r="J20" s="13"/>
      <c r="K20" s="13"/>
      <c r="L20" s="13"/>
    </row>
    <row r="21" spans="2:12" x14ac:dyDescent="0.3">
      <c r="B21" t="s">
        <v>20</v>
      </c>
      <c r="C21" s="27">
        <v>1416927</v>
      </c>
      <c r="D21" s="27">
        <v>1603118</v>
      </c>
      <c r="E21" s="27">
        <v>2841264</v>
      </c>
      <c r="F21" s="27">
        <v>3102695</v>
      </c>
      <c r="G21" s="27">
        <v>3220066</v>
      </c>
      <c r="H21" s="27">
        <v>3598371</v>
      </c>
      <c r="I21" s="13"/>
      <c r="J21" s="13"/>
      <c r="K21" s="13"/>
      <c r="L21" s="13"/>
    </row>
    <row r="22" spans="2:12" x14ac:dyDescent="0.3">
      <c r="B22" t="s">
        <v>21</v>
      </c>
      <c r="C22" s="27">
        <v>7618993</v>
      </c>
      <c r="D22" s="27">
        <v>8993958</v>
      </c>
      <c r="E22" s="27">
        <v>8875316</v>
      </c>
      <c r="F22" s="27">
        <v>8167170</v>
      </c>
      <c r="G22" s="27">
        <v>9638461</v>
      </c>
      <c r="H22" s="27">
        <v>12895587</v>
      </c>
      <c r="I22" s="13"/>
      <c r="J22" s="13"/>
      <c r="K22" s="13"/>
      <c r="L22" s="13"/>
    </row>
    <row r="23" spans="2:12" x14ac:dyDescent="0.3">
      <c r="B23" s="3" t="s">
        <v>22</v>
      </c>
      <c r="C23" s="26">
        <v>20374437</v>
      </c>
      <c r="D23" s="26">
        <v>23886744</v>
      </c>
      <c r="E23" s="26">
        <v>26125494</v>
      </c>
      <c r="F23" s="26">
        <v>26262613</v>
      </c>
      <c r="G23" s="26">
        <v>29657739</v>
      </c>
      <c r="H23" s="26">
        <v>36282241</v>
      </c>
      <c r="I23" s="14">
        <f>I20+I21+I22</f>
        <v>0</v>
      </c>
      <c r="J23" s="14">
        <f t="shared" ref="J23:L23" si="5">J20+J21+J22</f>
        <v>0</v>
      </c>
      <c r="K23" s="14">
        <f t="shared" si="5"/>
        <v>0</v>
      </c>
      <c r="L23" s="14">
        <f t="shared" si="5"/>
        <v>0</v>
      </c>
    </row>
    <row r="24" spans="2:12" x14ac:dyDescent="0.3">
      <c r="B24" t="s">
        <v>23</v>
      </c>
      <c r="C24" s="27">
        <v>28173266</v>
      </c>
      <c r="D24" s="27">
        <v>32144361</v>
      </c>
      <c r="E24" s="27">
        <v>30229632</v>
      </c>
      <c r="F24" s="27">
        <v>29047343</v>
      </c>
      <c r="G24" s="27">
        <v>38800658</v>
      </c>
      <c r="H24" s="27">
        <v>28430146</v>
      </c>
      <c r="I24" s="13">
        <f>I18-I23</f>
        <v>0</v>
      </c>
      <c r="J24" s="13"/>
      <c r="K24" s="13"/>
      <c r="L24" s="13"/>
    </row>
    <row r="25" spans="2:12" x14ac:dyDescent="0.3">
      <c r="B25" t="s">
        <v>24</v>
      </c>
      <c r="C25" s="27">
        <v>4896620</v>
      </c>
      <c r="D25" s="27">
        <v>6051861</v>
      </c>
      <c r="E25" s="27">
        <v>7255728</v>
      </c>
      <c r="F25" s="27">
        <v>4531381</v>
      </c>
      <c r="G25" s="27">
        <v>5845230</v>
      </c>
      <c r="H25" s="27">
        <v>3921381</v>
      </c>
      <c r="I25" s="13"/>
      <c r="J25" s="13"/>
      <c r="K25" s="13"/>
      <c r="L25" s="13"/>
    </row>
    <row r="26" spans="2:12" x14ac:dyDescent="0.3">
      <c r="B26" s="3" t="s">
        <v>25</v>
      </c>
      <c r="C26" s="26">
        <v>23276646</v>
      </c>
      <c r="D26" s="26">
        <v>26092500</v>
      </c>
      <c r="E26" s="26">
        <v>22973904</v>
      </c>
      <c r="F26" s="26">
        <v>24515962</v>
      </c>
      <c r="G26" s="26">
        <v>32955428</v>
      </c>
      <c r="H26" s="26">
        <v>24508765</v>
      </c>
      <c r="I26" s="14">
        <f>I24-I25</f>
        <v>0</v>
      </c>
      <c r="J26" s="14">
        <f t="shared" ref="J26:L26" si="6">J24-J25</f>
        <v>0</v>
      </c>
      <c r="K26" s="14">
        <f t="shared" si="6"/>
        <v>0</v>
      </c>
      <c r="L26" s="14">
        <f t="shared" si="6"/>
        <v>0</v>
      </c>
    </row>
    <row r="27" spans="2:12" x14ac:dyDescent="0.3">
      <c r="B27" t="s">
        <v>26</v>
      </c>
      <c r="C27" s="27">
        <v>3678</v>
      </c>
      <c r="D27" s="27">
        <v>6048</v>
      </c>
      <c r="E27" s="27">
        <v>9992</v>
      </c>
      <c r="F27" s="27">
        <v>3898</v>
      </c>
      <c r="G27" s="27">
        <v>1896</v>
      </c>
      <c r="H27" s="27">
        <v>-3727</v>
      </c>
      <c r="I27" s="13"/>
      <c r="J27" s="13"/>
      <c r="K27" s="13"/>
      <c r="L27" s="13"/>
    </row>
    <row r="28" spans="2:12" x14ac:dyDescent="0.3">
      <c r="B28" s="3" t="s">
        <v>27</v>
      </c>
      <c r="C28" s="27">
        <v>23280324</v>
      </c>
      <c r="D28" s="27">
        <v>26098548</v>
      </c>
      <c r="E28" s="28">
        <v>22983896</v>
      </c>
      <c r="F28" s="28">
        <v>24519860</v>
      </c>
      <c r="G28" s="28">
        <v>32957324</v>
      </c>
      <c r="H28" s="28">
        <v>24505038</v>
      </c>
      <c r="I28" s="13">
        <f>I26+I27</f>
        <v>0</v>
      </c>
      <c r="J28" s="13">
        <f t="shared" ref="J28:L28" si="7">J26+J27</f>
        <v>0</v>
      </c>
      <c r="K28" s="13">
        <f t="shared" si="7"/>
        <v>0</v>
      </c>
      <c r="L28" s="13">
        <f t="shared" si="7"/>
        <v>0</v>
      </c>
    </row>
    <row r="29" spans="2:12" x14ac:dyDescent="0.3">
      <c r="B29" t="s">
        <v>28</v>
      </c>
      <c r="C29" s="27">
        <v>6653817</v>
      </c>
      <c r="D29" s="27">
        <v>8235717</v>
      </c>
      <c r="E29" s="28">
        <v>5563500</v>
      </c>
      <c r="F29" s="28">
        <v>7433063</v>
      </c>
      <c r="G29" s="28">
        <v>8667036</v>
      </c>
      <c r="H29" s="28">
        <v>105566</v>
      </c>
      <c r="I29" s="13"/>
      <c r="J29" s="13"/>
      <c r="K29" s="13"/>
      <c r="L29" s="13"/>
    </row>
    <row r="30" spans="2:12" ht="15" thickBot="1" x14ac:dyDescent="0.35">
      <c r="B30" s="3" t="s">
        <v>29</v>
      </c>
      <c r="C30" s="29">
        <v>16626507</v>
      </c>
      <c r="D30" s="29">
        <v>17862831</v>
      </c>
      <c r="E30" s="29">
        <v>17420396</v>
      </c>
      <c r="F30" s="29">
        <v>17086797</v>
      </c>
      <c r="G30" s="29">
        <v>24290288</v>
      </c>
      <c r="H30" s="29">
        <v>24399472</v>
      </c>
      <c r="I30" s="18">
        <f>I28-I29</f>
        <v>0</v>
      </c>
      <c r="J30" s="18">
        <f t="shared" ref="J30:L30" si="8">J28-J29</f>
        <v>0</v>
      </c>
      <c r="K30" s="18">
        <f t="shared" si="8"/>
        <v>0</v>
      </c>
      <c r="L30" s="18">
        <f t="shared" si="8"/>
        <v>0</v>
      </c>
    </row>
    <row r="31" spans="2:12" ht="15" thickTop="1" x14ac:dyDescent="0.3">
      <c r="B31" t="s">
        <v>30</v>
      </c>
      <c r="C31" s="27">
        <v>16605963</v>
      </c>
      <c r="D31" s="27">
        <v>17734706</v>
      </c>
      <c r="E31" s="27">
        <v>17263259</v>
      </c>
      <c r="F31" s="27">
        <v>16939950</v>
      </c>
      <c r="G31" s="27">
        <v>24062469</v>
      </c>
      <c r="H31" s="27">
        <v>23811914</v>
      </c>
      <c r="I31" s="13"/>
      <c r="J31" s="13"/>
      <c r="K31" s="13"/>
      <c r="L31" s="13"/>
    </row>
    <row r="32" spans="2:12" x14ac:dyDescent="0.3">
      <c r="B32" t="s">
        <v>31</v>
      </c>
      <c r="C32" s="27">
        <v>20544</v>
      </c>
      <c r="D32" s="27">
        <v>128125</v>
      </c>
      <c r="E32" s="27">
        <v>157137</v>
      </c>
      <c r="F32" s="27">
        <v>146847</v>
      </c>
      <c r="G32" s="27">
        <v>227819</v>
      </c>
      <c r="H32" s="27">
        <v>587558</v>
      </c>
      <c r="I32" s="13"/>
      <c r="J32" s="13"/>
      <c r="K32" s="13"/>
      <c r="L32" s="13"/>
    </row>
    <row r="33" spans="2:12" x14ac:dyDescent="0.3">
      <c r="B33" t="s">
        <v>29</v>
      </c>
      <c r="C33" s="27">
        <v>16626507</v>
      </c>
      <c r="D33" s="27">
        <v>17862831</v>
      </c>
      <c r="E33" s="27">
        <v>17420396</v>
      </c>
      <c r="F33" s="27">
        <v>17086797</v>
      </c>
      <c r="G33" s="27">
        <v>24290288</v>
      </c>
      <c r="H33" s="27">
        <v>24399472</v>
      </c>
      <c r="I33" s="13">
        <f>I30</f>
        <v>0</v>
      </c>
      <c r="J33" s="13">
        <f t="shared" ref="J33:L33" si="9">J30</f>
        <v>0</v>
      </c>
      <c r="K33" s="13">
        <f t="shared" si="9"/>
        <v>0</v>
      </c>
      <c r="L33" s="13">
        <f t="shared" si="9"/>
        <v>0</v>
      </c>
    </row>
    <row r="34" spans="2:12" x14ac:dyDescent="0.3">
      <c r="B34" t="s">
        <v>32</v>
      </c>
      <c r="C34" s="30">
        <v>17.05</v>
      </c>
      <c r="D34" s="30">
        <v>17.55</v>
      </c>
      <c r="E34" s="30">
        <v>16.41</v>
      </c>
      <c r="F34" s="30">
        <v>15.7</v>
      </c>
      <c r="G34" s="30">
        <v>19.41</v>
      </c>
      <c r="H34" s="30">
        <v>19.21</v>
      </c>
      <c r="I34" s="13"/>
      <c r="J34" s="13"/>
      <c r="K34" s="13"/>
      <c r="L34" s="13"/>
    </row>
    <row r="35" spans="2:12" x14ac:dyDescent="0.3">
      <c r="B35" t="s">
        <v>33</v>
      </c>
      <c r="C35" s="30">
        <v>17.03</v>
      </c>
      <c r="D35" s="30">
        <v>17.55</v>
      </c>
      <c r="E35" s="30">
        <v>16.41</v>
      </c>
      <c r="F35" s="30">
        <v>15.7</v>
      </c>
      <c r="G35" s="30">
        <v>19.41</v>
      </c>
      <c r="H35" s="30">
        <v>19.21</v>
      </c>
      <c r="I35" s="13"/>
      <c r="J35" s="13"/>
      <c r="K35" s="13"/>
      <c r="L35" s="13"/>
    </row>
    <row r="36" spans="2:12" x14ac:dyDescent="0.3">
      <c r="I36" s="13"/>
      <c r="J36" s="13"/>
      <c r="K36" s="13"/>
      <c r="L36" s="13"/>
    </row>
    <row r="37" spans="2:12" x14ac:dyDescent="0.3">
      <c r="B37" t="s">
        <v>101</v>
      </c>
      <c r="I37" s="13"/>
      <c r="J37" s="13"/>
      <c r="K37" s="13"/>
      <c r="L37" s="13"/>
    </row>
    <row r="38" spans="2:12" x14ac:dyDescent="0.3">
      <c r="B38" t="s">
        <v>102</v>
      </c>
      <c r="G38" s="27">
        <v>0</v>
      </c>
      <c r="H38" s="27">
        <v>26481256</v>
      </c>
    </row>
    <row r="40" spans="2:12" s="33" customFormat="1" x14ac:dyDescent="0.3">
      <c r="B40" s="33" t="s">
        <v>176</v>
      </c>
      <c r="C40" s="35" t="str">
        <f t="shared" ref="C40:G40" si="10">IF(C18-C23-C25+C27-C29-C30=0,"OK","FLAG")</f>
        <v>OK</v>
      </c>
      <c r="D40" s="35" t="str">
        <f t="shared" si="10"/>
        <v>OK</v>
      </c>
      <c r="E40" s="35" t="str">
        <f t="shared" si="10"/>
        <v>OK</v>
      </c>
      <c r="F40" s="35" t="str">
        <f t="shared" si="10"/>
        <v>OK</v>
      </c>
      <c r="G40" s="35" t="str">
        <f t="shared" si="10"/>
        <v>OK</v>
      </c>
      <c r="H40" s="35" t="str">
        <f>IF(H18-H23-H25+H27-H29-H30=0,"OK","FLAG")</f>
        <v>OK</v>
      </c>
    </row>
    <row r="42" spans="2:12" s="8" customFormat="1" x14ac:dyDescent="0.3">
      <c r="B42" s="11" t="s">
        <v>121</v>
      </c>
      <c r="C42" s="12"/>
      <c r="D42" s="12"/>
      <c r="E42" s="12"/>
      <c r="F42" s="12"/>
      <c r="G42" s="12"/>
      <c r="H42" s="12"/>
    </row>
    <row r="43" spans="2:12" x14ac:dyDescent="0.3">
      <c r="B43" s="3" t="s">
        <v>99</v>
      </c>
    </row>
    <row r="44" spans="2:12" x14ac:dyDescent="0.3">
      <c r="B44" s="4" t="s">
        <v>100</v>
      </c>
      <c r="C44" s="27">
        <v>34673424</v>
      </c>
      <c r="D44" s="27">
        <v>44355962</v>
      </c>
      <c r="E44" s="27">
        <v>53681118</v>
      </c>
      <c r="F44" s="27">
        <v>51255030</v>
      </c>
      <c r="G44" s="27">
        <v>69335379</v>
      </c>
      <c r="H44" s="27">
        <v>151109490</v>
      </c>
    </row>
    <row r="45" spans="2:12" x14ac:dyDescent="0.3">
      <c r="B45" t="s">
        <v>34</v>
      </c>
      <c r="C45" s="27">
        <v>45546349</v>
      </c>
      <c r="D45" s="27">
        <v>55406535</v>
      </c>
      <c r="E45" s="27">
        <v>46101232</v>
      </c>
      <c r="F45" s="27">
        <v>115358732</v>
      </c>
      <c r="G45" s="27">
        <v>56777465</v>
      </c>
      <c r="H45" s="27">
        <v>78597120</v>
      </c>
    </row>
    <row r="46" spans="2:12" x14ac:dyDescent="0.3">
      <c r="B46" t="s">
        <v>35</v>
      </c>
      <c r="C46" s="27">
        <v>17633269</v>
      </c>
      <c r="D46" s="27">
        <v>19898515</v>
      </c>
      <c r="E46" s="27">
        <v>24903809</v>
      </c>
      <c r="F46" s="27">
        <v>16421867</v>
      </c>
      <c r="G46" s="27">
        <v>12498709</v>
      </c>
      <c r="H46" s="27">
        <v>96082937</v>
      </c>
    </row>
    <row r="47" spans="2:12" x14ac:dyDescent="0.3">
      <c r="B47" t="s">
        <v>36</v>
      </c>
      <c r="C47" s="27">
        <v>0</v>
      </c>
      <c r="D47" s="27">
        <v>9513512</v>
      </c>
      <c r="E47" s="27">
        <v>13147534</v>
      </c>
      <c r="F47" s="27">
        <v>0</v>
      </c>
      <c r="G47" s="27">
        <v>3000490</v>
      </c>
      <c r="H47" s="27">
        <v>1517308</v>
      </c>
    </row>
    <row r="48" spans="2:12" x14ac:dyDescent="0.3">
      <c r="B48" t="s">
        <v>37</v>
      </c>
      <c r="C48" s="31">
        <v>2334536</v>
      </c>
      <c r="D48" s="31">
        <v>7909962</v>
      </c>
      <c r="E48" s="27">
        <v>1830927</v>
      </c>
      <c r="F48" s="27">
        <v>2636717</v>
      </c>
      <c r="G48" s="27">
        <v>3245120</v>
      </c>
      <c r="H48" s="27">
        <v>8345091</v>
      </c>
    </row>
    <row r="49" spans="2:12" x14ac:dyDescent="0.3">
      <c r="B49" t="s">
        <v>38</v>
      </c>
      <c r="C49" s="31">
        <v>4410913</v>
      </c>
      <c r="D49" s="31">
        <v>5520167</v>
      </c>
      <c r="E49" s="27">
        <v>21468033</v>
      </c>
      <c r="F49" s="27">
        <v>35189471</v>
      </c>
      <c r="G49" s="27">
        <v>23436123</v>
      </c>
      <c r="H49" s="27">
        <v>24873057</v>
      </c>
    </row>
    <row r="50" spans="2:12" x14ac:dyDescent="0.3">
      <c r="B50" t="s">
        <v>103</v>
      </c>
      <c r="C50" s="31">
        <v>640512</v>
      </c>
      <c r="D50" s="31">
        <v>763074</v>
      </c>
      <c r="E50" s="27">
        <v>757787</v>
      </c>
      <c r="F50" s="27">
        <v>779705</v>
      </c>
    </row>
    <row r="51" spans="2:12" x14ac:dyDescent="0.3">
      <c r="B51" t="s">
        <v>39</v>
      </c>
      <c r="C51" s="31">
        <v>742444130</v>
      </c>
      <c r="D51" s="31">
        <v>867611976</v>
      </c>
      <c r="E51" s="27">
        <v>893919311</v>
      </c>
      <c r="F51" s="27">
        <v>909829172</v>
      </c>
      <c r="G51" s="27">
        <v>1029584075</v>
      </c>
      <c r="H51" s="27">
        <v>1155492527</v>
      </c>
    </row>
    <row r="52" spans="2:12" x14ac:dyDescent="0.3">
      <c r="B52" t="s">
        <v>40</v>
      </c>
      <c r="C52" s="27">
        <v>118078273</v>
      </c>
      <c r="D52" s="27">
        <v>89274413</v>
      </c>
      <c r="E52" s="27">
        <v>107059021</v>
      </c>
      <c r="F52" s="27">
        <v>302059529</v>
      </c>
      <c r="G52" s="27">
        <v>385390598</v>
      </c>
      <c r="H52" s="27">
        <v>761650234</v>
      </c>
    </row>
    <row r="53" spans="2:12" x14ac:dyDescent="0.3">
      <c r="B53" t="s">
        <v>41</v>
      </c>
      <c r="C53" s="27">
        <v>154913643</v>
      </c>
      <c r="D53" s="27">
        <v>176760611</v>
      </c>
      <c r="E53" s="27">
        <v>197825017</v>
      </c>
      <c r="F53" s="27">
        <v>278716794</v>
      </c>
      <c r="G53" s="27">
        <v>335953802</v>
      </c>
      <c r="H53" s="27">
        <v>118652257</v>
      </c>
    </row>
    <row r="54" spans="2:12" x14ac:dyDescent="0.3">
      <c r="B54" t="s">
        <v>42</v>
      </c>
      <c r="C54" s="27">
        <v>0</v>
      </c>
      <c r="D54" s="27">
        <v>0</v>
      </c>
      <c r="E54" s="27">
        <v>0</v>
      </c>
      <c r="F54" s="27">
        <v>0</v>
      </c>
      <c r="G54" s="27">
        <v>0</v>
      </c>
      <c r="H54" s="27">
        <v>0</v>
      </c>
    </row>
    <row r="55" spans="2:12" x14ac:dyDescent="0.3">
      <c r="B55" t="s">
        <v>43</v>
      </c>
      <c r="C55" s="27">
        <v>109844</v>
      </c>
      <c r="D55" s="27">
        <v>105320</v>
      </c>
      <c r="E55" s="27">
        <v>56821</v>
      </c>
      <c r="F55" s="27">
        <v>64155</v>
      </c>
      <c r="G55" s="27">
        <v>60428</v>
      </c>
      <c r="H55" s="27">
        <v>55302</v>
      </c>
    </row>
    <row r="56" spans="2:12" x14ac:dyDescent="0.3">
      <c r="B56" t="s">
        <v>44</v>
      </c>
      <c r="C56" s="27">
        <v>16317044</v>
      </c>
      <c r="D56" s="27">
        <v>17015236</v>
      </c>
      <c r="E56" s="27">
        <v>22524658</v>
      </c>
      <c r="F56" s="27">
        <v>25386630</v>
      </c>
      <c r="G56" s="27">
        <v>24744634</v>
      </c>
      <c r="H56" s="27">
        <v>27446607</v>
      </c>
    </row>
    <row r="57" spans="2:12" x14ac:dyDescent="0.3">
      <c r="B57" t="s">
        <v>45</v>
      </c>
      <c r="C57" s="27">
        <v>104516</v>
      </c>
      <c r="D57" s="27">
        <v>103064</v>
      </c>
      <c r="E57" s="27">
        <v>46350</v>
      </c>
      <c r="F57" s="27">
        <v>67116</v>
      </c>
      <c r="G57" s="27">
        <v>72400</v>
      </c>
      <c r="H57" s="27">
        <v>80350</v>
      </c>
    </row>
    <row r="58" spans="2:12" x14ac:dyDescent="0.3">
      <c r="B58" t="s">
        <v>46</v>
      </c>
      <c r="C58" s="27">
        <v>1251226</v>
      </c>
      <c r="D58" s="27">
        <v>1433931</v>
      </c>
      <c r="E58" s="27">
        <v>1645714</v>
      </c>
      <c r="F58" s="27">
        <v>1800516</v>
      </c>
      <c r="G58" s="27">
        <v>2272639</v>
      </c>
      <c r="H58" s="27">
        <v>4113200</v>
      </c>
    </row>
    <row r="59" spans="2:12" x14ac:dyDescent="0.3">
      <c r="B59" t="s">
        <v>47</v>
      </c>
      <c r="C59" s="27">
        <v>0</v>
      </c>
      <c r="D59" s="27">
        <v>188487</v>
      </c>
      <c r="E59" s="27">
        <v>530165</v>
      </c>
      <c r="F59" s="27">
        <v>2735566</v>
      </c>
      <c r="G59" s="27">
        <v>10036105</v>
      </c>
      <c r="H59" s="27">
        <v>30727213</v>
      </c>
    </row>
    <row r="60" spans="2:12" x14ac:dyDescent="0.3">
      <c r="B60" t="s">
        <v>48</v>
      </c>
      <c r="C60" s="27">
        <v>17362977</v>
      </c>
      <c r="D60" s="27">
        <v>24051472</v>
      </c>
      <c r="E60" s="27">
        <v>23443869</v>
      </c>
      <c r="F60" s="27">
        <v>20195153</v>
      </c>
      <c r="G60" s="27">
        <v>27083177</v>
      </c>
      <c r="H60" s="27">
        <v>40811211</v>
      </c>
    </row>
    <row r="61" spans="2:12" ht="15" thickBot="1" x14ac:dyDescent="0.35">
      <c r="B61" s="3" t="s">
        <v>49</v>
      </c>
      <c r="C61" s="29">
        <v>1155820656</v>
      </c>
      <c r="D61" s="29">
        <v>1319912237</v>
      </c>
      <c r="E61" s="29">
        <v>1408941366</v>
      </c>
      <c r="F61" s="29">
        <v>1762496153</v>
      </c>
      <c r="G61" s="29">
        <v>1983491144</v>
      </c>
      <c r="H61" s="29">
        <v>2499553904</v>
      </c>
      <c r="I61" s="20"/>
      <c r="J61" s="20"/>
      <c r="K61" s="20"/>
      <c r="L61" s="20"/>
    </row>
    <row r="62" spans="2:12" ht="15" thickTop="1" x14ac:dyDescent="0.3">
      <c r="B62" s="3" t="s">
        <v>107</v>
      </c>
    </row>
    <row r="63" spans="2:12" x14ac:dyDescent="0.3">
      <c r="B63" s="4" t="s">
        <v>108</v>
      </c>
      <c r="C63" s="27">
        <v>60244892</v>
      </c>
      <c r="D63" s="27">
        <v>52362052</v>
      </c>
      <c r="E63" s="27">
        <v>53807425</v>
      </c>
      <c r="F63" s="27">
        <v>88248056</v>
      </c>
      <c r="G63" s="27">
        <v>73801195</v>
      </c>
      <c r="H63" s="27">
        <v>64971170</v>
      </c>
    </row>
    <row r="64" spans="2:12" x14ac:dyDescent="0.3">
      <c r="B64" t="s">
        <v>50</v>
      </c>
      <c r="C64" s="27">
        <v>3678494</v>
      </c>
      <c r="D64" s="27">
        <v>8021783</v>
      </c>
      <c r="E64" s="27">
        <v>1495317</v>
      </c>
      <c r="F64" s="27">
        <v>1501262</v>
      </c>
      <c r="G64" s="27">
        <v>2092198</v>
      </c>
      <c r="H64" s="27">
        <v>2880667</v>
      </c>
    </row>
    <row r="65" spans="2:12" x14ac:dyDescent="0.3">
      <c r="B65" t="s">
        <v>51</v>
      </c>
      <c r="C65" s="27">
        <v>49532385</v>
      </c>
      <c r="D65" s="27">
        <v>48951394</v>
      </c>
      <c r="E65" s="27">
        <v>51117342</v>
      </c>
      <c r="F65" s="27">
        <v>91411522</v>
      </c>
      <c r="G65" s="27">
        <v>151424854</v>
      </c>
      <c r="H65" s="27">
        <v>97726435</v>
      </c>
    </row>
    <row r="66" spans="2:12" x14ac:dyDescent="0.3">
      <c r="B66" t="s">
        <v>52</v>
      </c>
      <c r="C66" s="27">
        <v>857269981</v>
      </c>
      <c r="D66" s="27">
        <v>994370875</v>
      </c>
      <c r="E66" s="27">
        <v>1068982587</v>
      </c>
      <c r="F66" s="27">
        <v>1286616399</v>
      </c>
      <c r="G66" s="27">
        <v>1472640456</v>
      </c>
      <c r="H66" s="27">
        <v>1977743661</v>
      </c>
    </row>
    <row r="67" spans="2:12" x14ac:dyDescent="0.3">
      <c r="B67" t="s">
        <v>53</v>
      </c>
      <c r="C67" s="27">
        <v>23786094</v>
      </c>
      <c r="D67" s="27">
        <v>25361912</v>
      </c>
      <c r="E67" s="27">
        <v>23248893</v>
      </c>
      <c r="F67" s="27">
        <v>54555933</v>
      </c>
      <c r="G67" s="27">
        <v>32587051</v>
      </c>
      <c r="H67" s="27">
        <v>16150356</v>
      </c>
    </row>
    <row r="68" spans="2:12" x14ac:dyDescent="0.3">
      <c r="B68" t="s">
        <v>54</v>
      </c>
      <c r="C68" s="27">
        <v>4202850</v>
      </c>
      <c r="D68" s="27">
        <v>6735997</v>
      </c>
      <c r="E68" s="27">
        <v>5197188</v>
      </c>
      <c r="F68" s="27">
        <v>6991005</v>
      </c>
      <c r="G68" s="27">
        <v>9486772</v>
      </c>
      <c r="H68" s="27">
        <v>24916074</v>
      </c>
    </row>
    <row r="69" spans="2:12" x14ac:dyDescent="0.3">
      <c r="B69" t="s">
        <v>55</v>
      </c>
      <c r="C69" s="27">
        <v>3565215</v>
      </c>
      <c r="D69" s="27">
        <v>971424</v>
      </c>
      <c r="E69" s="27">
        <v>416458</v>
      </c>
      <c r="F69" s="27">
        <v>403846</v>
      </c>
      <c r="G69" s="27">
        <v>349106</v>
      </c>
      <c r="H69" s="27">
        <v>437123</v>
      </c>
    </row>
    <row r="70" spans="2:12" x14ac:dyDescent="0.3">
      <c r="B70" t="s">
        <v>56</v>
      </c>
      <c r="C70" s="27">
        <v>19508115</v>
      </c>
      <c r="D70" s="27">
        <v>24547513</v>
      </c>
      <c r="E70" s="27">
        <v>30775884</v>
      </c>
      <c r="F70" s="27">
        <v>33572283</v>
      </c>
      <c r="G70" s="27">
        <v>33253518</v>
      </c>
      <c r="H70" s="27">
        <v>40354877</v>
      </c>
    </row>
    <row r="71" spans="2:12" x14ac:dyDescent="0.3">
      <c r="B71" t="s">
        <v>57</v>
      </c>
      <c r="C71" s="27">
        <v>0</v>
      </c>
      <c r="D71" s="27">
        <v>0</v>
      </c>
      <c r="E71" s="27">
        <v>0</v>
      </c>
      <c r="F71" s="27">
        <v>0</v>
      </c>
      <c r="G71" s="27">
        <v>0</v>
      </c>
      <c r="H71" s="27">
        <v>0</v>
      </c>
    </row>
    <row r="72" spans="2:12" x14ac:dyDescent="0.3">
      <c r="B72" t="s">
        <v>58</v>
      </c>
      <c r="C72" s="27">
        <v>25165924</v>
      </c>
      <c r="D72" s="27">
        <v>37992457</v>
      </c>
      <c r="E72" s="27">
        <v>37886789</v>
      </c>
      <c r="F72" s="27">
        <v>38247138</v>
      </c>
      <c r="G72" s="27">
        <v>38303466</v>
      </c>
      <c r="H72" s="27">
        <v>61400967</v>
      </c>
    </row>
    <row r="73" spans="2:12" x14ac:dyDescent="0.3">
      <c r="B73" s="3" t="s">
        <v>59</v>
      </c>
      <c r="C73" s="26">
        <v>1046953950</v>
      </c>
      <c r="D73" s="26">
        <v>1199315407</v>
      </c>
      <c r="E73" s="26">
        <v>1272927883</v>
      </c>
      <c r="F73" s="26">
        <v>1601547444</v>
      </c>
      <c r="G73" s="26">
        <v>1813938616</v>
      </c>
      <c r="H73" s="26">
        <v>2286581330</v>
      </c>
      <c r="I73" s="15"/>
      <c r="J73" s="15"/>
      <c r="K73" s="15"/>
      <c r="L73" s="15"/>
    </row>
    <row r="74" spans="2:12" x14ac:dyDescent="0.3">
      <c r="B74" s="3" t="s">
        <v>109</v>
      </c>
    </row>
    <row r="75" spans="2:12" x14ac:dyDescent="0.3">
      <c r="B75" s="4" t="s">
        <v>110</v>
      </c>
      <c r="C75" s="27">
        <v>37143541</v>
      </c>
      <c r="D75" s="27">
        <v>39147882</v>
      </c>
      <c r="E75" s="27">
        <v>40916958</v>
      </c>
      <c r="F75" s="27">
        <v>52187747</v>
      </c>
      <c r="G75" s="27">
        <v>54566957</v>
      </c>
      <c r="H75" s="27">
        <v>58149621</v>
      </c>
    </row>
    <row r="76" spans="2:12" x14ac:dyDescent="0.3">
      <c r="B76" t="s">
        <v>60</v>
      </c>
      <c r="C76" s="27">
        <v>6492552</v>
      </c>
      <c r="D76" s="27">
        <v>7444178</v>
      </c>
      <c r="E76" s="27">
        <v>8387701</v>
      </c>
      <c r="F76" s="27">
        <v>9285233</v>
      </c>
      <c r="G76" s="27">
        <v>10590338</v>
      </c>
      <c r="H76" s="27">
        <v>12079670</v>
      </c>
    </row>
    <row r="77" spans="2:12" x14ac:dyDescent="0.3">
      <c r="B77" t="s">
        <v>61</v>
      </c>
      <c r="C77" s="27">
        <v>5086609</v>
      </c>
      <c r="D77" s="27">
        <v>4949955</v>
      </c>
      <c r="E77" s="27">
        <v>5182185</v>
      </c>
      <c r="F77" s="27">
        <v>8124261</v>
      </c>
      <c r="G77" s="27">
        <v>9890762</v>
      </c>
      <c r="H77" s="27">
        <v>6790304</v>
      </c>
    </row>
    <row r="78" spans="2:12" x14ac:dyDescent="0.3">
      <c r="B78" t="s">
        <v>62</v>
      </c>
      <c r="C78" s="27">
        <v>59272098</v>
      </c>
      <c r="D78" s="27">
        <v>67855834</v>
      </c>
      <c r="E78" s="27">
        <v>79937405</v>
      </c>
      <c r="F78" s="27">
        <v>89595571</v>
      </c>
      <c r="G78" s="27">
        <v>92426660</v>
      </c>
      <c r="H78" s="27">
        <v>131845571</v>
      </c>
    </row>
    <row r="79" spans="2:12" x14ac:dyDescent="0.3">
      <c r="B79" t="s">
        <v>63</v>
      </c>
      <c r="C79" s="27">
        <v>107994800</v>
      </c>
      <c r="D79" s="27">
        <v>119397849</v>
      </c>
      <c r="E79" s="27">
        <v>134424249</v>
      </c>
      <c r="F79" s="27">
        <v>159192812</v>
      </c>
      <c r="G79" s="27">
        <v>167474717</v>
      </c>
      <c r="H79" s="27">
        <v>208865166</v>
      </c>
    </row>
    <row r="80" spans="2:12" x14ac:dyDescent="0.3">
      <c r="B80" t="s">
        <v>31</v>
      </c>
      <c r="C80" s="27">
        <v>871906</v>
      </c>
      <c r="D80" s="27">
        <v>1198981</v>
      </c>
      <c r="E80" s="27">
        <v>1589234</v>
      </c>
      <c r="F80" s="27">
        <v>1755897</v>
      </c>
      <c r="G80" s="27">
        <v>2077811</v>
      </c>
      <c r="H80" s="27">
        <v>4107408</v>
      </c>
    </row>
    <row r="81" spans="2:12" x14ac:dyDescent="0.3">
      <c r="B81" s="3" t="s">
        <v>64</v>
      </c>
      <c r="C81" s="26">
        <v>108866706</v>
      </c>
      <c r="D81" s="26">
        <v>120596830</v>
      </c>
      <c r="E81" s="26">
        <v>136013483</v>
      </c>
      <c r="F81" s="26">
        <v>160948709</v>
      </c>
      <c r="G81" s="26">
        <v>169552528</v>
      </c>
      <c r="H81" s="26">
        <v>212972574</v>
      </c>
      <c r="I81" s="15"/>
      <c r="J81" s="15"/>
      <c r="K81" s="15"/>
      <c r="L81" s="15"/>
    </row>
    <row r="82" spans="2:12" ht="15" thickBot="1" x14ac:dyDescent="0.35">
      <c r="B82" s="3" t="s">
        <v>65</v>
      </c>
      <c r="C82" s="29">
        <v>1155820656</v>
      </c>
      <c r="D82" s="29">
        <v>1319912237</v>
      </c>
      <c r="E82" s="29">
        <v>1408941366</v>
      </c>
      <c r="F82" s="29">
        <v>1762496153</v>
      </c>
      <c r="G82" s="29">
        <v>1983491144</v>
      </c>
      <c r="H82" s="29">
        <v>2499553904</v>
      </c>
      <c r="I82" s="20"/>
      <c r="J82" s="20"/>
      <c r="K82" s="20"/>
      <c r="L82" s="20"/>
    </row>
    <row r="83" spans="2:12" ht="15" thickTop="1" x14ac:dyDescent="0.3">
      <c r="B83" t="s">
        <v>66</v>
      </c>
      <c r="C83" s="27">
        <v>565277821</v>
      </c>
      <c r="D83" s="27">
        <v>658860264</v>
      </c>
      <c r="E83" s="27">
        <v>580961807</v>
      </c>
      <c r="F83" s="27">
        <v>730561685</v>
      </c>
      <c r="G83" s="27">
        <v>685379028</v>
      </c>
      <c r="H83" s="27">
        <v>555531537</v>
      </c>
    </row>
    <row r="84" spans="2:12" x14ac:dyDescent="0.3">
      <c r="B84" s="3" t="s">
        <v>67</v>
      </c>
      <c r="C84" s="30">
        <v>108.44</v>
      </c>
      <c r="D84" s="30">
        <v>118.13</v>
      </c>
      <c r="E84" s="30">
        <v>130.83000000000001</v>
      </c>
      <c r="F84" s="30">
        <v>136.41999999999999</v>
      </c>
      <c r="G84" s="30">
        <v>140.24</v>
      </c>
      <c r="H84" s="30">
        <v>168.47</v>
      </c>
    </row>
    <row r="85" spans="2:12" s="21" customFormat="1" x14ac:dyDescent="0.3">
      <c r="B85" s="21" t="s">
        <v>129</v>
      </c>
      <c r="C85" s="22"/>
      <c r="D85" s="22"/>
      <c r="E85" s="22"/>
      <c r="F85" s="22"/>
      <c r="G85" s="22"/>
      <c r="H85" s="22"/>
    </row>
    <row r="86" spans="2:12" s="21" customFormat="1" x14ac:dyDescent="0.3">
      <c r="B86" s="21" t="s">
        <v>128</v>
      </c>
      <c r="C86" s="32">
        <v>4982</v>
      </c>
      <c r="D86" s="32">
        <v>5027</v>
      </c>
      <c r="E86" s="32">
        <v>5062</v>
      </c>
      <c r="F86" s="32">
        <v>5057</v>
      </c>
      <c r="G86" s="32">
        <v>5072</v>
      </c>
      <c r="H86" s="32">
        <v>5121</v>
      </c>
    </row>
    <row r="87" spans="2:12" s="21" customFormat="1" x14ac:dyDescent="0.3">
      <c r="B87" s="21" t="s">
        <v>68</v>
      </c>
      <c r="C87" s="32">
        <v>280</v>
      </c>
      <c r="D87" s="32">
        <v>285</v>
      </c>
      <c r="E87" s="32">
        <v>287</v>
      </c>
      <c r="F87" s="32">
        <v>287</v>
      </c>
      <c r="G87" s="32">
        <v>287</v>
      </c>
      <c r="H87" s="32">
        <v>289</v>
      </c>
    </row>
    <row r="89" spans="2:12" s="33" customFormat="1" x14ac:dyDescent="0.3">
      <c r="B89" s="33" t="s">
        <v>177</v>
      </c>
      <c r="C89" s="34">
        <f t="shared" ref="C89:G89" si="11">SUM(C44:C60)-SUM(C63:C72)-SUM(C75:C78)-C80</f>
        <v>0</v>
      </c>
      <c r="D89" s="34">
        <f t="shared" si="11"/>
        <v>0</v>
      </c>
      <c r="E89" s="34">
        <f t="shared" si="11"/>
        <v>0</v>
      </c>
      <c r="F89" s="34">
        <f t="shared" si="11"/>
        <v>0</v>
      </c>
      <c r="G89" s="34">
        <f t="shared" si="11"/>
        <v>0</v>
      </c>
      <c r="H89" s="34">
        <f>SUM(H44:H60)-SUM(H63:H72)-SUM(H75:H78)-H80</f>
        <v>0</v>
      </c>
    </row>
    <row r="91" spans="2:12" s="8" customFormat="1" x14ac:dyDescent="0.3">
      <c r="B91" s="11" t="s">
        <v>123</v>
      </c>
      <c r="C91" s="12"/>
      <c r="D91" s="12"/>
      <c r="E91" s="12"/>
      <c r="F91" s="12"/>
      <c r="G91" s="12"/>
      <c r="H91" s="12"/>
    </row>
    <row r="93" spans="2:12" x14ac:dyDescent="0.3">
      <c r="B93" t="s">
        <v>70</v>
      </c>
      <c r="C93" s="27">
        <v>23280324</v>
      </c>
      <c r="D93" s="27">
        <v>26098548</v>
      </c>
      <c r="E93" s="27">
        <v>22983896</v>
      </c>
      <c r="F93" s="27">
        <v>24519860</v>
      </c>
      <c r="G93" s="27">
        <v>32957324</v>
      </c>
      <c r="H93" s="27">
        <v>24505038</v>
      </c>
    </row>
    <row r="94" spans="2:12" x14ac:dyDescent="0.3">
      <c r="B94" t="s">
        <v>112</v>
      </c>
    </row>
    <row r="95" spans="2:12" x14ac:dyDescent="0.3">
      <c r="B95" t="s">
        <v>111</v>
      </c>
      <c r="C95" s="27">
        <v>1078540</v>
      </c>
      <c r="D95" s="27">
        <v>12380685</v>
      </c>
      <c r="E95" s="27">
        <v>14014272</v>
      </c>
      <c r="F95" s="27">
        <v>24764927</v>
      </c>
      <c r="G95" s="27">
        <v>30473593</v>
      </c>
      <c r="H95" s="27">
        <v>91299070</v>
      </c>
    </row>
    <row r="96" spans="2:12" x14ac:dyDescent="0.3">
      <c r="B96" t="s">
        <v>71</v>
      </c>
      <c r="C96" s="27">
        <v>-125489870</v>
      </c>
      <c r="D96" s="27">
        <v>-169379105</v>
      </c>
      <c r="E96" s="27">
        <v>-84218375</v>
      </c>
      <c r="F96" s="27">
        <v>-374761711</v>
      </c>
      <c r="G96" s="27">
        <v>-230261220</v>
      </c>
      <c r="H96" s="27">
        <v>-463345077</v>
      </c>
    </row>
    <row r="97" spans="2:8" x14ac:dyDescent="0.3">
      <c r="B97" t="s">
        <v>72</v>
      </c>
      <c r="C97" s="27">
        <v>100265879</v>
      </c>
      <c r="D97" s="27">
        <v>138876499</v>
      </c>
      <c r="E97" s="27">
        <v>69879669</v>
      </c>
      <c r="F97" s="27">
        <v>325708382</v>
      </c>
      <c r="G97" s="27">
        <v>208070200</v>
      </c>
      <c r="H97" s="27">
        <v>430778836</v>
      </c>
    </row>
    <row r="98" spans="2:8" x14ac:dyDescent="0.3">
      <c r="B98" t="s">
        <v>73</v>
      </c>
      <c r="C98" s="27">
        <v>18774</v>
      </c>
      <c r="D98" s="27">
        <v>-9311</v>
      </c>
      <c r="E98" s="27">
        <v>-19731</v>
      </c>
      <c r="F98" s="27">
        <v>-5820</v>
      </c>
      <c r="G98" s="27">
        <v>-4054</v>
      </c>
      <c r="H98" s="27">
        <v>-20118</v>
      </c>
    </row>
    <row r="99" spans="2:8" x14ac:dyDescent="0.3">
      <c r="B99" t="s">
        <v>74</v>
      </c>
      <c r="C99" s="27">
        <v>-3678</v>
      </c>
      <c r="D99" s="27">
        <v>-6048</v>
      </c>
      <c r="E99" s="27">
        <v>-9992</v>
      </c>
      <c r="F99" s="27">
        <v>-3898</v>
      </c>
      <c r="G99" s="27">
        <v>-1896</v>
      </c>
      <c r="H99" s="27">
        <v>3727</v>
      </c>
    </row>
    <row r="100" spans="2:8" x14ac:dyDescent="0.3">
      <c r="B100" t="s">
        <v>75</v>
      </c>
      <c r="C100" s="27">
        <v>0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</row>
    <row r="101" spans="2:8" x14ac:dyDescent="0.3">
      <c r="B101" t="s">
        <v>76</v>
      </c>
      <c r="C101" s="27">
        <v>2377694</v>
      </c>
      <c r="D101" s="27">
        <v>3105553</v>
      </c>
      <c r="E101" s="27">
        <v>3848979</v>
      </c>
      <c r="F101" s="27">
        <v>3756921</v>
      </c>
      <c r="G101" s="27">
        <v>3398554</v>
      </c>
      <c r="H101" s="27">
        <v>4843571</v>
      </c>
    </row>
    <row r="102" spans="2:8" x14ac:dyDescent="0.3">
      <c r="B102" t="s">
        <v>77</v>
      </c>
      <c r="C102" s="27">
        <v>-503140</v>
      </c>
      <c r="D102" s="27">
        <v>3003952</v>
      </c>
      <c r="E102" s="27">
        <v>-396201</v>
      </c>
      <c r="F102" s="27">
        <v>596723</v>
      </c>
      <c r="G102" s="27">
        <v>1278891</v>
      </c>
      <c r="H102" s="27">
        <v>18347815</v>
      </c>
    </row>
    <row r="103" spans="2:8" x14ac:dyDescent="0.3">
      <c r="B103" t="s">
        <v>78</v>
      </c>
      <c r="C103" s="27">
        <v>-184464</v>
      </c>
      <c r="D103" s="27">
        <v>-382409</v>
      </c>
      <c r="E103" s="27">
        <v>-198799</v>
      </c>
      <c r="F103" s="27">
        <v>-673106</v>
      </c>
      <c r="G103" s="27">
        <v>-1116195</v>
      </c>
      <c r="H103" s="27">
        <v>-780828</v>
      </c>
    </row>
    <row r="104" spans="2:8" x14ac:dyDescent="0.3">
      <c r="B104" t="s">
        <v>79</v>
      </c>
      <c r="C104" s="27">
        <v>-3810701</v>
      </c>
      <c r="D104" s="27">
        <v>-5971026</v>
      </c>
      <c r="E104" s="27">
        <v>-8301839</v>
      </c>
      <c r="F104" s="27">
        <v>-7748870</v>
      </c>
      <c r="G104" s="27">
        <v>-8963620</v>
      </c>
      <c r="H104" s="27">
        <v>-11143271</v>
      </c>
    </row>
    <row r="105" spans="2:8" x14ac:dyDescent="0.3">
      <c r="B105" t="s">
        <v>80</v>
      </c>
      <c r="C105" s="27">
        <v>0</v>
      </c>
      <c r="D105" s="27">
        <v>0</v>
      </c>
      <c r="E105" s="27">
        <v>0</v>
      </c>
      <c r="F105" s="27">
        <v>0</v>
      </c>
      <c r="G105" s="27">
        <v>0</v>
      </c>
      <c r="H105" s="27">
        <v>-5216574</v>
      </c>
    </row>
    <row r="106" spans="2:8" x14ac:dyDescent="0.3">
      <c r="B106" s="3" t="s">
        <v>81</v>
      </c>
      <c r="C106" s="27">
        <v>-2970642</v>
      </c>
      <c r="D106" s="27">
        <v>7717338</v>
      </c>
      <c r="E106" s="27">
        <v>17581879</v>
      </c>
      <c r="F106" s="27">
        <v>-3846592</v>
      </c>
      <c r="G106" s="27">
        <v>35831577</v>
      </c>
      <c r="H106" s="27">
        <v>89272189</v>
      </c>
    </row>
    <row r="107" spans="2:8" x14ac:dyDescent="0.3">
      <c r="B107" s="3" t="s">
        <v>114</v>
      </c>
    </row>
    <row r="108" spans="2:8" x14ac:dyDescent="0.3">
      <c r="B108" t="s">
        <v>113</v>
      </c>
      <c r="C108" s="27">
        <v>-2163733</v>
      </c>
      <c r="D108" s="27">
        <v>-2079875</v>
      </c>
      <c r="E108" s="27">
        <v>-1372832</v>
      </c>
      <c r="F108" s="27">
        <v>-1159712</v>
      </c>
      <c r="G108" s="27">
        <v>-1034299</v>
      </c>
      <c r="H108" s="27">
        <v>-3370339</v>
      </c>
    </row>
    <row r="109" spans="2:8" x14ac:dyDescent="0.3">
      <c r="B109" t="s">
        <v>82</v>
      </c>
      <c r="C109" s="27">
        <v>58032</v>
      </c>
      <c r="D109" s="27">
        <v>53314</v>
      </c>
      <c r="E109" s="27">
        <v>24189</v>
      </c>
      <c r="F109" s="27">
        <v>8901</v>
      </c>
      <c r="G109" s="27">
        <v>49463</v>
      </c>
      <c r="H109" s="27">
        <v>47856</v>
      </c>
    </row>
    <row r="110" spans="2:8" x14ac:dyDescent="0.3">
      <c r="B110" t="s">
        <v>83</v>
      </c>
      <c r="C110" s="27">
        <v>-179751</v>
      </c>
      <c r="D110" s="27">
        <v>-697591</v>
      </c>
      <c r="E110" s="27">
        <v>-95031</v>
      </c>
      <c r="F110" s="27">
        <v>-300000</v>
      </c>
      <c r="G110" s="27">
        <v>-5607000</v>
      </c>
      <c r="H110" s="27">
        <v>-1200000</v>
      </c>
    </row>
    <row r="111" spans="2:8" x14ac:dyDescent="0.3">
      <c r="B111" t="s">
        <v>84</v>
      </c>
      <c r="C111" s="27">
        <v>3530785</v>
      </c>
      <c r="D111" s="27">
        <v>2096712</v>
      </c>
      <c r="E111" s="27">
        <v>3428080</v>
      </c>
      <c r="F111" s="27">
        <v>2368509</v>
      </c>
      <c r="G111" s="27">
        <v>484800</v>
      </c>
      <c r="H111" s="27">
        <v>952369</v>
      </c>
    </row>
    <row r="112" spans="2:8" x14ac:dyDescent="0.3">
      <c r="B112" t="s">
        <v>85</v>
      </c>
      <c r="C112" s="27">
        <v>-352329</v>
      </c>
      <c r="D112" s="27">
        <v>-406641</v>
      </c>
      <c r="E112" s="27">
        <v>-415088</v>
      </c>
      <c r="F112" s="27">
        <v>-460053</v>
      </c>
      <c r="G112" s="27">
        <v>-810454</v>
      </c>
      <c r="H112" s="27">
        <v>-2224915</v>
      </c>
    </row>
    <row r="113" spans="2:8" x14ac:dyDescent="0.3">
      <c r="B113" t="s">
        <v>75</v>
      </c>
      <c r="C113" s="27">
        <v>4111</v>
      </c>
      <c r="E113" s="27">
        <v>0</v>
      </c>
      <c r="F113" s="27">
        <v>0</v>
      </c>
      <c r="G113" s="27">
        <v>0</v>
      </c>
      <c r="H113" s="27">
        <v>0</v>
      </c>
    </row>
    <row r="114" spans="2:8" x14ac:dyDescent="0.3">
      <c r="B114" t="s">
        <v>104</v>
      </c>
      <c r="C114" s="27">
        <v>7803</v>
      </c>
      <c r="D114" s="27">
        <v>4962</v>
      </c>
      <c r="E114" s="27">
        <v>-70213</v>
      </c>
      <c r="F114" s="27">
        <v>-41</v>
      </c>
    </row>
    <row r="115" spans="2:8" x14ac:dyDescent="0.3">
      <c r="B115" s="3" t="s">
        <v>86</v>
      </c>
      <c r="C115" s="27">
        <v>904918</v>
      </c>
      <c r="D115" s="27">
        <v>-1029119</v>
      </c>
      <c r="E115" s="27">
        <v>1499105</v>
      </c>
      <c r="F115" s="27">
        <v>457604</v>
      </c>
      <c r="G115" s="27">
        <v>-6917490</v>
      </c>
      <c r="H115" s="27">
        <v>-5795029</v>
      </c>
    </row>
    <row r="116" spans="2:8" x14ac:dyDescent="0.3">
      <c r="B116" s="3" t="s">
        <v>116</v>
      </c>
    </row>
    <row r="117" spans="2:8" x14ac:dyDescent="0.3">
      <c r="B117" t="s">
        <v>115</v>
      </c>
      <c r="C117" s="2">
        <f>10143872+386311</f>
        <v>10530183</v>
      </c>
      <c r="D117" s="27">
        <v>203083</v>
      </c>
      <c r="E117" s="27">
        <v>30128</v>
      </c>
      <c r="F117" s="27">
        <v>0</v>
      </c>
      <c r="G117" s="27">
        <v>40866</v>
      </c>
      <c r="H117" s="27">
        <v>0</v>
      </c>
    </row>
    <row r="118" spans="2:8" x14ac:dyDescent="0.3">
      <c r="B118" t="s">
        <v>87</v>
      </c>
      <c r="C118" s="27">
        <v>0</v>
      </c>
      <c r="D118" s="27">
        <v>10000000</v>
      </c>
      <c r="E118" s="27">
        <v>0</v>
      </c>
      <c r="F118" s="27">
        <v>9215775</v>
      </c>
      <c r="G118" s="27">
        <v>8595470</v>
      </c>
      <c r="H118" s="27">
        <v>10000000</v>
      </c>
    </row>
    <row r="119" spans="2:8" x14ac:dyDescent="0.3">
      <c r="B119" t="s">
        <v>88</v>
      </c>
      <c r="C119" s="27">
        <v>0</v>
      </c>
      <c r="D119" s="27">
        <v>0</v>
      </c>
      <c r="E119" s="27">
        <v>0</v>
      </c>
      <c r="F119" s="27">
        <v>0</v>
      </c>
      <c r="G119" s="27">
        <v>-9502140</v>
      </c>
      <c r="H119" s="27">
        <v>0</v>
      </c>
    </row>
    <row r="120" spans="2:8" x14ac:dyDescent="0.3">
      <c r="B120" t="s">
        <v>89</v>
      </c>
      <c r="C120" s="27">
        <v>-2362270</v>
      </c>
      <c r="D120" s="27">
        <v>-2496230</v>
      </c>
      <c r="E120" s="27">
        <v>-3873107</v>
      </c>
      <c r="F120" s="27">
        <v>-3802023</v>
      </c>
      <c r="G120" s="27">
        <v>-3422766</v>
      </c>
      <c r="H120" s="27">
        <v>-4283280</v>
      </c>
    </row>
    <row r="121" spans="2:8" x14ac:dyDescent="0.3">
      <c r="B121" t="s">
        <v>90</v>
      </c>
      <c r="E121" s="27">
        <v>-1049004</v>
      </c>
      <c r="F121" s="27">
        <v>-1354902</v>
      </c>
      <c r="G121" s="27">
        <v>-1366628</v>
      </c>
      <c r="H121" s="27">
        <v>-2055498</v>
      </c>
    </row>
    <row r="122" spans="2:8" x14ac:dyDescent="0.3">
      <c r="B122" t="s">
        <v>91</v>
      </c>
      <c r="C122" s="27">
        <v>-3690</v>
      </c>
      <c r="D122" s="27">
        <v>-4218</v>
      </c>
      <c r="E122" s="27">
        <v>-4988</v>
      </c>
      <c r="F122" s="27">
        <v>-15996</v>
      </c>
      <c r="G122" s="27">
        <v>-15168</v>
      </c>
      <c r="H122" s="27">
        <v>-14365</v>
      </c>
    </row>
    <row r="123" spans="2:8" x14ac:dyDescent="0.3">
      <c r="B123" t="s">
        <v>92</v>
      </c>
      <c r="C123" s="27">
        <v>-4349302</v>
      </c>
      <c r="D123" s="27">
        <v>-4703903</v>
      </c>
      <c r="E123" s="27">
        <v>-4857563</v>
      </c>
      <c r="F123" s="27">
        <v>-3082420</v>
      </c>
      <c r="G123" s="27">
        <v>-5159000</v>
      </c>
      <c r="H123" s="27">
        <v>-5343490</v>
      </c>
    </row>
    <row r="124" spans="2:8" x14ac:dyDescent="0.3">
      <c r="B124" s="3" t="s">
        <v>93</v>
      </c>
      <c r="C124" s="27">
        <v>3814921</v>
      </c>
      <c r="D124" s="27">
        <v>2998732</v>
      </c>
      <c r="E124" s="27">
        <v>-9754534</v>
      </c>
      <c r="F124" s="27">
        <v>960434</v>
      </c>
      <c r="G124" s="27">
        <v>-10829366</v>
      </c>
      <c r="H124" s="27">
        <v>-1696633</v>
      </c>
    </row>
    <row r="125" spans="2:8" x14ac:dyDescent="0.3">
      <c r="B125" t="s">
        <v>94</v>
      </c>
      <c r="C125" s="27">
        <v>1749197</v>
      </c>
      <c r="D125" s="27">
        <v>9686951</v>
      </c>
      <c r="E125" s="27">
        <v>9326450</v>
      </c>
      <c r="F125" s="27">
        <v>-2428554</v>
      </c>
      <c r="G125" s="27">
        <v>18084721</v>
      </c>
      <c r="H125" s="27">
        <v>81780527</v>
      </c>
    </row>
    <row r="126" spans="2:8" x14ac:dyDescent="0.3">
      <c r="B126" t="s">
        <v>95</v>
      </c>
      <c r="C126" s="27">
        <v>32924227</v>
      </c>
      <c r="D126" s="27">
        <v>34673424</v>
      </c>
      <c r="E126" s="27">
        <v>44360375</v>
      </c>
      <c r="F126" s="27">
        <v>53686825</v>
      </c>
      <c r="G126" s="27">
        <v>51258271</v>
      </c>
      <c r="H126" s="27">
        <v>69342992</v>
      </c>
    </row>
    <row r="127" spans="2:8" x14ac:dyDescent="0.3">
      <c r="B127" t="s">
        <v>96</v>
      </c>
      <c r="C127" s="27">
        <v>34673424</v>
      </c>
      <c r="D127" s="27">
        <v>44360375</v>
      </c>
      <c r="E127" s="27">
        <v>53686825</v>
      </c>
      <c r="F127" s="27">
        <v>51258271</v>
      </c>
      <c r="G127" s="27">
        <v>69342992</v>
      </c>
      <c r="H127" s="27">
        <v>151123519</v>
      </c>
    </row>
    <row r="128" spans="2:8" x14ac:dyDescent="0.3">
      <c r="B128" t="s">
        <v>97</v>
      </c>
      <c r="C128" s="27">
        <v>0</v>
      </c>
      <c r="D128" s="27">
        <v>-4413</v>
      </c>
      <c r="E128" s="27">
        <v>-5707</v>
      </c>
      <c r="F128" s="27">
        <v>-3241</v>
      </c>
      <c r="G128" s="27">
        <v>-7613</v>
      </c>
      <c r="H128" s="27">
        <v>-14029</v>
      </c>
    </row>
    <row r="129" spans="2:8" x14ac:dyDescent="0.3">
      <c r="B129" s="3" t="s">
        <v>98</v>
      </c>
      <c r="C129" s="27">
        <v>34673424</v>
      </c>
      <c r="D129" s="27">
        <v>44355962</v>
      </c>
      <c r="E129" s="27">
        <v>53681118</v>
      </c>
      <c r="F129" s="27">
        <v>51255030</v>
      </c>
      <c r="G129" s="27">
        <v>69335379</v>
      </c>
      <c r="H129" s="27">
        <v>151109490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2983-62EE-4611-BD51-2DEC9192CED2}">
  <dimension ref="A1:X27"/>
  <sheetViews>
    <sheetView showGridLines="0" workbookViewId="0">
      <selection activeCell="N16" sqref="N16"/>
    </sheetView>
  </sheetViews>
  <sheetFormatPr defaultRowHeight="14.4" x14ac:dyDescent="0.3"/>
  <sheetData>
    <row r="1" spans="1:24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25.8" x14ac:dyDescent="0.5">
      <c r="A3" s="6"/>
      <c r="B3" s="10" t="s">
        <v>118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21" x14ac:dyDescent="0.4">
      <c r="A4" s="6"/>
      <c r="B4" s="9" t="s">
        <v>120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21" x14ac:dyDescent="0.4">
      <c r="A5" s="6"/>
      <c r="B5" s="9" t="s">
        <v>119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21" x14ac:dyDescent="0.4">
      <c r="A6" s="6"/>
      <c r="B6" s="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24" spans="1:24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3A8B-7B7C-4CD6-AC95-B05B97ED29D1}">
  <dimension ref="B1:V136"/>
  <sheetViews>
    <sheetView tabSelected="1" zoomScale="99" zoomScaleNormal="100" zoomScaleSheetLayoutView="82" workbookViewId="0">
      <pane xSplit="2" ySplit="4" topLeftCell="H124" activePane="bottomRight" state="frozen"/>
      <selection pane="topRight" activeCell="D1" sqref="D1"/>
      <selection pane="bottomLeft" activeCell="A3" sqref="A3"/>
      <selection pane="bottomRight" activeCell="L127" sqref="L127"/>
    </sheetView>
  </sheetViews>
  <sheetFormatPr defaultRowHeight="14.4" x14ac:dyDescent="0.3"/>
  <cols>
    <col min="2" max="2" width="67.6640625" customWidth="1"/>
    <col min="3" max="9" width="14.21875" style="2" customWidth="1"/>
    <col min="10" max="13" width="14.88671875" customWidth="1"/>
    <col min="14" max="14" width="8.88671875" customWidth="1"/>
    <col min="15" max="15" width="14.5546875" customWidth="1"/>
    <col min="16" max="16" width="15.6640625" customWidth="1"/>
    <col min="17" max="18" width="14.88671875" customWidth="1"/>
    <col min="19" max="19" width="13" customWidth="1"/>
  </cols>
  <sheetData>
    <row r="1" spans="2:22" x14ac:dyDescent="0.3">
      <c r="J1" s="101"/>
      <c r="U1" s="252"/>
      <c r="V1" t="s">
        <v>703</v>
      </c>
    </row>
    <row r="2" spans="2:22" x14ac:dyDescent="0.3">
      <c r="C2" s="13"/>
      <c r="D2" s="13"/>
      <c r="E2" s="13"/>
      <c r="F2" s="13"/>
      <c r="G2" s="13"/>
      <c r="H2" s="13"/>
      <c r="I2" s="115"/>
      <c r="O2" s="13"/>
      <c r="U2" s="251"/>
      <c r="V2" t="s">
        <v>704</v>
      </c>
    </row>
    <row r="3" spans="2:22" x14ac:dyDescent="0.3">
      <c r="B3" t="s">
        <v>69</v>
      </c>
      <c r="U3" s="250"/>
      <c r="V3" t="s">
        <v>702</v>
      </c>
    </row>
    <row r="4" spans="2:22" x14ac:dyDescent="0.3">
      <c r="B4" t="s">
        <v>117</v>
      </c>
      <c r="C4" s="5">
        <v>2017</v>
      </c>
      <c r="D4" s="5">
        <v>2018</v>
      </c>
      <c r="E4" s="5">
        <v>2019</v>
      </c>
      <c r="F4" s="5">
        <v>2020</v>
      </c>
      <c r="G4" s="5">
        <v>2021</v>
      </c>
      <c r="H4" s="5"/>
      <c r="I4" s="5">
        <v>2022</v>
      </c>
      <c r="J4" s="19" t="s">
        <v>124</v>
      </c>
      <c r="K4" s="19" t="s">
        <v>125</v>
      </c>
      <c r="L4" s="19" t="s">
        <v>126</v>
      </c>
      <c r="M4" s="19" t="s">
        <v>127</v>
      </c>
      <c r="O4" s="19" t="s">
        <v>403</v>
      </c>
      <c r="P4" s="19" t="s">
        <v>389</v>
      </c>
      <c r="Q4" s="19" t="s">
        <v>229</v>
      </c>
      <c r="R4" s="19" t="s">
        <v>230</v>
      </c>
    </row>
    <row r="5" spans="2:22" s="8" customFormat="1" x14ac:dyDescent="0.3">
      <c r="B5" s="11" t="s">
        <v>122</v>
      </c>
      <c r="C5" s="12"/>
      <c r="D5" s="12"/>
      <c r="E5" s="12"/>
      <c r="F5" s="12"/>
      <c r="G5" s="12"/>
      <c r="H5" s="12"/>
      <c r="I5" s="12"/>
    </row>
    <row r="6" spans="2:22" x14ac:dyDescent="0.3">
      <c r="B6" t="s">
        <v>7</v>
      </c>
      <c r="C6" s="26">
        <v>115605156</v>
      </c>
      <c r="D6" s="26">
        <v>139657195</v>
      </c>
      <c r="E6" s="26">
        <v>150741129</v>
      </c>
      <c r="F6" s="26">
        <v>151966413</v>
      </c>
      <c r="G6" s="26">
        <v>163675312</v>
      </c>
      <c r="H6" s="243"/>
      <c r="I6" s="26">
        <v>280386944</v>
      </c>
      <c r="J6" s="102">
        <f>J7+J10+J13+J14+J15</f>
        <v>348708883.58401507</v>
      </c>
      <c r="K6" s="102">
        <f t="shared" ref="K6:M6" si="0">K7+K10+K13+K14+K15</f>
        <v>362864826.49157625</v>
      </c>
      <c r="L6" s="102">
        <f t="shared" si="0"/>
        <v>412721431.7687695</v>
      </c>
      <c r="M6" s="102">
        <f t="shared" si="0"/>
        <v>464648276.74563396</v>
      </c>
      <c r="N6" s="13"/>
      <c r="O6" s="13">
        <f>P6/9*12</f>
        <v>341283818.66666669</v>
      </c>
      <c r="P6" s="38">
        <v>255962864</v>
      </c>
      <c r="Q6" s="26">
        <v>167668267</v>
      </c>
      <c r="R6" s="26">
        <v>119517450</v>
      </c>
      <c r="S6" s="13">
        <f>Q6*2</f>
        <v>335336534</v>
      </c>
    </row>
    <row r="7" spans="2:22" x14ac:dyDescent="0.3">
      <c r="B7" t="s">
        <v>8</v>
      </c>
      <c r="C7" s="27">
        <v>104049102</v>
      </c>
      <c r="D7" s="27">
        <v>118551239</v>
      </c>
      <c r="E7" s="27">
        <v>129287743</v>
      </c>
      <c r="F7" s="27">
        <v>124087713</v>
      </c>
      <c r="G7" s="27">
        <v>132818178</v>
      </c>
      <c r="H7" s="241"/>
      <c r="I7" s="27">
        <v>222393079</v>
      </c>
      <c r="J7" s="103">
        <f>Drivers!I7</f>
        <v>305857340.25651371</v>
      </c>
      <c r="K7" s="103">
        <f>Drivers!J7</f>
        <v>295139360.82759655</v>
      </c>
      <c r="L7" s="103">
        <f>Drivers!K7</f>
        <v>337849476.98441112</v>
      </c>
      <c r="M7" s="103">
        <f>Drivers!L7</f>
        <v>381754847.54438692</v>
      </c>
      <c r="N7" s="13"/>
      <c r="O7" s="13">
        <f t="shared" ref="O7:O33" si="1">P7/9*12</f>
        <v>299426685.33333331</v>
      </c>
      <c r="P7" s="38">
        <v>224570014</v>
      </c>
      <c r="Q7" s="27">
        <v>150811644</v>
      </c>
      <c r="R7" s="27">
        <v>88116673</v>
      </c>
      <c r="S7" s="13">
        <f t="shared" ref="S7:S30" si="2">Q7*2</f>
        <v>301623288</v>
      </c>
    </row>
    <row r="8" spans="2:22" x14ac:dyDescent="0.3">
      <c r="B8" t="s">
        <v>9</v>
      </c>
      <c r="C8" s="27">
        <v>64481804</v>
      </c>
      <c r="D8" s="27">
        <v>72933030</v>
      </c>
      <c r="E8" s="27">
        <v>80931352</v>
      </c>
      <c r="F8" s="27">
        <v>73218911</v>
      </c>
      <c r="G8" s="27">
        <v>66401846</v>
      </c>
      <c r="H8" s="241"/>
      <c r="I8" s="27">
        <v>137727868</v>
      </c>
      <c r="J8" s="103">
        <f>Drivers!I58</f>
        <v>222694934.72680619</v>
      </c>
      <c r="K8" s="103">
        <f>Drivers!J58</f>
        <v>232020487.58764628</v>
      </c>
      <c r="L8" s="103">
        <f>Drivers!K58</f>
        <v>266158409.24064526</v>
      </c>
      <c r="M8" s="103">
        <f>Drivers!L58</f>
        <v>300807884.65727943</v>
      </c>
      <c r="N8" s="13"/>
      <c r="O8" s="13">
        <f t="shared" si="1"/>
        <v>218251002.66666669</v>
      </c>
      <c r="P8" s="38">
        <v>163688252</v>
      </c>
      <c r="Q8" s="27">
        <v>113361974</v>
      </c>
      <c r="R8" s="27">
        <v>47404088</v>
      </c>
      <c r="S8" s="13">
        <f t="shared" si="2"/>
        <v>226723948</v>
      </c>
    </row>
    <row r="9" spans="2:22" x14ac:dyDescent="0.3">
      <c r="B9" s="3" t="s">
        <v>10</v>
      </c>
      <c r="C9" s="26">
        <v>39567298</v>
      </c>
      <c r="D9" s="26">
        <v>45618209</v>
      </c>
      <c r="E9" s="26">
        <v>48356391</v>
      </c>
      <c r="F9" s="26">
        <v>50868802</v>
      </c>
      <c r="G9" s="26">
        <v>66416332</v>
      </c>
      <c r="H9" s="243"/>
      <c r="I9" s="26">
        <v>84665211</v>
      </c>
      <c r="J9" s="102">
        <f>J7-J8</f>
        <v>83162405.529707521</v>
      </c>
      <c r="K9" s="102">
        <f t="shared" ref="K9:M9" si="3">K7-K8</f>
        <v>63118873.239950269</v>
      </c>
      <c r="L9" s="102">
        <f t="shared" si="3"/>
        <v>71691067.743765861</v>
      </c>
      <c r="M9" s="102">
        <f t="shared" si="3"/>
        <v>80946962.887107491</v>
      </c>
      <c r="N9" s="13"/>
      <c r="O9" s="13">
        <f t="shared" si="1"/>
        <v>81175682.666666657</v>
      </c>
      <c r="P9" s="38">
        <v>60881762</v>
      </c>
      <c r="Q9" s="26">
        <v>37449670</v>
      </c>
      <c r="R9" s="26">
        <v>40712585</v>
      </c>
      <c r="S9" s="13">
        <f t="shared" si="2"/>
        <v>74899340</v>
      </c>
    </row>
    <row r="10" spans="2:22" x14ac:dyDescent="0.3">
      <c r="B10" t="s">
        <v>11</v>
      </c>
      <c r="C10" s="27">
        <v>10510800</v>
      </c>
      <c r="D10" s="27">
        <v>12494090</v>
      </c>
      <c r="E10" s="27">
        <v>12874966</v>
      </c>
      <c r="F10" s="27">
        <v>11839689</v>
      </c>
      <c r="G10" s="27">
        <v>15917337</v>
      </c>
      <c r="H10" s="241"/>
      <c r="I10" s="27">
        <v>26191530</v>
      </c>
      <c r="J10" s="103">
        <f>Drivers!I78</f>
        <v>30373716.660834748</v>
      </c>
      <c r="K10" s="103">
        <f>Drivers!J78</f>
        <v>35658825.793979719</v>
      </c>
      <c r="L10" s="103">
        <f>Drivers!K78</f>
        <v>41280197.603658363</v>
      </c>
      <c r="M10" s="103">
        <f>Drivers!L78</f>
        <v>47701080.991139993</v>
      </c>
      <c r="N10" s="13"/>
      <c r="O10" s="13">
        <f t="shared" si="1"/>
        <v>29379306.666666664</v>
      </c>
      <c r="P10" s="38">
        <v>22034480</v>
      </c>
      <c r="Q10" s="27">
        <v>14377446</v>
      </c>
      <c r="R10" s="27">
        <v>11758745</v>
      </c>
      <c r="S10" s="13">
        <f t="shared" si="2"/>
        <v>28754892</v>
      </c>
    </row>
    <row r="11" spans="2:22" x14ac:dyDescent="0.3">
      <c r="B11" t="s">
        <v>12</v>
      </c>
      <c r="C11" s="27">
        <v>1586334</v>
      </c>
      <c r="D11" s="27">
        <v>1859698</v>
      </c>
      <c r="E11" s="27">
        <v>2123128</v>
      </c>
      <c r="F11" s="27">
        <v>2018014</v>
      </c>
      <c r="G11" s="27">
        <v>3675143</v>
      </c>
      <c r="H11" s="241"/>
      <c r="I11" s="27">
        <v>6022429</v>
      </c>
      <c r="J11" s="103">
        <f>Drivers!I93</f>
        <v>7593429.1652086871</v>
      </c>
      <c r="K11" s="103">
        <f>Drivers!J93</f>
        <v>8201529.932615336</v>
      </c>
      <c r="L11" s="103">
        <f>Drivers!K93</f>
        <v>9494445.4488414247</v>
      </c>
      <c r="M11" s="103">
        <f>Drivers!L93</f>
        <v>10971248.627962198</v>
      </c>
      <c r="N11" s="13"/>
      <c r="O11" s="13">
        <f t="shared" si="1"/>
        <v>7766089.333333334</v>
      </c>
      <c r="P11" s="38">
        <v>5824567</v>
      </c>
      <c r="Q11" s="27">
        <v>3786488</v>
      </c>
      <c r="R11" s="27">
        <v>2881243</v>
      </c>
      <c r="S11" s="13">
        <f t="shared" si="2"/>
        <v>7572976</v>
      </c>
    </row>
    <row r="12" spans="2:22" x14ac:dyDescent="0.3">
      <c r="B12" s="3" t="s">
        <v>13</v>
      </c>
      <c r="C12" s="26">
        <v>8924466</v>
      </c>
      <c r="D12" s="26">
        <v>10634392</v>
      </c>
      <c r="E12" s="26">
        <v>10751838</v>
      </c>
      <c r="F12" s="26">
        <v>9821675</v>
      </c>
      <c r="G12" s="26">
        <v>12242194</v>
      </c>
      <c r="H12" s="243"/>
      <c r="I12" s="26">
        <v>20169101</v>
      </c>
      <c r="J12" s="102">
        <f>J10-J11</f>
        <v>22780287.495626062</v>
      </c>
      <c r="K12" s="102">
        <f t="shared" ref="K12:M12" si="4">K10-K11</f>
        <v>27457295.861364383</v>
      </c>
      <c r="L12" s="102">
        <f t="shared" si="4"/>
        <v>31785752.15481694</v>
      </c>
      <c r="M12" s="102">
        <f t="shared" si="4"/>
        <v>36729832.363177791</v>
      </c>
      <c r="N12" s="13"/>
      <c r="O12" s="13">
        <f t="shared" si="1"/>
        <v>21613217.333333336</v>
      </c>
      <c r="P12" s="38">
        <v>16209913</v>
      </c>
      <c r="Q12" s="26">
        <v>10590958</v>
      </c>
      <c r="R12" s="26">
        <v>8877502</v>
      </c>
      <c r="S12" s="13">
        <f t="shared" si="2"/>
        <v>21181916</v>
      </c>
    </row>
    <row r="13" spans="2:22" x14ac:dyDescent="0.3">
      <c r="B13" t="s">
        <v>14</v>
      </c>
      <c r="C13" s="27">
        <v>233956</v>
      </c>
      <c r="D13" s="27">
        <v>-3033236</v>
      </c>
      <c r="E13" s="27">
        <v>1360833</v>
      </c>
      <c r="F13" s="27">
        <v>1878060</v>
      </c>
      <c r="G13" s="27">
        <v>1936007</v>
      </c>
      <c r="H13" s="241"/>
      <c r="I13" s="27">
        <v>35297450</v>
      </c>
      <c r="J13" s="103">
        <f>Drivers!I106</f>
        <v>-16199576</v>
      </c>
      <c r="K13" s="103">
        <f>Drivers!J106</f>
        <v>1955367.07</v>
      </c>
      <c r="L13" s="103">
        <f>Drivers!K106</f>
        <v>1974920.7407000002</v>
      </c>
      <c r="M13" s="103">
        <f>Drivers!L106</f>
        <v>1994669.9481070002</v>
      </c>
      <c r="N13" s="13"/>
      <c r="O13" s="13">
        <f t="shared" si="1"/>
        <v>-16199576</v>
      </c>
      <c r="P13" s="38">
        <v>-12149682</v>
      </c>
      <c r="Q13" s="27">
        <v>-15531353</v>
      </c>
      <c r="R13" s="27">
        <v>32101899</v>
      </c>
      <c r="S13" s="13">
        <f t="shared" si="2"/>
        <v>-31062706</v>
      </c>
    </row>
    <row r="14" spans="2:22" x14ac:dyDescent="0.3">
      <c r="B14" t="s">
        <v>15</v>
      </c>
      <c r="C14" s="27">
        <v>91272</v>
      </c>
      <c r="D14" s="27">
        <v>272004</v>
      </c>
      <c r="E14" s="27">
        <v>1135711</v>
      </c>
      <c r="F14" s="27">
        <v>6390197</v>
      </c>
      <c r="G14" s="27">
        <v>3001574</v>
      </c>
      <c r="H14" s="241"/>
      <c r="I14" s="27">
        <v>276884</v>
      </c>
      <c r="J14" s="103">
        <f>P14/9*12</f>
        <v>3517693.3333333335</v>
      </c>
      <c r="K14" s="103">
        <f>J14*1.05</f>
        <v>3693578.0000000005</v>
      </c>
      <c r="L14" s="103">
        <f t="shared" ref="L14:M14" si="5">K14*1.05</f>
        <v>3878256.9000000008</v>
      </c>
      <c r="M14" s="103">
        <f t="shared" si="5"/>
        <v>4072169.745000001</v>
      </c>
      <c r="N14" s="13"/>
      <c r="O14" s="13">
        <f t="shared" si="1"/>
        <v>3517693.3333333335</v>
      </c>
      <c r="P14" s="38">
        <v>2638270</v>
      </c>
      <c r="Q14" s="27">
        <v>924510</v>
      </c>
      <c r="R14" s="27">
        <v>64262</v>
      </c>
      <c r="S14" s="13">
        <f t="shared" si="2"/>
        <v>1849020</v>
      </c>
    </row>
    <row r="15" spans="2:22" x14ac:dyDescent="0.3">
      <c r="B15" t="s">
        <v>16</v>
      </c>
      <c r="C15" s="27">
        <v>720026</v>
      </c>
      <c r="D15" s="27">
        <v>11373098</v>
      </c>
      <c r="E15" s="27">
        <v>6081876</v>
      </c>
      <c r="F15" s="27">
        <v>7770754</v>
      </c>
      <c r="G15" s="27">
        <v>10002216</v>
      </c>
      <c r="H15" s="241"/>
      <c r="I15" s="27">
        <v>-3771999</v>
      </c>
      <c r="J15" s="103">
        <f>Drivers!I123</f>
        <v>25159709.333333336</v>
      </c>
      <c r="K15" s="103">
        <f>Drivers!J123</f>
        <v>26417694.800000004</v>
      </c>
      <c r="L15" s="103">
        <f>Drivers!K123</f>
        <v>27738579.540000007</v>
      </c>
      <c r="M15" s="103">
        <f>Drivers!L123</f>
        <v>29125508.517000008</v>
      </c>
      <c r="N15" s="13"/>
      <c r="O15" s="13">
        <f t="shared" si="1"/>
        <v>25159709.333333336</v>
      </c>
      <c r="P15" s="38">
        <v>18869782</v>
      </c>
      <c r="Q15" s="27">
        <v>17086020</v>
      </c>
      <c r="R15" s="27">
        <v>-12524129</v>
      </c>
      <c r="S15" s="13">
        <f t="shared" si="2"/>
        <v>34172040</v>
      </c>
    </row>
    <row r="16" spans="2:22" x14ac:dyDescent="0.3">
      <c r="B16" t="s">
        <v>17</v>
      </c>
      <c r="C16" s="26">
        <v>49537018</v>
      </c>
      <c r="D16" s="26">
        <v>64864467</v>
      </c>
      <c r="E16" s="26">
        <v>67686649</v>
      </c>
      <c r="F16" s="26">
        <v>76729488</v>
      </c>
      <c r="G16" s="26">
        <v>93598323</v>
      </c>
      <c r="H16" s="243"/>
      <c r="I16" s="26">
        <v>136636647</v>
      </c>
      <c r="J16" s="102">
        <f t="shared" ref="J16:M16" si="6">J9+J12+J13+J14+J15</f>
        <v>118420519.69200024</v>
      </c>
      <c r="K16" s="102">
        <f t="shared" si="6"/>
        <v>122642808.97131464</v>
      </c>
      <c r="L16" s="102">
        <f t="shared" si="6"/>
        <v>137068577.07928282</v>
      </c>
      <c r="M16" s="102">
        <f t="shared" si="6"/>
        <v>152869143.4603923</v>
      </c>
      <c r="N16" s="13"/>
      <c r="O16" s="13">
        <f t="shared" si="1"/>
        <v>115266726.66666667</v>
      </c>
      <c r="P16" s="38">
        <v>86450045</v>
      </c>
      <c r="Q16" s="26">
        <v>50519805</v>
      </c>
      <c r="R16" s="26">
        <v>69232119</v>
      </c>
      <c r="S16" s="13">
        <f t="shared" si="2"/>
        <v>101039610</v>
      </c>
    </row>
    <row r="17" spans="2:19" x14ac:dyDescent="0.3">
      <c r="B17" t="s">
        <v>18</v>
      </c>
      <c r="C17" s="27">
        <v>989315</v>
      </c>
      <c r="D17" s="27">
        <v>8833362</v>
      </c>
      <c r="E17" s="27">
        <v>11331523</v>
      </c>
      <c r="F17" s="27">
        <v>21419532</v>
      </c>
      <c r="G17" s="27">
        <v>25139926</v>
      </c>
      <c r="H17" s="241"/>
      <c r="I17" s="27">
        <v>71924260</v>
      </c>
      <c r="J17" s="103">
        <f>Drivers!I138</f>
        <v>35328925.595250003</v>
      </c>
      <c r="K17" s="103">
        <f>Drivers!J138</f>
        <v>30095010.692249998</v>
      </c>
      <c r="L17" s="103">
        <f>Drivers!K138</f>
        <v>34609262.296087496</v>
      </c>
      <c r="M17" s="103">
        <f>Drivers!L138</f>
        <v>39800651.64050062</v>
      </c>
      <c r="N17" s="13"/>
      <c r="O17" s="13">
        <f t="shared" si="1"/>
        <v>34376146.666666672</v>
      </c>
      <c r="P17" s="38">
        <v>25782110</v>
      </c>
      <c r="Q17" s="27">
        <v>13210963</v>
      </c>
      <c r="R17" s="27">
        <v>35218619</v>
      </c>
      <c r="S17" s="13">
        <f t="shared" si="2"/>
        <v>26421926</v>
      </c>
    </row>
    <row r="18" spans="2:19" x14ac:dyDescent="0.3">
      <c r="B18" s="3" t="s">
        <v>19</v>
      </c>
      <c r="C18" s="26">
        <v>48547703</v>
      </c>
      <c r="D18" s="26">
        <v>56031105</v>
      </c>
      <c r="E18" s="26">
        <v>56355126</v>
      </c>
      <c r="F18" s="26">
        <v>55309956</v>
      </c>
      <c r="G18" s="26">
        <v>68458397</v>
      </c>
      <c r="H18" s="243"/>
      <c r="I18" s="26">
        <v>64712387</v>
      </c>
      <c r="J18" s="102">
        <f>J16-J17</f>
        <v>83091594.09675023</v>
      </c>
      <c r="K18" s="102">
        <f t="shared" ref="K18:M18" si="7">K16-K17</f>
        <v>92547798.27906464</v>
      </c>
      <c r="L18" s="102">
        <f t="shared" si="7"/>
        <v>102459314.78319532</v>
      </c>
      <c r="M18" s="102">
        <f t="shared" si="7"/>
        <v>113068491.81989168</v>
      </c>
      <c r="N18" s="13"/>
      <c r="O18" s="13">
        <f t="shared" si="1"/>
        <v>80890580</v>
      </c>
      <c r="P18" s="38">
        <v>60667935</v>
      </c>
      <c r="Q18" s="26">
        <v>37308842</v>
      </c>
      <c r="R18" s="26">
        <v>34013500</v>
      </c>
      <c r="S18" s="13">
        <f t="shared" si="2"/>
        <v>74617684</v>
      </c>
    </row>
    <row r="19" spans="2:19" x14ac:dyDescent="0.3">
      <c r="B19" t="s">
        <v>105</v>
      </c>
      <c r="J19" s="103"/>
      <c r="K19" s="103"/>
      <c r="L19" s="103"/>
      <c r="M19" s="103"/>
      <c r="N19" s="13"/>
      <c r="O19" s="13">
        <f t="shared" si="1"/>
        <v>0</v>
      </c>
      <c r="P19" s="13"/>
      <c r="Q19" s="2"/>
      <c r="R19" s="2"/>
      <c r="S19" s="13">
        <f t="shared" si="2"/>
        <v>0</v>
      </c>
    </row>
    <row r="20" spans="2:19" x14ac:dyDescent="0.3">
      <c r="B20" s="4" t="s">
        <v>106</v>
      </c>
      <c r="C20" s="27">
        <v>11338517</v>
      </c>
      <c r="D20" s="27">
        <v>13289668</v>
      </c>
      <c r="E20" s="27">
        <v>14408914</v>
      </c>
      <c r="F20" s="27">
        <v>14992748</v>
      </c>
      <c r="G20" s="27">
        <v>16799212</v>
      </c>
      <c r="H20" s="241"/>
      <c r="I20" s="27">
        <v>19788283</v>
      </c>
      <c r="J20" s="103">
        <f>Drivers!I155</f>
        <v>21767111.300000001</v>
      </c>
      <c r="K20" s="103">
        <f>Drivers!J155</f>
        <v>23943822.430000003</v>
      </c>
      <c r="L20" s="103">
        <f>Drivers!K155</f>
        <v>26338204.673000004</v>
      </c>
      <c r="M20" s="103">
        <f>Drivers!L155</f>
        <v>28972025.140300006</v>
      </c>
      <c r="N20" s="13"/>
      <c r="O20" s="13">
        <f t="shared" si="1"/>
        <v>22412377.333333332</v>
      </c>
      <c r="P20" s="38">
        <v>16809283</v>
      </c>
      <c r="Q20" s="27">
        <v>11296515</v>
      </c>
      <c r="R20" s="27">
        <v>9584347</v>
      </c>
      <c r="S20" s="13">
        <f t="shared" si="2"/>
        <v>22593030</v>
      </c>
    </row>
    <row r="21" spans="2:19" x14ac:dyDescent="0.3">
      <c r="B21" t="s">
        <v>20</v>
      </c>
      <c r="C21" s="27">
        <v>1416927</v>
      </c>
      <c r="D21" s="27">
        <v>1603118</v>
      </c>
      <c r="E21" s="27">
        <v>2841264</v>
      </c>
      <c r="F21" s="27">
        <v>3102695</v>
      </c>
      <c r="G21" s="27">
        <v>3220066</v>
      </c>
      <c r="H21" s="241"/>
      <c r="I21" s="27">
        <v>3598371</v>
      </c>
      <c r="J21" s="103">
        <f>Drivers!I172</f>
        <v>4116991.05</v>
      </c>
      <c r="K21" s="103">
        <f>Drivers!J172</f>
        <v>4240227.2249999996</v>
      </c>
      <c r="L21" s="103">
        <f>Drivers!K172</f>
        <v>4381833.45</v>
      </c>
      <c r="M21" s="103">
        <f>Drivers!L172</f>
        <v>4529601.4837499997</v>
      </c>
      <c r="N21" s="13"/>
      <c r="O21" s="13">
        <f t="shared" si="1"/>
        <v>4106025.333333333</v>
      </c>
      <c r="P21" s="38">
        <v>3079519</v>
      </c>
      <c r="Q21" s="27">
        <v>2084338</v>
      </c>
      <c r="R21" s="27">
        <v>1724022</v>
      </c>
      <c r="S21" s="13">
        <f t="shared" si="2"/>
        <v>4168676</v>
      </c>
    </row>
    <row r="22" spans="2:19" x14ac:dyDescent="0.3">
      <c r="B22" t="s">
        <v>21</v>
      </c>
      <c r="C22" s="27">
        <v>7618993</v>
      </c>
      <c r="D22" s="27">
        <v>8993958</v>
      </c>
      <c r="E22" s="27">
        <v>8875316</v>
      </c>
      <c r="F22" s="27">
        <v>8167170</v>
      </c>
      <c r="G22" s="27">
        <v>9638461</v>
      </c>
      <c r="H22" s="241"/>
      <c r="I22" s="27">
        <v>12895587</v>
      </c>
      <c r="J22" s="103">
        <f>Drivers!I184</f>
        <v>16764263.100000001</v>
      </c>
      <c r="K22" s="103">
        <f>Drivers!J184</f>
        <v>20117115.720000003</v>
      </c>
      <c r="L22" s="103">
        <f>Drivers!K184</f>
        <v>24140538.864000004</v>
      </c>
      <c r="M22" s="103">
        <f>Drivers!L184</f>
        <v>28968646.636800002</v>
      </c>
      <c r="N22" s="13"/>
      <c r="O22" s="13">
        <f t="shared" si="1"/>
        <v>16116592</v>
      </c>
      <c r="P22" s="38">
        <v>12087444</v>
      </c>
      <c r="Q22" s="27">
        <v>7903941</v>
      </c>
      <c r="R22" s="27">
        <v>6723078</v>
      </c>
      <c r="S22" s="13">
        <f t="shared" si="2"/>
        <v>15807882</v>
      </c>
    </row>
    <row r="23" spans="2:19" x14ac:dyDescent="0.3">
      <c r="B23" s="3" t="s">
        <v>22</v>
      </c>
      <c r="C23" s="26">
        <v>20374437</v>
      </c>
      <c r="D23" s="26">
        <v>23886744</v>
      </c>
      <c r="E23" s="26">
        <v>26125494</v>
      </c>
      <c r="F23" s="26">
        <v>26262613</v>
      </c>
      <c r="G23" s="26">
        <v>29657739</v>
      </c>
      <c r="H23" s="243"/>
      <c r="I23" s="26">
        <v>36282241</v>
      </c>
      <c r="J23" s="102">
        <f>J20+J21+J22</f>
        <v>42648365.450000003</v>
      </c>
      <c r="K23" s="102">
        <f t="shared" ref="K23:M23" si="8">K20+K21+K22</f>
        <v>48301165.375</v>
      </c>
      <c r="L23" s="102">
        <f t="shared" si="8"/>
        <v>54860576.987000003</v>
      </c>
      <c r="M23" s="102">
        <f t="shared" si="8"/>
        <v>62470273.260850012</v>
      </c>
      <c r="N23" s="13"/>
      <c r="O23" s="13">
        <f t="shared" si="1"/>
        <v>42634994.666666664</v>
      </c>
      <c r="P23" s="38">
        <v>31976246</v>
      </c>
      <c r="Q23" s="26">
        <v>21284794</v>
      </c>
      <c r="R23" s="26">
        <v>18031447</v>
      </c>
      <c r="S23" s="13">
        <f>Q23*2</f>
        <v>42569588</v>
      </c>
    </row>
    <row r="24" spans="2:19" x14ac:dyDescent="0.3">
      <c r="B24" t="s">
        <v>23</v>
      </c>
      <c r="C24" s="27">
        <v>28173266</v>
      </c>
      <c r="D24" s="27">
        <v>32144361</v>
      </c>
      <c r="E24" s="27">
        <v>30229632</v>
      </c>
      <c r="F24" s="27">
        <v>29047343</v>
      </c>
      <c r="G24" s="27">
        <v>38800658</v>
      </c>
      <c r="H24" s="241"/>
      <c r="I24" s="27">
        <v>28430146</v>
      </c>
      <c r="J24" s="103">
        <f>J18-J23</f>
        <v>40443228.646750227</v>
      </c>
      <c r="K24" s="103">
        <f t="shared" ref="K24:M24" si="9">K18-K23</f>
        <v>44246632.90406464</v>
      </c>
      <c r="L24" s="103">
        <f t="shared" si="9"/>
        <v>47598737.796195313</v>
      </c>
      <c r="M24" s="103">
        <f t="shared" si="9"/>
        <v>50598218.559041664</v>
      </c>
      <c r="N24" s="13"/>
      <c r="O24" s="13">
        <f t="shared" si="1"/>
        <v>38255585.333333336</v>
      </c>
      <c r="P24" s="38">
        <v>28691689</v>
      </c>
      <c r="Q24" s="27">
        <v>16024048</v>
      </c>
      <c r="R24" s="27">
        <v>15982053</v>
      </c>
      <c r="S24" s="13">
        <f t="shared" si="2"/>
        <v>32048096</v>
      </c>
    </row>
    <row r="25" spans="2:19" x14ac:dyDescent="0.3">
      <c r="B25" t="s">
        <v>24</v>
      </c>
      <c r="C25" s="27">
        <v>4896620</v>
      </c>
      <c r="D25" s="27">
        <v>6051861</v>
      </c>
      <c r="E25" s="27">
        <v>7255728</v>
      </c>
      <c r="F25" s="27">
        <v>4531381</v>
      </c>
      <c r="G25" s="27">
        <v>5845230</v>
      </c>
      <c r="H25" s="241"/>
      <c r="I25" s="27">
        <v>3921381</v>
      </c>
      <c r="J25" s="103">
        <f>Drivers!I196</f>
        <v>4893717.4441042198</v>
      </c>
      <c r="K25" s="103">
        <f>Drivers!J196</f>
        <v>5902787.2165519306</v>
      </c>
      <c r="L25" s="103">
        <f>Drivers!K196</f>
        <v>6756989.5396882221</v>
      </c>
      <c r="M25" s="103">
        <f>Drivers!L196</f>
        <v>7635096.9508877387</v>
      </c>
      <c r="N25" s="13"/>
      <c r="O25" s="13">
        <f t="shared" si="1"/>
        <v>4886169.333333333</v>
      </c>
      <c r="P25" s="38">
        <v>3664627</v>
      </c>
      <c r="Q25" s="27">
        <v>1933968</v>
      </c>
      <c r="R25" s="27">
        <v>2602781</v>
      </c>
      <c r="S25" s="13">
        <f t="shared" si="2"/>
        <v>3867936</v>
      </c>
    </row>
    <row r="26" spans="2:19" x14ac:dyDescent="0.3">
      <c r="B26" s="3" t="s">
        <v>25</v>
      </c>
      <c r="C26" s="26">
        <v>23276646</v>
      </c>
      <c r="D26" s="26">
        <v>26092500</v>
      </c>
      <c r="E26" s="26">
        <v>22973904</v>
      </c>
      <c r="F26" s="26">
        <v>24515962</v>
      </c>
      <c r="G26" s="26">
        <v>32955428</v>
      </c>
      <c r="H26" s="244"/>
      <c r="I26" s="26">
        <v>24508765</v>
      </c>
      <c r="J26" s="102">
        <f>J24-J25</f>
        <v>35549511.20264601</v>
      </c>
      <c r="K26" s="102">
        <f t="shared" ref="K26:M26" si="10">K24-K25</f>
        <v>38343845.687512711</v>
      </c>
      <c r="L26" s="102">
        <f t="shared" si="10"/>
        <v>40841748.256507091</v>
      </c>
      <c r="M26" s="102">
        <f t="shared" si="10"/>
        <v>42963121.608153924</v>
      </c>
      <c r="N26" s="13"/>
      <c r="O26" s="13">
        <f t="shared" si="1"/>
        <v>33369416</v>
      </c>
      <c r="P26" s="38">
        <v>25027062</v>
      </c>
      <c r="Q26" s="26">
        <v>14090080</v>
      </c>
      <c r="R26" s="26">
        <v>13379272</v>
      </c>
      <c r="S26" s="13">
        <f t="shared" si="2"/>
        <v>28180160</v>
      </c>
    </row>
    <row r="27" spans="2:19" x14ac:dyDescent="0.3">
      <c r="B27" t="s">
        <v>26</v>
      </c>
      <c r="C27" s="27">
        <v>3678</v>
      </c>
      <c r="D27" s="27">
        <v>6048</v>
      </c>
      <c r="E27" s="27">
        <v>9992</v>
      </c>
      <c r="F27" s="27">
        <v>3898</v>
      </c>
      <c r="G27" s="27">
        <v>1896</v>
      </c>
      <c r="H27" s="241"/>
      <c r="I27" s="27">
        <v>-3727</v>
      </c>
      <c r="J27" s="103">
        <f>P27/9*12</f>
        <v>5197.333333333333</v>
      </c>
      <c r="K27" s="103">
        <f>J27*1.01</f>
        <v>5249.3066666666664</v>
      </c>
      <c r="L27" s="103">
        <f t="shared" ref="L27:M27" si="11">K27*1.01</f>
        <v>5301.7997333333333</v>
      </c>
      <c r="M27" s="103">
        <f t="shared" si="11"/>
        <v>5354.8177306666666</v>
      </c>
      <c r="N27" s="13"/>
      <c r="O27" s="13">
        <f t="shared" si="1"/>
        <v>5197.333333333333</v>
      </c>
      <c r="P27" s="38">
        <v>3898</v>
      </c>
      <c r="Q27" s="27">
        <v>2352</v>
      </c>
      <c r="R27" s="27">
        <v>-3476</v>
      </c>
      <c r="S27" s="13">
        <f t="shared" si="2"/>
        <v>4704</v>
      </c>
    </row>
    <row r="28" spans="2:19" x14ac:dyDescent="0.3">
      <c r="B28" s="3" t="s">
        <v>27</v>
      </c>
      <c r="C28" s="27">
        <v>23280324</v>
      </c>
      <c r="D28" s="27">
        <v>26098548</v>
      </c>
      <c r="E28" s="28">
        <v>22983896</v>
      </c>
      <c r="F28" s="28">
        <v>24519860</v>
      </c>
      <c r="G28" s="28">
        <v>32957324</v>
      </c>
      <c r="H28" s="245"/>
      <c r="I28" s="28">
        <v>24505038</v>
      </c>
      <c r="J28" s="103">
        <f>J26+J27</f>
        <v>35554708.535979345</v>
      </c>
      <c r="K28" s="103">
        <f t="shared" ref="K28:M28" si="12">K26+K27</f>
        <v>38349094.994179375</v>
      </c>
      <c r="L28" s="103">
        <f t="shared" si="12"/>
        <v>40847050.056240425</v>
      </c>
      <c r="M28" s="103">
        <f t="shared" si="12"/>
        <v>42968476.42588459</v>
      </c>
      <c r="N28" s="13"/>
      <c r="O28" s="13">
        <f t="shared" si="1"/>
        <v>33374613.333333336</v>
      </c>
      <c r="P28" s="38">
        <v>25030960</v>
      </c>
      <c r="Q28" s="27">
        <v>14092432</v>
      </c>
      <c r="R28" s="27">
        <v>13375796</v>
      </c>
      <c r="S28" s="13">
        <f t="shared" si="2"/>
        <v>28184864</v>
      </c>
    </row>
    <row r="29" spans="2:19" x14ac:dyDescent="0.3">
      <c r="B29" t="s">
        <v>28</v>
      </c>
      <c r="C29" s="27">
        <v>6653817</v>
      </c>
      <c r="D29" s="27">
        <v>8235717</v>
      </c>
      <c r="E29" s="28">
        <v>5563500</v>
      </c>
      <c r="F29" s="28">
        <v>7433063</v>
      </c>
      <c r="G29" s="28">
        <v>8667036</v>
      </c>
      <c r="H29" s="245"/>
      <c r="I29" s="28">
        <v>105566</v>
      </c>
      <c r="J29" s="103">
        <f>Drivers!I206</f>
        <v>14932977.585111324</v>
      </c>
      <c r="K29" s="103">
        <f>Drivers!J206</f>
        <v>11504728.498253813</v>
      </c>
      <c r="L29" s="103">
        <f>Drivers!K206</f>
        <v>12254115.016872127</v>
      </c>
      <c r="M29" s="103">
        <f>Drivers!L206</f>
        <v>12890542.927765377</v>
      </c>
      <c r="N29" s="13"/>
      <c r="O29" s="13">
        <f t="shared" si="1"/>
        <v>13689806.666666668</v>
      </c>
      <c r="P29" s="38">
        <v>10267355</v>
      </c>
      <c r="Q29" s="27">
        <v>5801958</v>
      </c>
      <c r="R29" s="27">
        <v>4198046</v>
      </c>
      <c r="S29" s="13">
        <f t="shared" si="2"/>
        <v>11603916</v>
      </c>
    </row>
    <row r="30" spans="2:19" ht="15" thickBot="1" x14ac:dyDescent="0.35">
      <c r="B30" s="3" t="s">
        <v>29</v>
      </c>
      <c r="C30" s="29">
        <v>16626507</v>
      </c>
      <c r="D30" s="29">
        <v>17862831</v>
      </c>
      <c r="E30" s="29">
        <v>17420396</v>
      </c>
      <c r="F30" s="29">
        <v>17086797</v>
      </c>
      <c r="G30" s="29">
        <v>24290288</v>
      </c>
      <c r="H30" s="246"/>
      <c r="I30" s="29">
        <v>24399472</v>
      </c>
      <c r="J30" s="104">
        <f>J28-J29</f>
        <v>20621730.950868022</v>
      </c>
      <c r="K30" s="104">
        <f t="shared" ref="K30:M30" si="13">K28-K29</f>
        <v>26844366.495925561</v>
      </c>
      <c r="L30" s="104">
        <f t="shared" si="13"/>
        <v>28592935.039368298</v>
      </c>
      <c r="M30" s="104">
        <f t="shared" si="13"/>
        <v>30077933.498119213</v>
      </c>
      <c r="N30" s="13"/>
      <c r="O30" s="13">
        <f t="shared" si="1"/>
        <v>19684806.666666664</v>
      </c>
      <c r="P30" s="38">
        <v>14763605</v>
      </c>
      <c r="Q30" s="29">
        <v>8290474</v>
      </c>
      <c r="R30" s="29">
        <v>9177750</v>
      </c>
      <c r="S30" s="13">
        <f t="shared" si="2"/>
        <v>16580948</v>
      </c>
    </row>
    <row r="31" spans="2:19" ht="15" thickTop="1" x14ac:dyDescent="0.3">
      <c r="B31" t="s">
        <v>30</v>
      </c>
      <c r="C31" s="27">
        <v>16605963</v>
      </c>
      <c r="D31" s="27">
        <v>17734706</v>
      </c>
      <c r="E31" s="27">
        <v>17263259</v>
      </c>
      <c r="F31" s="27">
        <v>16939950</v>
      </c>
      <c r="G31" s="27">
        <v>24062469</v>
      </c>
      <c r="H31" s="241"/>
      <c r="I31" s="27">
        <v>23811914</v>
      </c>
      <c r="J31" s="103">
        <f>J30*0.96</f>
        <v>19796861.7128333</v>
      </c>
      <c r="K31" s="103">
        <f t="shared" ref="K31:M31" si="14">K30*0.96</f>
        <v>25770591.836088538</v>
      </c>
      <c r="L31" s="103">
        <f t="shared" si="14"/>
        <v>27449217.637793563</v>
      </c>
      <c r="M31" s="103">
        <f t="shared" si="14"/>
        <v>28874816.158194441</v>
      </c>
      <c r="N31" s="13"/>
      <c r="O31" s="13">
        <f t="shared" si="1"/>
        <v>18933237.333333332</v>
      </c>
      <c r="P31" s="38">
        <v>14199928</v>
      </c>
      <c r="Q31" s="27">
        <v>7966526</v>
      </c>
      <c r="R31" s="27">
        <v>8940996</v>
      </c>
    </row>
    <row r="32" spans="2:19" x14ac:dyDescent="0.3">
      <c r="B32" t="s">
        <v>31</v>
      </c>
      <c r="C32" s="27">
        <v>20544</v>
      </c>
      <c r="D32" s="27">
        <v>128125</v>
      </c>
      <c r="E32" s="27">
        <v>157137</v>
      </c>
      <c r="F32" s="27">
        <v>146847</v>
      </c>
      <c r="G32" s="27">
        <v>227819</v>
      </c>
      <c r="H32" s="247"/>
      <c r="I32" s="27">
        <v>587558</v>
      </c>
      <c r="J32" s="103">
        <f>J30*0.04</f>
        <v>824869.23803472088</v>
      </c>
      <c r="K32" s="103">
        <f t="shared" ref="K32:M32" si="15">K30*0.04</f>
        <v>1073774.6598370224</v>
      </c>
      <c r="L32" s="103">
        <f t="shared" si="15"/>
        <v>1143717.401574732</v>
      </c>
      <c r="M32" s="103">
        <f t="shared" si="15"/>
        <v>1203117.3399247685</v>
      </c>
      <c r="N32" s="13"/>
      <c r="O32" s="13">
        <f t="shared" si="1"/>
        <v>751569.33333333337</v>
      </c>
      <c r="P32" s="38">
        <v>563677</v>
      </c>
      <c r="Q32" s="27">
        <v>323948</v>
      </c>
      <c r="R32" s="27">
        <v>236754</v>
      </c>
    </row>
    <row r="33" spans="2:18" x14ac:dyDescent="0.3">
      <c r="B33" t="s">
        <v>29</v>
      </c>
      <c r="C33" s="27">
        <v>16626507</v>
      </c>
      <c r="D33" s="27">
        <v>17862831</v>
      </c>
      <c r="E33" s="27">
        <v>17420396</v>
      </c>
      <c r="F33" s="27">
        <v>17086797</v>
      </c>
      <c r="G33" s="27">
        <v>24290288</v>
      </c>
      <c r="H33" s="241"/>
      <c r="I33" s="27">
        <v>24399472</v>
      </c>
      <c r="J33" s="103">
        <f>J30</f>
        <v>20621730.950868022</v>
      </c>
      <c r="K33" s="103">
        <f t="shared" ref="K33:M33" si="16">K30</f>
        <v>26844366.495925561</v>
      </c>
      <c r="L33" s="103">
        <f t="shared" si="16"/>
        <v>28592935.039368298</v>
      </c>
      <c r="M33" s="103">
        <f t="shared" si="16"/>
        <v>30077933.498119213</v>
      </c>
      <c r="N33" s="13"/>
      <c r="O33" s="13">
        <f t="shared" si="1"/>
        <v>19684806.666666664</v>
      </c>
      <c r="P33" s="2">
        <f>P30</f>
        <v>14763605</v>
      </c>
      <c r="Q33" s="2">
        <f>Q30</f>
        <v>8290474</v>
      </c>
      <c r="R33" s="2">
        <f>R30</f>
        <v>9177750</v>
      </c>
    </row>
    <row r="34" spans="2:18" x14ac:dyDescent="0.3">
      <c r="B34" t="s">
        <v>32</v>
      </c>
      <c r="C34" s="30">
        <v>17.05</v>
      </c>
      <c r="D34" s="30">
        <v>17.55</v>
      </c>
      <c r="E34" s="30">
        <v>16.41</v>
      </c>
      <c r="F34" s="30">
        <v>15.7</v>
      </c>
      <c r="G34" s="30">
        <v>19.41</v>
      </c>
      <c r="H34" s="248"/>
      <c r="I34" s="30">
        <v>19.21</v>
      </c>
      <c r="J34" s="105">
        <f>J31*1000/Drivers!I586</f>
        <v>15.064716098859725</v>
      </c>
      <c r="K34" s="105">
        <f>K31*1000/Drivers!J586</f>
        <v>19.610514804909627</v>
      </c>
      <c r="L34" s="105">
        <f>L31*1000/Drivers!K586</f>
        <v>20.887890052851784</v>
      </c>
      <c r="M34" s="105">
        <f>M31*1000/Drivers!L586</f>
        <v>21.972720431137031</v>
      </c>
      <c r="N34" s="13"/>
      <c r="O34" s="13"/>
      <c r="P34">
        <v>10.81</v>
      </c>
      <c r="Q34" s="55">
        <v>6.07</v>
      </c>
      <c r="R34" s="55">
        <v>7.21</v>
      </c>
    </row>
    <row r="35" spans="2:18" x14ac:dyDescent="0.3">
      <c r="B35" t="s">
        <v>33</v>
      </c>
      <c r="C35" s="30">
        <v>17.03</v>
      </c>
      <c r="D35" s="30">
        <v>17.55</v>
      </c>
      <c r="E35" s="30">
        <v>16.41</v>
      </c>
      <c r="F35" s="30">
        <v>15.7</v>
      </c>
      <c r="G35" s="30">
        <v>19.41</v>
      </c>
      <c r="H35" s="248"/>
      <c r="I35" s="30">
        <v>19.21</v>
      </c>
      <c r="J35" s="103"/>
      <c r="K35" s="105"/>
      <c r="L35" s="103"/>
      <c r="M35" s="103"/>
      <c r="N35" s="13"/>
      <c r="O35" s="13"/>
      <c r="P35">
        <v>10.81</v>
      </c>
      <c r="Q35" s="55">
        <v>6.07</v>
      </c>
      <c r="R35" s="55">
        <v>7.21</v>
      </c>
    </row>
    <row r="36" spans="2:18" x14ac:dyDescent="0.3">
      <c r="B36" t="s">
        <v>435</v>
      </c>
      <c r="C36" s="30"/>
      <c r="D36" s="30">
        <v>6.5</v>
      </c>
      <c r="E36" s="30">
        <v>6.5</v>
      </c>
      <c r="F36" s="30">
        <v>6.5</v>
      </c>
      <c r="G36" s="30">
        <v>7.5</v>
      </c>
      <c r="H36" s="249"/>
      <c r="I36" s="30">
        <v>4.5</v>
      </c>
      <c r="J36" s="105">
        <f>'charts 1'!N23</f>
        <v>4.5</v>
      </c>
      <c r="K36" s="105">
        <f>-Drivers!J619*1000/Drivers!J586</f>
        <v>6.8636801817183679</v>
      </c>
      <c r="L36" s="105">
        <f>-Drivers!K619*1000/Drivers!K586</f>
        <v>7.3107615184981238</v>
      </c>
      <c r="M36" s="105">
        <f>-Drivers!L619*1000/Drivers!L586</f>
        <v>7.6904521508979604</v>
      </c>
      <c r="N36" s="13"/>
      <c r="O36" s="13"/>
      <c r="Q36" s="55"/>
      <c r="R36" s="55"/>
    </row>
    <row r="37" spans="2:18" x14ac:dyDescent="0.3">
      <c r="J37" s="103"/>
      <c r="K37" s="103"/>
      <c r="L37" s="103"/>
      <c r="M37" s="103"/>
      <c r="N37" s="13"/>
      <c r="O37" s="13"/>
      <c r="P37" s="13"/>
      <c r="Q37" s="13"/>
      <c r="R37" s="13"/>
    </row>
    <row r="38" spans="2:18" x14ac:dyDescent="0.3">
      <c r="B38" t="s">
        <v>101</v>
      </c>
      <c r="J38" s="103"/>
      <c r="K38" s="103"/>
      <c r="L38" s="103"/>
      <c r="M38" s="103"/>
      <c r="N38" s="13"/>
      <c r="O38" s="13"/>
      <c r="P38" s="13"/>
      <c r="Q38" s="13"/>
      <c r="R38" s="13"/>
    </row>
    <row r="39" spans="2:18" x14ac:dyDescent="0.3">
      <c r="B39" t="s">
        <v>102</v>
      </c>
      <c r="G39" s="27">
        <v>0</v>
      </c>
      <c r="H39" s="253"/>
      <c r="I39" s="27">
        <v>26481256</v>
      </c>
      <c r="J39" s="103"/>
      <c r="K39" s="103"/>
      <c r="L39" s="103"/>
      <c r="M39" s="103"/>
      <c r="N39" s="13"/>
      <c r="O39" s="13"/>
      <c r="P39" s="13"/>
      <c r="Q39" s="13"/>
      <c r="R39" s="13"/>
    </row>
    <row r="40" spans="2:18" x14ac:dyDescent="0.3">
      <c r="J40" s="103"/>
      <c r="K40" s="103"/>
      <c r="L40" s="103"/>
      <c r="M40" s="103"/>
      <c r="N40" s="13"/>
      <c r="O40" s="13"/>
      <c r="P40" s="13"/>
      <c r="Q40" s="13"/>
      <c r="R40" s="13"/>
    </row>
    <row r="41" spans="2:18" s="33" customFormat="1" x14ac:dyDescent="0.3">
      <c r="B41" s="33" t="s">
        <v>176</v>
      </c>
      <c r="C41" s="35" t="str">
        <f t="shared" ref="C41:G41" si="17">IF(C18-C23-C25+C27-C29-C30+C31+C32-C33=0,"OK","FLAG")</f>
        <v>OK</v>
      </c>
      <c r="D41" s="35" t="str">
        <f t="shared" si="17"/>
        <v>OK</v>
      </c>
      <c r="E41" s="35" t="str">
        <f t="shared" si="17"/>
        <v>OK</v>
      </c>
      <c r="F41" s="35" t="str">
        <f t="shared" si="17"/>
        <v>OK</v>
      </c>
      <c r="G41" s="35" t="str">
        <f t="shared" si="17"/>
        <v>OK</v>
      </c>
      <c r="H41" s="35"/>
      <c r="I41" s="35" t="str">
        <f>IF(I18-I23-I25+I27-I29-I30+I31+I32-I33=0,"OK","FLAG")</f>
        <v>OK</v>
      </c>
      <c r="J41" s="106">
        <f>J18-J23-J25+J27-J29-J30+J31+J32-J33</f>
        <v>0</v>
      </c>
      <c r="K41" s="106">
        <f t="shared" ref="K41:M41" si="18">K18-K23-K25+K27-K29-K30+K31+K32-K33</f>
        <v>0</v>
      </c>
      <c r="L41" s="106">
        <f t="shared" si="18"/>
        <v>0</v>
      </c>
      <c r="M41" s="106">
        <f t="shared" si="18"/>
        <v>0</v>
      </c>
      <c r="N41" s="46"/>
      <c r="O41" s="46"/>
      <c r="P41" s="46"/>
      <c r="Q41" s="35" t="str">
        <f>IF(Q18-Q23-Q25+Q27-Q29-Q30=0,"OK","FLAG")</f>
        <v>OK</v>
      </c>
      <c r="R41" s="35" t="str">
        <f>IF(R18-R23-R25+R27-R29-R30=0,"OK","FLAG")</f>
        <v>OK</v>
      </c>
    </row>
    <row r="42" spans="2:18" x14ac:dyDescent="0.3">
      <c r="J42" s="103"/>
      <c r="K42" s="103"/>
      <c r="L42" s="110"/>
      <c r="M42" s="103"/>
      <c r="N42" s="13"/>
      <c r="O42" s="13"/>
      <c r="P42" s="13"/>
      <c r="Q42" s="13"/>
      <c r="R42" s="13"/>
    </row>
    <row r="43" spans="2:18" s="8" customFormat="1" x14ac:dyDescent="0.3">
      <c r="B43" s="11" t="s">
        <v>121</v>
      </c>
      <c r="C43" s="12"/>
      <c r="D43" s="12"/>
      <c r="E43" s="12"/>
      <c r="F43" s="12"/>
      <c r="G43" s="12"/>
      <c r="H43" s="12"/>
      <c r="I43" s="12"/>
      <c r="J43" s="48"/>
      <c r="K43" s="48"/>
      <c r="L43" s="48"/>
      <c r="M43" s="48"/>
      <c r="N43" s="48"/>
      <c r="O43" s="48"/>
      <c r="P43" s="48"/>
      <c r="Q43" s="48"/>
      <c r="R43" s="48"/>
    </row>
    <row r="44" spans="2:18" x14ac:dyDescent="0.3">
      <c r="B44" s="3" t="s">
        <v>99</v>
      </c>
      <c r="I44" s="44"/>
      <c r="J44" s="13"/>
      <c r="K44" s="13"/>
      <c r="L44" s="13"/>
      <c r="M44" s="13"/>
      <c r="N44" s="13"/>
      <c r="O44" s="13"/>
      <c r="P44" s="13"/>
      <c r="Q44" s="13"/>
      <c r="R44" s="13"/>
    </row>
    <row r="45" spans="2:18" x14ac:dyDescent="0.3">
      <c r="B45" s="4" t="s">
        <v>100</v>
      </c>
      <c r="C45" s="27">
        <v>34673424</v>
      </c>
      <c r="D45" s="27">
        <v>44355962</v>
      </c>
      <c r="E45" s="27">
        <v>53681118</v>
      </c>
      <c r="F45" s="27">
        <v>51255030</v>
      </c>
      <c r="G45" s="27">
        <v>69335379</v>
      </c>
      <c r="H45" s="241"/>
      <c r="I45" s="27">
        <v>151109490</v>
      </c>
      <c r="J45" s="13">
        <f>J62-SUM(J46:J61)</f>
        <v>105916320.05488253</v>
      </c>
      <c r="K45" s="13">
        <f t="shared" ref="K45:M45" si="19">K62-SUM(K46:K61)</f>
        <v>109690083.67676783</v>
      </c>
      <c r="L45" s="13">
        <f t="shared" si="19"/>
        <v>159083791.51399279</v>
      </c>
      <c r="M45" s="13">
        <f t="shared" si="19"/>
        <v>168133547.49022007</v>
      </c>
      <c r="N45" s="13"/>
      <c r="O45" s="13"/>
      <c r="P45" s="38">
        <v>114518140</v>
      </c>
      <c r="Q45" s="27">
        <v>112544293</v>
      </c>
      <c r="R45" s="27">
        <v>151109490</v>
      </c>
    </row>
    <row r="46" spans="2:18" x14ac:dyDescent="0.3">
      <c r="B46" t="s">
        <v>34</v>
      </c>
      <c r="C46" s="27">
        <v>45546349</v>
      </c>
      <c r="D46" s="27">
        <v>55406535</v>
      </c>
      <c r="E46" s="27">
        <v>46101232</v>
      </c>
      <c r="F46" s="27">
        <v>115358732</v>
      </c>
      <c r="G46" s="27">
        <v>56777465</v>
      </c>
      <c r="H46" s="241"/>
      <c r="I46" s="27">
        <v>78597120</v>
      </c>
      <c r="J46" s="13">
        <f>Drivers!I234</f>
        <v>52339149.030000001</v>
      </c>
      <c r="K46" s="13">
        <f>Drivers!J234</f>
        <v>94799283.6805875</v>
      </c>
      <c r="L46" s="13">
        <f>Drivers!K234</f>
        <v>109019176.23267561</v>
      </c>
      <c r="M46" s="13">
        <f>Drivers!L234</f>
        <v>125372052.66757694</v>
      </c>
      <c r="N46" s="13"/>
      <c r="O46" s="13"/>
      <c r="P46" s="13">
        <v>37516912</v>
      </c>
      <c r="Q46" s="27">
        <v>61871953</v>
      </c>
      <c r="R46" s="27">
        <v>78597120</v>
      </c>
    </row>
    <row r="47" spans="2:18" x14ac:dyDescent="0.3">
      <c r="B47" t="s">
        <v>35</v>
      </c>
      <c r="C47" s="27">
        <v>17633269</v>
      </c>
      <c r="D47" s="27">
        <v>19898515</v>
      </c>
      <c r="E47" s="27">
        <v>24903809</v>
      </c>
      <c r="F47" s="27">
        <v>16421867</v>
      </c>
      <c r="G47" s="27">
        <v>12498709</v>
      </c>
      <c r="H47" s="241"/>
      <c r="I47" s="27">
        <v>96082937</v>
      </c>
      <c r="J47" s="13">
        <f>Drivers!I252</f>
        <v>76866349.600000009</v>
      </c>
      <c r="K47" s="13">
        <f>Drivers!J252</f>
        <v>80709667.080000013</v>
      </c>
      <c r="L47" s="13">
        <f>Drivers!K252</f>
        <v>84745150.434000015</v>
      </c>
      <c r="M47" s="13">
        <f>Drivers!L252</f>
        <v>88982407.955700025</v>
      </c>
      <c r="N47" s="13"/>
      <c r="O47" s="13"/>
      <c r="P47" s="13">
        <v>66538167</v>
      </c>
      <c r="Q47" s="27">
        <v>53920816</v>
      </c>
      <c r="R47" s="27">
        <v>96082937</v>
      </c>
    </row>
    <row r="48" spans="2:18" x14ac:dyDescent="0.3">
      <c r="B48" t="s">
        <v>36</v>
      </c>
      <c r="C48" s="27">
        <v>0</v>
      </c>
      <c r="D48" s="27">
        <v>9513512</v>
      </c>
      <c r="E48" s="27">
        <v>13147534</v>
      </c>
      <c r="F48" s="27">
        <v>0</v>
      </c>
      <c r="G48" s="27">
        <v>3000490</v>
      </c>
      <c r="H48" s="241"/>
      <c r="I48" s="27">
        <v>1517308</v>
      </c>
      <c r="J48" s="13">
        <f>Drivers!I264</f>
        <v>606923.20000000007</v>
      </c>
      <c r="K48" s="13">
        <f>Drivers!J264</f>
        <v>637269.3600000001</v>
      </c>
      <c r="L48" s="13">
        <f>Drivers!K264</f>
        <v>669132.8280000001</v>
      </c>
      <c r="M48" s="13">
        <f>Drivers!L264</f>
        <v>702589.46940000018</v>
      </c>
      <c r="N48" s="13"/>
      <c r="O48" s="13"/>
      <c r="P48" s="13">
        <v>549770</v>
      </c>
      <c r="Q48" s="27">
        <v>3378561</v>
      </c>
      <c r="R48" s="27">
        <v>1517308</v>
      </c>
    </row>
    <row r="49" spans="2:18" x14ac:dyDescent="0.3">
      <c r="B49" t="s">
        <v>37</v>
      </c>
      <c r="C49" s="31">
        <v>2334536</v>
      </c>
      <c r="D49" s="31">
        <v>7909962</v>
      </c>
      <c r="E49" s="27">
        <v>1830927</v>
      </c>
      <c r="F49" s="27">
        <v>2636717</v>
      </c>
      <c r="G49" s="27">
        <v>3245120</v>
      </c>
      <c r="H49" s="241"/>
      <c r="I49" s="27">
        <v>8345091</v>
      </c>
      <c r="J49" s="13">
        <f>Drivers!I266</f>
        <v>5841563.6999999993</v>
      </c>
      <c r="K49" s="13">
        <f>Drivers!J266</f>
        <v>6133641.8849999998</v>
      </c>
      <c r="L49" s="13">
        <f>Drivers!K266</f>
        <v>6440323.9792499999</v>
      </c>
      <c r="M49" s="13">
        <f>Drivers!L266</f>
        <v>6762340.1782125002</v>
      </c>
      <c r="N49" s="13"/>
      <c r="O49" s="13"/>
      <c r="P49" s="13">
        <v>6091290</v>
      </c>
      <c r="Q49" s="27">
        <v>7032972</v>
      </c>
      <c r="R49" s="27">
        <v>8345091</v>
      </c>
    </row>
    <row r="50" spans="2:18" x14ac:dyDescent="0.3">
      <c r="B50" t="s">
        <v>38</v>
      </c>
      <c r="C50" s="31">
        <v>4410913</v>
      </c>
      <c r="D50" s="31">
        <v>5520167</v>
      </c>
      <c r="E50" s="27">
        <v>21468033</v>
      </c>
      <c r="F50" s="27">
        <v>35189471</v>
      </c>
      <c r="G50" s="27">
        <v>23436123</v>
      </c>
      <c r="H50" s="241"/>
      <c r="I50" s="27">
        <v>24873057</v>
      </c>
      <c r="J50" s="13">
        <f>Drivers!I271</f>
        <v>98932873</v>
      </c>
      <c r="K50" s="13">
        <f>Drivers!J271</f>
        <v>155960062.40000001</v>
      </c>
      <c r="L50" s="13">
        <f>Drivers!K271</f>
        <v>171556068.64000002</v>
      </c>
      <c r="M50" s="13">
        <f>Drivers!L271</f>
        <v>188711675.50400004</v>
      </c>
      <c r="N50" s="13"/>
      <c r="O50" s="13"/>
      <c r="P50" s="13">
        <v>98042540</v>
      </c>
      <c r="Q50" s="27">
        <v>50791983</v>
      </c>
      <c r="R50" s="27">
        <v>24873057</v>
      </c>
    </row>
    <row r="51" spans="2:18" x14ac:dyDescent="0.3">
      <c r="B51" t="s">
        <v>103</v>
      </c>
      <c r="C51" s="31">
        <v>640512</v>
      </c>
      <c r="D51" s="31">
        <v>763074</v>
      </c>
      <c r="E51" s="27">
        <v>757787</v>
      </c>
      <c r="F51" s="27">
        <v>779705</v>
      </c>
      <c r="G51" s="2">
        <v>0</v>
      </c>
      <c r="I51" s="2">
        <v>0</v>
      </c>
      <c r="J51" s="13"/>
      <c r="K51" s="13"/>
      <c r="L51" s="13"/>
      <c r="M51" s="13"/>
      <c r="N51" s="13"/>
      <c r="O51" s="13"/>
      <c r="P51" s="13"/>
      <c r="Q51" s="2"/>
    </row>
    <row r="52" spans="2:18" x14ac:dyDescent="0.3">
      <c r="B52" t="s">
        <v>39</v>
      </c>
      <c r="C52" s="31">
        <v>742444130</v>
      </c>
      <c r="D52" s="31">
        <v>867611976</v>
      </c>
      <c r="E52" s="27">
        <v>893919311</v>
      </c>
      <c r="F52" s="27">
        <v>909829172</v>
      </c>
      <c r="G52" s="27">
        <v>1029584075</v>
      </c>
      <c r="H52" s="241"/>
      <c r="I52" s="27">
        <v>1155492527</v>
      </c>
      <c r="J52" s="13">
        <f>Drivers!I289</f>
        <v>1214948666.4333899</v>
      </c>
      <c r="K52" s="13">
        <f>Drivers!J289</f>
        <v>1426353031.7591887</v>
      </c>
      <c r="L52" s="13">
        <f>Drivers!K289</f>
        <v>1651207904.1463344</v>
      </c>
      <c r="M52" s="13">
        <f>Drivers!L289</f>
        <v>1908043239.6455996</v>
      </c>
      <c r="N52" s="13"/>
      <c r="O52" s="13"/>
      <c r="P52" s="13">
        <v>1148276787</v>
      </c>
      <c r="Q52" s="27">
        <v>1096826774</v>
      </c>
      <c r="R52" s="27">
        <v>1155492527</v>
      </c>
    </row>
    <row r="53" spans="2:18" x14ac:dyDescent="0.3">
      <c r="B53" t="s">
        <v>40</v>
      </c>
      <c r="C53" s="27">
        <v>118078273</v>
      </c>
      <c r="D53" s="27">
        <v>89274413</v>
      </c>
      <c r="E53" s="27">
        <v>107059021</v>
      </c>
      <c r="F53" s="27">
        <v>302059529</v>
      </c>
      <c r="G53" s="27">
        <v>385390598</v>
      </c>
      <c r="H53" s="241"/>
      <c r="I53" s="27">
        <v>761650234</v>
      </c>
      <c r="J53" s="13">
        <f>Drivers!I341</f>
        <v>709291118.42399991</v>
      </c>
      <c r="K53" s="13">
        <f>Drivers!J341</f>
        <v>668358324.86000013</v>
      </c>
      <c r="L53" s="13">
        <f>Drivers!K341</f>
        <v>737754178.87780023</v>
      </c>
      <c r="M53" s="13">
        <f>Drivers!L341</f>
        <v>791175567.27385437</v>
      </c>
      <c r="N53" s="13"/>
      <c r="O53" s="13"/>
      <c r="P53" s="13">
        <v>706747778</v>
      </c>
      <c r="Q53" s="27">
        <v>740197253</v>
      </c>
      <c r="R53" s="27">
        <v>761650234</v>
      </c>
    </row>
    <row r="54" spans="2:18" x14ac:dyDescent="0.3">
      <c r="B54" t="s">
        <v>41</v>
      </c>
      <c r="C54" s="27">
        <v>154913643</v>
      </c>
      <c r="D54" s="27">
        <v>176760611</v>
      </c>
      <c r="E54" s="27">
        <v>197825017</v>
      </c>
      <c r="F54" s="27">
        <v>278716794</v>
      </c>
      <c r="G54" s="27">
        <v>335953802</v>
      </c>
      <c r="H54" s="241"/>
      <c r="I54" s="27">
        <v>118652257</v>
      </c>
      <c r="J54" s="13">
        <f>Drivers!I384</f>
        <v>296954728</v>
      </c>
      <c r="K54" s="13">
        <f>Drivers!J384</f>
        <v>326650200.80000001</v>
      </c>
      <c r="L54" s="13">
        <f>Drivers!K384</f>
        <v>359315220.88</v>
      </c>
      <c r="M54" s="13">
        <f>Drivers!L384</f>
        <v>395246742.96800005</v>
      </c>
      <c r="N54" s="13"/>
      <c r="O54" s="13"/>
      <c r="P54" s="13">
        <v>246477855</v>
      </c>
      <c r="Q54" s="27">
        <v>230826265</v>
      </c>
      <c r="R54" s="27">
        <v>118652257</v>
      </c>
    </row>
    <row r="55" spans="2:18" x14ac:dyDescent="0.3">
      <c r="B55" t="s">
        <v>42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/>
      <c r="I55" s="27">
        <v>0</v>
      </c>
      <c r="J55" s="13">
        <f>I55</f>
        <v>0</v>
      </c>
      <c r="K55" s="13">
        <f t="shared" ref="K55:M55" si="20">J55</f>
        <v>0</v>
      </c>
      <c r="L55" s="13">
        <f t="shared" si="20"/>
        <v>0</v>
      </c>
      <c r="M55" s="13">
        <f t="shared" si="20"/>
        <v>0</v>
      </c>
      <c r="N55" s="13"/>
      <c r="O55" s="13"/>
      <c r="P55" s="13">
        <v>0</v>
      </c>
      <c r="Q55" s="2"/>
      <c r="R55" s="2"/>
    </row>
    <row r="56" spans="2:18" x14ac:dyDescent="0.3">
      <c r="B56" t="s">
        <v>43</v>
      </c>
      <c r="C56" s="27">
        <v>109844</v>
      </c>
      <c r="D56" s="27">
        <v>105320</v>
      </c>
      <c r="E56" s="27">
        <v>56821</v>
      </c>
      <c r="F56" s="27">
        <v>64155</v>
      </c>
      <c r="G56" s="27">
        <v>60428</v>
      </c>
      <c r="H56" s="241"/>
      <c r="I56" s="27">
        <v>55302</v>
      </c>
      <c r="J56" s="13">
        <f>Drivers!I396</f>
        <v>55302</v>
      </c>
      <c r="K56" s="13">
        <f>Drivers!J396</f>
        <v>55302</v>
      </c>
      <c r="L56" s="13">
        <f>Drivers!K396</f>
        <v>55302</v>
      </c>
      <c r="M56" s="13">
        <f>Drivers!L396</f>
        <v>55302</v>
      </c>
      <c r="N56" s="13"/>
      <c r="O56" s="13"/>
      <c r="P56" s="13">
        <v>59475</v>
      </c>
      <c r="Q56" s="27">
        <v>57856</v>
      </c>
      <c r="R56" s="27">
        <v>55302</v>
      </c>
    </row>
    <row r="57" spans="2:18" x14ac:dyDescent="0.3">
      <c r="B57" t="s">
        <v>44</v>
      </c>
      <c r="C57" s="27">
        <v>16317044</v>
      </c>
      <c r="D57" s="27">
        <v>17015236</v>
      </c>
      <c r="E57" s="27">
        <v>22524658</v>
      </c>
      <c r="F57" s="27">
        <v>25386630</v>
      </c>
      <c r="G57" s="27">
        <v>24744634</v>
      </c>
      <c r="H57" s="241"/>
      <c r="I57" s="27">
        <v>27446607</v>
      </c>
      <c r="J57" s="13">
        <f>Drivers!I401</f>
        <v>28268181.5</v>
      </c>
      <c r="K57" s="13">
        <f>Drivers!J401</f>
        <v>29212223</v>
      </c>
      <c r="L57" s="13">
        <f>Drivers!K401</f>
        <v>30197343.225000001</v>
      </c>
      <c r="M57" s="13">
        <f>Drivers!L401</f>
        <v>31229665.525000002</v>
      </c>
      <c r="N57" s="13"/>
      <c r="O57" s="13"/>
      <c r="P57" s="13">
        <v>26538514</v>
      </c>
      <c r="Q57" s="27">
        <v>26649043</v>
      </c>
      <c r="R57" s="27">
        <v>27446607</v>
      </c>
    </row>
    <row r="58" spans="2:18" x14ac:dyDescent="0.3">
      <c r="B58" t="s">
        <v>45</v>
      </c>
      <c r="C58" s="27">
        <v>104516</v>
      </c>
      <c r="D58" s="27">
        <v>103064</v>
      </c>
      <c r="E58" s="27">
        <v>46350</v>
      </c>
      <c r="F58" s="27">
        <v>67116</v>
      </c>
      <c r="G58" s="27">
        <v>72400</v>
      </c>
      <c r="H58" s="241"/>
      <c r="I58" s="27">
        <v>80350</v>
      </c>
      <c r="J58" s="13">
        <f>Drivers!I430</f>
        <v>642800</v>
      </c>
      <c r="K58" s="13">
        <f>Drivers!J430</f>
        <v>707080</v>
      </c>
      <c r="L58" s="13">
        <f>Drivers!K430</f>
        <v>777788.00000000012</v>
      </c>
      <c r="M58" s="13">
        <f>Drivers!L430</f>
        <v>855566.80000000016</v>
      </c>
      <c r="N58" s="13"/>
      <c r="O58" s="13"/>
      <c r="P58" s="13">
        <v>545850</v>
      </c>
      <c r="Q58" s="27">
        <v>424550</v>
      </c>
      <c r="R58" s="27">
        <v>80350</v>
      </c>
    </row>
    <row r="59" spans="2:18" x14ac:dyDescent="0.3">
      <c r="B59" t="s">
        <v>46</v>
      </c>
      <c r="C59" s="27">
        <v>1251226</v>
      </c>
      <c r="D59" s="27">
        <v>1433931</v>
      </c>
      <c r="E59" s="27">
        <v>1645714</v>
      </c>
      <c r="F59" s="27">
        <v>1800516</v>
      </c>
      <c r="G59" s="27">
        <v>2272639</v>
      </c>
      <c r="H59" s="241"/>
      <c r="I59" s="27">
        <v>4113200</v>
      </c>
      <c r="J59" s="13">
        <f>Drivers!I435</f>
        <v>4090774.4800000004</v>
      </c>
      <c r="K59" s="13">
        <f>Drivers!J435</f>
        <v>4409448.7120000012</v>
      </c>
      <c r="L59" s="13">
        <f>Drivers!K435</f>
        <v>7206711.8784000017</v>
      </c>
      <c r="M59" s="13">
        <f>Drivers!L435</f>
        <v>7793697.8688000012</v>
      </c>
      <c r="N59" s="13"/>
      <c r="O59" s="13"/>
      <c r="P59" s="13">
        <v>4061409</v>
      </c>
      <c r="Q59" s="27">
        <v>4042878</v>
      </c>
      <c r="R59" s="27">
        <v>4113200</v>
      </c>
    </row>
    <row r="60" spans="2:18" x14ac:dyDescent="0.3">
      <c r="B60" t="s">
        <v>47</v>
      </c>
      <c r="C60" s="27">
        <v>0</v>
      </c>
      <c r="D60" s="27">
        <v>188487</v>
      </c>
      <c r="E60" s="27">
        <v>530165</v>
      </c>
      <c r="F60" s="27">
        <v>2735566</v>
      </c>
      <c r="G60" s="27">
        <v>10036105</v>
      </c>
      <c r="H60" s="241"/>
      <c r="I60" s="27">
        <v>30727213</v>
      </c>
      <c r="J60" s="13">
        <f>Drivers!I462</f>
        <v>32878117.91</v>
      </c>
      <c r="K60" s="13">
        <f>Drivers!J462</f>
        <v>16439058.955</v>
      </c>
      <c r="L60" s="13">
        <f>Drivers!K462</f>
        <v>17261011.90275</v>
      </c>
      <c r="M60" s="13">
        <f>Drivers!L462</f>
        <v>18124062.4978875</v>
      </c>
      <c r="N60" s="13"/>
      <c r="O60" s="13"/>
      <c r="P60" s="13">
        <v>32664942</v>
      </c>
      <c r="Q60" s="27">
        <v>30251431</v>
      </c>
      <c r="R60" s="27">
        <v>30727213</v>
      </c>
    </row>
    <row r="61" spans="2:18" x14ac:dyDescent="0.3">
      <c r="B61" t="s">
        <v>48</v>
      </c>
      <c r="C61" s="27">
        <v>17362977</v>
      </c>
      <c r="D61" s="27">
        <v>24051472</v>
      </c>
      <c r="E61" s="27">
        <v>23443869</v>
      </c>
      <c r="F61" s="27">
        <v>20195153</v>
      </c>
      <c r="G61" s="27">
        <v>27083177</v>
      </c>
      <c r="H61" s="241"/>
      <c r="I61" s="27">
        <v>40811211</v>
      </c>
      <c r="J61" s="13">
        <f>Drivers!I468</f>
        <v>34689529.350000001</v>
      </c>
      <c r="K61" s="13">
        <f>Drivers!J468</f>
        <v>32955052.8825</v>
      </c>
      <c r="L61" s="13">
        <f>Drivers!K468</f>
        <v>33614153.94015</v>
      </c>
      <c r="M61" s="13">
        <f>Drivers!L468</f>
        <v>34286437.018953003</v>
      </c>
      <c r="N61" s="13"/>
      <c r="O61" s="13"/>
      <c r="P61" s="13">
        <v>36882221</v>
      </c>
      <c r="Q61" s="27">
        <v>43351569</v>
      </c>
      <c r="R61" s="27">
        <v>40811211</v>
      </c>
    </row>
    <row r="62" spans="2:18" ht="15" thickBot="1" x14ac:dyDescent="0.35">
      <c r="B62" s="3" t="s">
        <v>49</v>
      </c>
      <c r="C62" s="29">
        <v>1155820656</v>
      </c>
      <c r="D62" s="29">
        <v>1319912237</v>
      </c>
      <c r="E62" s="29">
        <v>1408941366</v>
      </c>
      <c r="F62" s="29">
        <v>1762496153</v>
      </c>
      <c r="G62" s="29">
        <v>1983491144</v>
      </c>
      <c r="H62" s="241"/>
      <c r="I62" s="29">
        <v>2499553904</v>
      </c>
      <c r="J62" s="18">
        <f>J83</f>
        <v>2662322396.682272</v>
      </c>
      <c r="K62" s="18">
        <f t="shared" ref="K62:M62" si="21">K83</f>
        <v>2953069731.0510445</v>
      </c>
      <c r="L62" s="18">
        <f t="shared" si="21"/>
        <v>3368903258.478353</v>
      </c>
      <c r="M62" s="18">
        <f t="shared" si="21"/>
        <v>3765474894.8632045</v>
      </c>
      <c r="N62" s="13"/>
      <c r="O62" s="13"/>
      <c r="P62" s="18">
        <v>2525511650</v>
      </c>
      <c r="Q62" s="29">
        <v>2462168197</v>
      </c>
      <c r="R62" s="29">
        <v>2499553904</v>
      </c>
    </row>
    <row r="63" spans="2:18" ht="15" thickTop="1" x14ac:dyDescent="0.3">
      <c r="B63" s="3" t="s">
        <v>107</v>
      </c>
      <c r="J63" s="13"/>
      <c r="K63" s="13"/>
      <c r="L63" s="13"/>
      <c r="M63" s="13"/>
      <c r="N63" s="13"/>
      <c r="O63" s="13"/>
      <c r="P63" s="13"/>
      <c r="Q63" s="2"/>
      <c r="R63" s="2"/>
    </row>
    <row r="64" spans="2:18" x14ac:dyDescent="0.3">
      <c r="B64" s="4" t="s">
        <v>108</v>
      </c>
      <c r="C64" s="27">
        <v>60244892</v>
      </c>
      <c r="D64" s="27">
        <v>52362052</v>
      </c>
      <c r="E64" s="27">
        <v>53807425</v>
      </c>
      <c r="F64" s="27">
        <v>88248056</v>
      </c>
      <c r="G64" s="27">
        <v>73801195</v>
      </c>
      <c r="H64" s="241"/>
      <c r="I64" s="27">
        <v>64971170</v>
      </c>
      <c r="J64" s="13">
        <f>Drivers!I475</f>
        <v>39254361.772500001</v>
      </c>
      <c r="K64" s="13">
        <f>Drivers!J475</f>
        <v>60190021.384499997</v>
      </c>
      <c r="L64" s="13">
        <f>Drivers!K475</f>
        <v>69218524.592174992</v>
      </c>
      <c r="M64" s="13">
        <f>Drivers!L475</f>
        <v>79601303.28100124</v>
      </c>
      <c r="N64" s="13"/>
      <c r="O64" s="13"/>
      <c r="P64" s="13">
        <v>48268948</v>
      </c>
      <c r="Q64" s="27">
        <v>50020369</v>
      </c>
      <c r="R64" s="27">
        <v>64971170</v>
      </c>
    </row>
    <row r="65" spans="2:18" x14ac:dyDescent="0.3">
      <c r="B65" t="s">
        <v>50</v>
      </c>
      <c r="C65" s="27">
        <v>3678494</v>
      </c>
      <c r="D65" s="27">
        <v>8021783</v>
      </c>
      <c r="E65" s="27">
        <v>1495317</v>
      </c>
      <c r="F65" s="27">
        <v>1501262</v>
      </c>
      <c r="G65" s="27">
        <v>2092198</v>
      </c>
      <c r="H65" s="241"/>
      <c r="I65" s="27">
        <v>2880667</v>
      </c>
      <c r="J65" s="13">
        <f>Drivers!I488</f>
        <v>1440333.5</v>
      </c>
      <c r="K65" s="13">
        <f>Drivers!J488</f>
        <v>1584366.85</v>
      </c>
      <c r="L65" s="13">
        <f>Drivers!K488</f>
        <v>1742803.5350000001</v>
      </c>
      <c r="M65" s="13">
        <f>Drivers!L488</f>
        <v>1917083.8885000004</v>
      </c>
      <c r="N65" s="13"/>
      <c r="O65" s="13"/>
      <c r="P65" s="13">
        <v>1560980</v>
      </c>
      <c r="Q65" s="27">
        <v>5309026</v>
      </c>
      <c r="R65" s="27">
        <v>2880667</v>
      </c>
    </row>
    <row r="66" spans="2:18" x14ac:dyDescent="0.3">
      <c r="B66" t="s">
        <v>51</v>
      </c>
      <c r="C66" s="27">
        <v>49532385</v>
      </c>
      <c r="D66" s="27">
        <v>48951394</v>
      </c>
      <c r="E66" s="27">
        <v>51117342</v>
      </c>
      <c r="F66" s="27">
        <v>91411522</v>
      </c>
      <c r="G66" s="27">
        <v>151424854</v>
      </c>
      <c r="H66" s="241"/>
      <c r="I66" s="27">
        <v>97726435</v>
      </c>
      <c r="J66" s="13">
        <f>Drivers!I494</f>
        <v>107949494.87437499</v>
      </c>
      <c r="K66" s="13">
        <f>Drivers!J494</f>
        <v>118122916.96708126</v>
      </c>
      <c r="L66" s="13">
        <f>Drivers!K494</f>
        <v>134110891.39733905</v>
      </c>
      <c r="M66" s="13">
        <f>Drivers!L494</f>
        <v>149252443.65187731</v>
      </c>
      <c r="N66" s="13"/>
      <c r="O66" s="13"/>
      <c r="P66" s="13">
        <v>117895187</v>
      </c>
      <c r="Q66" s="27">
        <v>133588179</v>
      </c>
      <c r="R66" s="27">
        <v>97726435</v>
      </c>
    </row>
    <row r="67" spans="2:18" x14ac:dyDescent="0.3">
      <c r="B67" t="s">
        <v>52</v>
      </c>
      <c r="C67" s="27">
        <v>857269981</v>
      </c>
      <c r="D67" s="27">
        <v>994370875</v>
      </c>
      <c r="E67" s="27">
        <v>1068982587</v>
      </c>
      <c r="F67" s="27">
        <v>1286616399</v>
      </c>
      <c r="G67" s="27">
        <v>1472640456</v>
      </c>
      <c r="H67" s="241"/>
      <c r="I67" s="27">
        <v>1977743661</v>
      </c>
      <c r="J67" s="13">
        <f>Drivers!I501</f>
        <v>2158989897.4874997</v>
      </c>
      <c r="K67" s="13">
        <f>Drivers!J501</f>
        <v>2362458339.3416252</v>
      </c>
      <c r="L67" s="13">
        <f>Drivers!K501</f>
        <v>2682217827.9467807</v>
      </c>
      <c r="M67" s="13">
        <f>Drivers!L501</f>
        <v>2985048873.0375462</v>
      </c>
      <c r="N67" s="13"/>
      <c r="O67" s="13"/>
      <c r="P67" s="13">
        <v>2038498641</v>
      </c>
      <c r="Q67" s="27">
        <v>1958690813</v>
      </c>
      <c r="R67" s="27">
        <v>1977743661</v>
      </c>
    </row>
    <row r="68" spans="2:18" x14ac:dyDescent="0.3">
      <c r="B68" t="s">
        <v>53</v>
      </c>
      <c r="C68" s="27">
        <v>23786094</v>
      </c>
      <c r="D68" s="27">
        <v>25361912</v>
      </c>
      <c r="E68" s="27">
        <v>23248893</v>
      </c>
      <c r="F68" s="27">
        <v>54555933</v>
      </c>
      <c r="G68" s="27">
        <v>32587051</v>
      </c>
      <c r="H68" s="241"/>
      <c r="I68" s="27">
        <v>16150356</v>
      </c>
      <c r="J68" s="13">
        <f>Drivers!I534</f>
        <v>23481198</v>
      </c>
      <c r="K68" s="13">
        <f>Drivers!J534</f>
        <v>35221797</v>
      </c>
      <c r="L68" s="13">
        <f>Drivers!K534</f>
        <v>52832695.5</v>
      </c>
      <c r="M68" s="13">
        <f>Drivers!L534</f>
        <v>79249043.25</v>
      </c>
      <c r="N68" s="13"/>
      <c r="O68" s="13"/>
      <c r="P68" s="13">
        <v>13243625</v>
      </c>
      <c r="Q68" s="27">
        <v>11481198</v>
      </c>
      <c r="R68" s="27">
        <v>16150356</v>
      </c>
    </row>
    <row r="69" spans="2:18" x14ac:dyDescent="0.3">
      <c r="B69" t="s">
        <v>54</v>
      </c>
      <c r="C69" s="27">
        <v>4202850</v>
      </c>
      <c r="D69" s="27">
        <v>6735997</v>
      </c>
      <c r="E69" s="27">
        <v>5197188</v>
      </c>
      <c r="F69" s="27">
        <v>6991005</v>
      </c>
      <c r="G69" s="27">
        <v>9486772</v>
      </c>
      <c r="H69" s="241"/>
      <c r="I69" s="27">
        <v>24916074</v>
      </c>
      <c r="J69" s="13">
        <f>Drivers!I546</f>
        <v>9913347.5146077722</v>
      </c>
      <c r="K69" s="13">
        <f>Drivers!J546</f>
        <v>8703757.8574028723</v>
      </c>
      <c r="L69" s="13">
        <f>Drivers!K546</f>
        <v>9505552.2782801744</v>
      </c>
      <c r="M69" s="13">
        <f>Drivers!L546</f>
        <v>10262819.939326558</v>
      </c>
      <c r="N69" s="13"/>
      <c r="O69" s="13"/>
      <c r="P69" s="13">
        <v>14420344</v>
      </c>
      <c r="Q69" s="27">
        <v>23513300</v>
      </c>
      <c r="R69" s="27">
        <v>24916074</v>
      </c>
    </row>
    <row r="70" spans="2:18" x14ac:dyDescent="0.3">
      <c r="B70" t="s">
        <v>55</v>
      </c>
      <c r="C70" s="27">
        <v>3565215</v>
      </c>
      <c r="D70" s="27">
        <v>971424</v>
      </c>
      <c r="E70" s="27">
        <v>416458</v>
      </c>
      <c r="F70" s="27">
        <v>403846</v>
      </c>
      <c r="G70" s="27">
        <v>349106</v>
      </c>
      <c r="H70" s="241"/>
      <c r="I70" s="27">
        <v>437123</v>
      </c>
      <c r="J70" s="13">
        <f>Drivers!I547</f>
        <v>437123</v>
      </c>
      <c r="K70" s="13">
        <f>Drivers!J547</f>
        <v>437123</v>
      </c>
      <c r="L70" s="13">
        <f>Drivers!K547</f>
        <v>437123</v>
      </c>
      <c r="M70" s="13">
        <f>Drivers!L547</f>
        <v>437123</v>
      </c>
      <c r="N70" s="13"/>
      <c r="O70" s="13"/>
      <c r="P70" s="13">
        <v>431708</v>
      </c>
      <c r="Q70" s="27">
        <v>433316</v>
      </c>
      <c r="R70" s="27">
        <v>437123</v>
      </c>
    </row>
    <row r="71" spans="2:18" x14ac:dyDescent="0.3">
      <c r="B71" t="s">
        <v>56</v>
      </c>
      <c r="C71" s="27">
        <v>19508115</v>
      </c>
      <c r="D71" s="27">
        <v>24547513</v>
      </c>
      <c r="E71" s="27">
        <v>30775884</v>
      </c>
      <c r="F71" s="27">
        <v>33572283</v>
      </c>
      <c r="G71" s="27">
        <v>33253518</v>
      </c>
      <c r="H71" s="241"/>
      <c r="I71" s="27">
        <v>40354877</v>
      </c>
      <c r="J71" s="13">
        <f>Drivers!I553</f>
        <v>53974747.437187493</v>
      </c>
      <c r="K71" s="13">
        <f>Drivers!J553</f>
        <v>59061458.483540632</v>
      </c>
      <c r="L71" s="13">
        <f>Drivers!K553</f>
        <v>67055445.698669523</v>
      </c>
      <c r="M71" s="13">
        <f>Drivers!L553</f>
        <v>74626221.825938657</v>
      </c>
      <c r="N71" s="13"/>
      <c r="O71" s="13"/>
      <c r="P71" s="13">
        <v>48296812</v>
      </c>
      <c r="Q71" s="27">
        <v>36253554</v>
      </c>
      <c r="R71" s="27">
        <v>40354877</v>
      </c>
    </row>
    <row r="72" spans="2:18" x14ac:dyDescent="0.3">
      <c r="B72" t="s">
        <v>57</v>
      </c>
      <c r="C72" s="27">
        <v>0</v>
      </c>
      <c r="D72" s="27">
        <v>0</v>
      </c>
      <c r="E72" s="27">
        <v>0</v>
      </c>
      <c r="F72" s="27">
        <v>0</v>
      </c>
      <c r="G72" s="27">
        <v>0</v>
      </c>
      <c r="H72" s="247"/>
      <c r="I72" s="27">
        <v>0</v>
      </c>
      <c r="J72" s="13"/>
      <c r="K72" s="13"/>
      <c r="L72" s="13"/>
      <c r="M72" s="13"/>
      <c r="N72" s="13"/>
      <c r="O72" s="13"/>
      <c r="P72" s="13">
        <v>0</v>
      </c>
      <c r="Q72" s="2"/>
      <c r="R72" s="2"/>
    </row>
    <row r="73" spans="2:18" x14ac:dyDescent="0.3">
      <c r="B73" t="s">
        <v>58</v>
      </c>
      <c r="C73" s="27">
        <v>25165924</v>
      </c>
      <c r="D73" s="27">
        <v>37992457</v>
      </c>
      <c r="E73" s="27">
        <v>37886789</v>
      </c>
      <c r="F73" s="27">
        <v>38247138</v>
      </c>
      <c r="G73" s="27">
        <v>38303466</v>
      </c>
      <c r="H73" s="241"/>
      <c r="I73" s="27">
        <v>61400967</v>
      </c>
      <c r="J73" s="13">
        <f>Drivers!I559</f>
        <v>32384848.462312493</v>
      </c>
      <c r="K73" s="13">
        <f>Drivers!J559</f>
        <v>47249166.786832504</v>
      </c>
      <c r="L73" s="13">
        <f>Drivers!K559</f>
        <v>67055445.698669523</v>
      </c>
      <c r="M73" s="13">
        <f>Drivers!L559</f>
        <v>74626221.825938657</v>
      </c>
      <c r="N73" s="13"/>
      <c r="O73" s="13"/>
      <c r="P73" s="13">
        <v>24869883</v>
      </c>
      <c r="Q73" s="27">
        <v>33262957</v>
      </c>
      <c r="R73" s="27">
        <v>61400967</v>
      </c>
    </row>
    <row r="74" spans="2:18" ht="15" thickBot="1" x14ac:dyDescent="0.35">
      <c r="B74" s="3" t="s">
        <v>59</v>
      </c>
      <c r="C74" s="36">
        <v>1046953950</v>
      </c>
      <c r="D74" s="36">
        <v>1199315407</v>
      </c>
      <c r="E74" s="36">
        <v>1272927883</v>
      </c>
      <c r="F74" s="36">
        <v>1601547444</v>
      </c>
      <c r="G74" s="36">
        <v>1813938616</v>
      </c>
      <c r="H74" s="254"/>
      <c r="I74" s="36">
        <v>2286581330</v>
      </c>
      <c r="J74" s="49">
        <f>SUM(J64:J73)</f>
        <v>2427825352.0484829</v>
      </c>
      <c r="K74" s="49">
        <f t="shared" ref="K74:M74" si="22">SUM(K64:K73)</f>
        <v>2693028947.6709824</v>
      </c>
      <c r="L74" s="49">
        <f t="shared" si="22"/>
        <v>3084176309.646914</v>
      </c>
      <c r="M74" s="49">
        <f t="shared" si="22"/>
        <v>3455021133.700129</v>
      </c>
      <c r="N74" s="13"/>
      <c r="O74" s="13"/>
      <c r="P74" s="18">
        <v>2307486128</v>
      </c>
      <c r="Q74" s="36">
        <v>2252552712</v>
      </c>
      <c r="R74" s="36">
        <v>2286581330</v>
      </c>
    </row>
    <row r="75" spans="2:18" ht="15" thickTop="1" x14ac:dyDescent="0.3">
      <c r="B75" s="3" t="s">
        <v>109</v>
      </c>
      <c r="J75" s="13"/>
      <c r="K75" s="13"/>
      <c r="L75" s="13"/>
      <c r="M75" s="13"/>
      <c r="N75" s="13"/>
      <c r="O75" s="13"/>
      <c r="P75" s="13"/>
      <c r="Q75" s="2"/>
      <c r="R75" s="2"/>
    </row>
    <row r="76" spans="2:18" x14ac:dyDescent="0.3">
      <c r="B76" s="4" t="s">
        <v>110</v>
      </c>
      <c r="C76" s="27">
        <v>37143541</v>
      </c>
      <c r="D76" s="27">
        <v>39147882</v>
      </c>
      <c r="E76" s="27">
        <v>40916958</v>
      </c>
      <c r="F76" s="27">
        <v>52187747</v>
      </c>
      <c r="G76" s="27">
        <v>54566957</v>
      </c>
      <c r="H76" s="241"/>
      <c r="I76" s="27">
        <v>58149621</v>
      </c>
      <c r="J76" s="13">
        <f>Drivers!I599</f>
        <v>62948003</v>
      </c>
      <c r="K76" s="13">
        <f>Drivers!J599</f>
        <v>69242803.300000012</v>
      </c>
      <c r="L76" s="13">
        <f>Drivers!K599</f>
        <v>72704943.465000018</v>
      </c>
      <c r="M76" s="13">
        <f>Drivers!L599</f>
        <v>76340190.638250023</v>
      </c>
      <c r="N76" s="13"/>
      <c r="O76" s="13"/>
      <c r="P76" s="13">
        <v>62948003</v>
      </c>
      <c r="Q76" s="27">
        <v>62891772</v>
      </c>
      <c r="R76" s="27">
        <v>58149621</v>
      </c>
    </row>
    <row r="77" spans="2:18" x14ac:dyDescent="0.3">
      <c r="B77" t="s">
        <v>60</v>
      </c>
      <c r="C77" s="27">
        <v>6492552</v>
      </c>
      <c r="D77" s="27">
        <v>7444178</v>
      </c>
      <c r="E77" s="27">
        <v>8387701</v>
      </c>
      <c r="F77" s="27">
        <v>9285233</v>
      </c>
      <c r="G77" s="27">
        <v>10590338</v>
      </c>
      <c r="H77" s="241"/>
      <c r="I77" s="27">
        <v>12079670</v>
      </c>
      <c r="J77" s="13">
        <f>Drivers!I609</f>
        <v>15112929.282412499</v>
      </c>
      <c r="K77" s="13">
        <f>Drivers!J609</f>
        <v>16537208.375391377</v>
      </c>
      <c r="L77" s="13">
        <f>Drivers!K609</f>
        <v>18775524.795627464</v>
      </c>
      <c r="M77" s="13">
        <f>Drivers!L609</f>
        <v>20895342.111262824</v>
      </c>
      <c r="N77" s="13"/>
      <c r="O77" s="13"/>
      <c r="P77" s="13">
        <v>12079670</v>
      </c>
      <c r="Q77" s="27">
        <v>12079670</v>
      </c>
      <c r="R77" s="27">
        <v>12079670</v>
      </c>
    </row>
    <row r="78" spans="2:18" x14ac:dyDescent="0.3">
      <c r="B78" t="s">
        <v>61</v>
      </c>
      <c r="C78" s="27">
        <v>5086609</v>
      </c>
      <c r="D78" s="27">
        <v>4949955</v>
      </c>
      <c r="E78" s="27">
        <v>5182185</v>
      </c>
      <c r="F78" s="27">
        <v>8124261</v>
      </c>
      <c r="G78" s="27">
        <v>9890762</v>
      </c>
      <c r="H78" s="241"/>
      <c r="I78" s="27">
        <v>6790304</v>
      </c>
      <c r="J78" s="13">
        <f>Drivers!I615</f>
        <v>15698891.770774985</v>
      </c>
      <c r="K78" s="13">
        <f>Drivers!J615</f>
        <v>26007128.5052104</v>
      </c>
      <c r="L78" s="13">
        <f>Drivers!K615</f>
        <v>35614354.678438142</v>
      </c>
      <c r="M78" s="13">
        <f>Drivers!L615</f>
        <v>45720540.333806194</v>
      </c>
      <c r="N78" s="13"/>
      <c r="O78" s="13"/>
      <c r="P78" s="13">
        <v>15470462</v>
      </c>
      <c r="Q78" s="27">
        <v>9216216</v>
      </c>
      <c r="R78" s="27">
        <v>6790304</v>
      </c>
    </row>
    <row r="79" spans="2:18" x14ac:dyDescent="0.3">
      <c r="B79" t="s">
        <v>62</v>
      </c>
      <c r="C79" s="27">
        <v>59272098</v>
      </c>
      <c r="D79" s="27">
        <v>67855834</v>
      </c>
      <c r="E79" s="27">
        <v>79937405</v>
      </c>
      <c r="F79" s="27">
        <v>89595571</v>
      </c>
      <c r="G79" s="27">
        <v>92426660</v>
      </c>
      <c r="H79" s="241"/>
      <c r="I79" s="27">
        <v>131845571</v>
      </c>
      <c r="J79" s="13">
        <f>Drivers!I631</f>
        <v>135804943.34256667</v>
      </c>
      <c r="K79" s="13">
        <f>Drivers!J631</f>
        <v>142247591.30158877</v>
      </c>
      <c r="L79" s="13">
        <f>Drivers!K631</f>
        <v>150482356.59292686</v>
      </c>
      <c r="M79" s="13">
        <f>Drivers!L631</f>
        <v>159144801.44038519</v>
      </c>
      <c r="N79" s="13"/>
      <c r="O79" s="13"/>
      <c r="P79" s="13">
        <v>123309743</v>
      </c>
      <c r="Q79" s="27">
        <v>121617007</v>
      </c>
      <c r="R79" s="27">
        <v>131845571</v>
      </c>
    </row>
    <row r="80" spans="2:18" x14ac:dyDescent="0.3">
      <c r="B80" s="3" t="s">
        <v>63</v>
      </c>
      <c r="C80" s="36">
        <v>107994800</v>
      </c>
      <c r="D80" s="36">
        <v>119397849</v>
      </c>
      <c r="E80" s="36">
        <v>134424249</v>
      </c>
      <c r="F80" s="36">
        <v>159192812</v>
      </c>
      <c r="G80" s="36">
        <v>167474717</v>
      </c>
      <c r="H80" s="241"/>
      <c r="I80" s="36">
        <v>208865166</v>
      </c>
      <c r="J80" s="49">
        <f>SUM(J76:J79)</f>
        <v>229564767.39575416</v>
      </c>
      <c r="K80" s="49">
        <f t="shared" ref="K80:M80" si="23">SUM(K76:K79)</f>
        <v>254034731.48219055</v>
      </c>
      <c r="L80" s="49">
        <f t="shared" si="23"/>
        <v>277577179.5319925</v>
      </c>
      <c r="M80" s="49">
        <f t="shared" si="23"/>
        <v>302100874.52370423</v>
      </c>
      <c r="N80" s="13"/>
      <c r="O80" s="13"/>
      <c r="P80" s="49">
        <v>213807878</v>
      </c>
      <c r="Q80" s="36">
        <v>205804665</v>
      </c>
      <c r="R80" s="36">
        <v>208865166</v>
      </c>
    </row>
    <row r="81" spans="2:18" x14ac:dyDescent="0.3">
      <c r="B81" t="s">
        <v>31</v>
      </c>
      <c r="C81" s="27">
        <v>871906</v>
      </c>
      <c r="D81" s="27">
        <v>1198981</v>
      </c>
      <c r="E81" s="27">
        <v>1589234</v>
      </c>
      <c r="F81" s="27">
        <v>1755897</v>
      </c>
      <c r="G81" s="27">
        <v>2077811</v>
      </c>
      <c r="H81" s="241"/>
      <c r="I81" s="27">
        <v>4107408</v>
      </c>
      <c r="J81" s="13">
        <f>I81+J32</f>
        <v>4932277.2380347205</v>
      </c>
      <c r="K81" s="13">
        <f t="shared" ref="K81:M81" si="24">J81+K32</f>
        <v>6006051.897871743</v>
      </c>
      <c r="L81" s="13">
        <f t="shared" si="24"/>
        <v>7149769.2994464748</v>
      </c>
      <c r="M81" s="13">
        <f t="shared" si="24"/>
        <v>8352886.6393712433</v>
      </c>
      <c r="N81" s="13"/>
      <c r="O81" s="13"/>
      <c r="P81" s="13">
        <v>4217644</v>
      </c>
      <c r="Q81" s="27">
        <v>3810820</v>
      </c>
      <c r="R81" s="27">
        <v>4107408</v>
      </c>
    </row>
    <row r="82" spans="2:18" x14ac:dyDescent="0.3">
      <c r="B82" s="3" t="s">
        <v>64</v>
      </c>
      <c r="C82" s="26">
        <v>108866706</v>
      </c>
      <c r="D82" s="36">
        <v>120596830</v>
      </c>
      <c r="E82" s="36">
        <v>136013483</v>
      </c>
      <c r="F82" s="36">
        <v>160948709</v>
      </c>
      <c r="G82" s="36">
        <v>169552528</v>
      </c>
      <c r="H82" s="241"/>
      <c r="I82" s="36">
        <v>212972574</v>
      </c>
      <c r="J82" s="49">
        <f>J80+J81</f>
        <v>234497044.63378888</v>
      </c>
      <c r="K82" s="49">
        <f t="shared" ref="K82:M82" si="25">K80+K81</f>
        <v>260040783.38006228</v>
      </c>
      <c r="L82" s="49">
        <f t="shared" si="25"/>
        <v>284726948.83143896</v>
      </c>
      <c r="M82" s="49">
        <f t="shared" si="25"/>
        <v>310453761.16307545</v>
      </c>
      <c r="N82" s="13"/>
      <c r="O82" s="13"/>
      <c r="P82" s="49">
        <v>218025522</v>
      </c>
      <c r="Q82" s="36">
        <v>209615485</v>
      </c>
      <c r="R82" s="36">
        <v>212972574</v>
      </c>
    </row>
    <row r="83" spans="2:18" ht="15" thickBot="1" x14ac:dyDescent="0.35">
      <c r="B83" s="3" t="s">
        <v>65</v>
      </c>
      <c r="C83" s="29">
        <v>1155820656</v>
      </c>
      <c r="D83" s="29">
        <v>1319912237</v>
      </c>
      <c r="E83" s="29">
        <v>1408941366</v>
      </c>
      <c r="F83" s="29">
        <v>1762496153</v>
      </c>
      <c r="G83" s="29">
        <v>1983491144</v>
      </c>
      <c r="H83" s="241"/>
      <c r="I83" s="29">
        <v>2499553904</v>
      </c>
      <c r="J83" s="18">
        <f>J74+J82</f>
        <v>2662322396.682272</v>
      </c>
      <c r="K83" s="18">
        <f t="shared" ref="K83:M83" si="26">K74+K82</f>
        <v>2953069731.0510445</v>
      </c>
      <c r="L83" s="18">
        <f t="shared" si="26"/>
        <v>3368903258.478353</v>
      </c>
      <c r="M83" s="18">
        <f t="shared" si="26"/>
        <v>3765474894.8632045</v>
      </c>
      <c r="N83" s="13"/>
      <c r="O83" s="13"/>
      <c r="P83" s="18">
        <v>2525511650</v>
      </c>
      <c r="Q83" s="29">
        <v>2462168197</v>
      </c>
      <c r="R83" s="29">
        <v>2499553904</v>
      </c>
    </row>
    <row r="84" spans="2:18" ht="15" thickTop="1" x14ac:dyDescent="0.3">
      <c r="B84" t="s">
        <v>66</v>
      </c>
      <c r="C84" s="27">
        <v>565277821</v>
      </c>
      <c r="D84" s="27">
        <v>658860264</v>
      </c>
      <c r="E84" s="27">
        <v>580961807</v>
      </c>
      <c r="F84" s="27">
        <v>730561685</v>
      </c>
      <c r="G84" s="27">
        <v>685379028</v>
      </c>
      <c r="H84" s="241"/>
      <c r="I84" s="27">
        <v>555531537</v>
      </c>
      <c r="J84" s="13"/>
      <c r="K84" s="13"/>
      <c r="L84" s="13"/>
      <c r="M84" s="13"/>
      <c r="N84" s="13"/>
      <c r="O84" s="13"/>
      <c r="P84" s="13"/>
      <c r="Q84" s="27">
        <v>605333607</v>
      </c>
      <c r="R84" s="27">
        <v>555531537</v>
      </c>
    </row>
    <row r="85" spans="2:18" x14ac:dyDescent="0.3">
      <c r="B85" s="3" t="s">
        <v>67</v>
      </c>
      <c r="C85" s="30">
        <v>108.44</v>
      </c>
      <c r="D85" s="30">
        <v>118.13</v>
      </c>
      <c r="E85" s="30">
        <v>130.83000000000001</v>
      </c>
      <c r="F85" s="30">
        <v>136.41999999999999</v>
      </c>
      <c r="G85" s="30">
        <v>140.24</v>
      </c>
      <c r="H85" s="241"/>
      <c r="I85" s="30">
        <v>168.47</v>
      </c>
      <c r="J85" s="101">
        <f>Drivers!I595</f>
        <v>174.6907210487785</v>
      </c>
      <c r="K85" s="101">
        <f>Drivers!J595</f>
        <v>193.31150384045156</v>
      </c>
      <c r="L85" s="101">
        <f>Drivers!K595</f>
        <v>211.22647952129455</v>
      </c>
      <c r="M85" s="101">
        <f>Drivers!L595</f>
        <v>229.8881496437703</v>
      </c>
      <c r="N85" s="13"/>
      <c r="O85" s="13"/>
      <c r="P85" s="101">
        <v>162.69999999999999</v>
      </c>
      <c r="Q85" s="55">
        <v>156.68</v>
      </c>
      <c r="R85" s="55">
        <v>168.47</v>
      </c>
    </row>
    <row r="86" spans="2:18" s="21" customFormat="1" x14ac:dyDescent="0.3">
      <c r="B86" s="21" t="s">
        <v>129</v>
      </c>
      <c r="C86" s="22"/>
      <c r="D86" s="22"/>
      <c r="E86" s="22"/>
      <c r="F86" s="22"/>
      <c r="G86" s="22"/>
      <c r="H86" s="22"/>
      <c r="I86" s="22"/>
      <c r="J86" s="50"/>
      <c r="K86" s="50"/>
      <c r="L86" s="50"/>
      <c r="M86" s="50"/>
      <c r="N86" s="50"/>
      <c r="O86" s="50"/>
      <c r="P86" s="50"/>
      <c r="Q86" s="50"/>
      <c r="R86" s="50"/>
    </row>
    <row r="87" spans="2:18" s="21" customFormat="1" x14ac:dyDescent="0.3">
      <c r="B87" s="21" t="s">
        <v>128</v>
      </c>
      <c r="C87" s="32">
        <v>4982</v>
      </c>
      <c r="D87" s="32">
        <v>5027</v>
      </c>
      <c r="E87" s="32">
        <v>5062</v>
      </c>
      <c r="F87" s="32">
        <v>5057</v>
      </c>
      <c r="G87" s="32">
        <v>5072</v>
      </c>
      <c r="H87" s="255"/>
      <c r="I87" s="32">
        <v>5121</v>
      </c>
      <c r="J87" s="50">
        <f>I87*1.01</f>
        <v>5172.21</v>
      </c>
      <c r="K87" s="50">
        <f t="shared" ref="K87:M87" si="27">J87*1.01</f>
        <v>5223.9321</v>
      </c>
      <c r="L87" s="50">
        <f t="shared" si="27"/>
        <v>5276.171421</v>
      </c>
      <c r="M87" s="50">
        <f t="shared" si="27"/>
        <v>5328.9331352099998</v>
      </c>
      <c r="N87" s="50"/>
      <c r="O87" s="50"/>
      <c r="P87" s="232"/>
      <c r="Q87" s="50"/>
      <c r="R87" s="50"/>
    </row>
    <row r="88" spans="2:18" s="21" customFormat="1" x14ac:dyDescent="0.3">
      <c r="B88" s="21" t="s">
        <v>68</v>
      </c>
      <c r="C88" s="32">
        <v>280</v>
      </c>
      <c r="D88" s="32">
        <v>285</v>
      </c>
      <c r="E88" s="32">
        <v>287</v>
      </c>
      <c r="F88" s="32">
        <v>287</v>
      </c>
      <c r="G88" s="32">
        <v>287</v>
      </c>
      <c r="H88" s="255"/>
      <c r="I88" s="32">
        <v>289</v>
      </c>
      <c r="J88" s="50">
        <f>I88*1.005</f>
        <v>290.44499999999999</v>
      </c>
      <c r="K88" s="50">
        <f t="shared" ref="K88:M88" si="28">J88*1.005</f>
        <v>291.89722499999993</v>
      </c>
      <c r="L88" s="50">
        <f t="shared" si="28"/>
        <v>293.35671112499989</v>
      </c>
      <c r="M88" s="50">
        <f t="shared" si="28"/>
        <v>294.82349468062483</v>
      </c>
      <c r="N88" s="50"/>
      <c r="O88" s="50"/>
      <c r="P88" s="50"/>
      <c r="Q88" s="50"/>
      <c r="R88" s="50"/>
    </row>
    <row r="89" spans="2:18" x14ac:dyDescent="0.3"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2:18" s="33" customFormat="1" x14ac:dyDescent="0.3">
      <c r="B90" s="33" t="s">
        <v>177</v>
      </c>
      <c r="C90" s="34">
        <f t="shared" ref="C90:G90" si="29">SUM(C45:C61)-SUM(C64:C73)-SUM(C76:C79)-C81</f>
        <v>0</v>
      </c>
      <c r="D90" s="34">
        <f t="shared" si="29"/>
        <v>0</v>
      </c>
      <c r="E90" s="34">
        <f t="shared" si="29"/>
        <v>0</v>
      </c>
      <c r="F90" s="34">
        <f t="shared" si="29"/>
        <v>0</v>
      </c>
      <c r="G90" s="34">
        <f t="shared" si="29"/>
        <v>0</v>
      </c>
      <c r="H90" s="34"/>
      <c r="I90" s="34">
        <f>SUM(I45:I61)-SUM(I64:I73)-SUM(I76:I79)-I81</f>
        <v>0</v>
      </c>
      <c r="J90" s="46"/>
      <c r="K90" s="46"/>
      <c r="L90" s="46"/>
      <c r="M90" s="46"/>
      <c r="N90" s="46"/>
      <c r="O90" s="46"/>
      <c r="P90" s="46"/>
      <c r="Q90" s="34">
        <f t="shared" ref="Q90:R90" si="30">SUM(Q45:Q61)-SUM(Q64:Q73)-SUM(Q76:Q79)-Q81</f>
        <v>0</v>
      </c>
      <c r="R90" s="34">
        <f t="shared" si="30"/>
        <v>0</v>
      </c>
    </row>
    <row r="91" spans="2:18" x14ac:dyDescent="0.3">
      <c r="J91" s="13"/>
      <c r="K91" s="13"/>
      <c r="L91" s="13"/>
      <c r="M91" s="13"/>
      <c r="N91" s="13"/>
      <c r="O91" s="13"/>
      <c r="P91" s="13"/>
      <c r="Q91" s="13"/>
      <c r="R91" s="13"/>
    </row>
    <row r="92" spans="2:18" x14ac:dyDescent="0.3">
      <c r="B92" t="s">
        <v>419</v>
      </c>
      <c r="C92" s="96">
        <f t="shared" ref="C92:E92" si="31">C45/C62</f>
        <v>2.9998965514248431E-2</v>
      </c>
      <c r="D92" s="96">
        <f t="shared" si="31"/>
        <v>3.3605235830539544E-2</v>
      </c>
      <c r="E92" s="96">
        <f t="shared" si="31"/>
        <v>3.8100320776585109E-2</v>
      </c>
      <c r="F92" s="96">
        <f t="shared" ref="F92:G92" si="32">F45/F62</f>
        <v>2.9080931559911326E-2</v>
      </c>
      <c r="G92" s="96">
        <f t="shared" si="32"/>
        <v>3.4956233210184678E-2</v>
      </c>
      <c r="H92" s="256"/>
      <c r="I92" s="96">
        <f>I45/I62</f>
        <v>6.0454583419137981E-2</v>
      </c>
      <c r="J92" s="96">
        <f t="shared" ref="J92:M92" si="33">J45/J62</f>
        <v>3.9783431257939733E-2</v>
      </c>
      <c r="K92" s="96">
        <f t="shared" si="33"/>
        <v>3.7144427211926144E-2</v>
      </c>
      <c r="L92" s="96">
        <f t="shared" si="33"/>
        <v>4.7221240655585597E-2</v>
      </c>
      <c r="M92" s="96">
        <f t="shared" si="33"/>
        <v>4.4651352667251863E-2</v>
      </c>
      <c r="N92" s="13"/>
      <c r="O92" s="13"/>
      <c r="P92" s="96">
        <f t="shared" ref="P92" si="34">P45/P62</f>
        <v>4.5344530483555676E-2</v>
      </c>
      <c r="Q92" s="13"/>
      <c r="R92" s="13"/>
    </row>
    <row r="93" spans="2:18" x14ac:dyDescent="0.3">
      <c r="H93" s="256"/>
      <c r="I93" s="96">
        <f>((I88/E88)^(1/3))-1</f>
        <v>2.3175053914445964E-3</v>
      </c>
      <c r="J93" s="13"/>
      <c r="K93" s="13"/>
      <c r="L93" s="13"/>
      <c r="M93" s="13"/>
      <c r="N93" s="13"/>
      <c r="O93" s="13"/>
      <c r="P93" s="13"/>
      <c r="Q93" s="13"/>
      <c r="R93" s="13"/>
    </row>
    <row r="94" spans="2:18" s="8" customFormat="1" x14ac:dyDescent="0.3">
      <c r="B94" s="11" t="s">
        <v>123</v>
      </c>
      <c r="C94" s="12"/>
      <c r="D94" s="12"/>
      <c r="E94" s="12"/>
      <c r="F94" s="12"/>
      <c r="G94" s="12"/>
      <c r="H94" s="12"/>
      <c r="I94" s="12"/>
      <c r="J94" s="48"/>
      <c r="K94" s="48"/>
      <c r="L94" s="48"/>
      <c r="M94" s="48"/>
      <c r="N94" s="48"/>
      <c r="O94" s="48"/>
      <c r="P94" s="48"/>
      <c r="Q94" s="48"/>
      <c r="R94" s="48"/>
    </row>
    <row r="95" spans="2:18" x14ac:dyDescent="0.3">
      <c r="J95" s="13"/>
      <c r="K95" s="13"/>
      <c r="L95" s="13"/>
      <c r="M95" s="13"/>
      <c r="N95" s="13"/>
      <c r="O95" s="13"/>
      <c r="P95" s="13"/>
      <c r="Q95" s="13"/>
      <c r="R95" s="13"/>
    </row>
    <row r="96" spans="2:18" x14ac:dyDescent="0.3">
      <c r="B96" t="s">
        <v>70</v>
      </c>
      <c r="C96" s="27">
        <v>23280324</v>
      </c>
      <c r="D96" s="27">
        <v>26098548</v>
      </c>
      <c r="E96" s="27">
        <v>22983896</v>
      </c>
      <c r="F96" s="27">
        <v>24519860</v>
      </c>
      <c r="G96" s="27">
        <v>32957324</v>
      </c>
      <c r="H96" s="241"/>
      <c r="I96" s="27">
        <v>24505038</v>
      </c>
      <c r="J96" s="13"/>
      <c r="K96" s="13"/>
      <c r="L96" s="13"/>
      <c r="M96" s="13"/>
      <c r="N96" s="13"/>
      <c r="O96" s="13"/>
      <c r="P96" s="13"/>
      <c r="Q96" s="13"/>
      <c r="R96" s="13"/>
    </row>
    <row r="97" spans="2:18" x14ac:dyDescent="0.3">
      <c r="B97" t="s">
        <v>112</v>
      </c>
      <c r="H97" s="241"/>
      <c r="J97" s="13"/>
      <c r="K97" s="13"/>
      <c r="L97" s="13"/>
      <c r="M97" s="13"/>
      <c r="N97" s="13"/>
      <c r="O97" s="13"/>
      <c r="P97" s="13"/>
      <c r="Q97" s="13"/>
      <c r="R97" s="13"/>
    </row>
    <row r="98" spans="2:18" x14ac:dyDescent="0.3">
      <c r="B98" t="s">
        <v>111</v>
      </c>
      <c r="C98" s="27">
        <v>1078540</v>
      </c>
      <c r="D98" s="27">
        <v>12380685</v>
      </c>
      <c r="E98" s="27">
        <v>14014272</v>
      </c>
      <c r="F98" s="27">
        <v>24764927</v>
      </c>
      <c r="G98" s="27">
        <v>30473593</v>
      </c>
      <c r="H98" s="241"/>
      <c r="I98" s="27">
        <v>91299070</v>
      </c>
      <c r="J98" s="13"/>
      <c r="K98" s="13"/>
      <c r="L98" s="13"/>
      <c r="M98" s="13"/>
      <c r="N98" s="13"/>
      <c r="O98" s="13"/>
      <c r="P98" s="13"/>
      <c r="Q98" s="13"/>
      <c r="R98" s="13"/>
    </row>
    <row r="99" spans="2:18" x14ac:dyDescent="0.3">
      <c r="B99" t="s">
        <v>71</v>
      </c>
      <c r="C99" s="27">
        <v>-125489870</v>
      </c>
      <c r="D99" s="27">
        <v>-169379105</v>
      </c>
      <c r="E99" s="27">
        <v>-84218375</v>
      </c>
      <c r="F99" s="27">
        <v>-374761711</v>
      </c>
      <c r="G99" s="27">
        <v>-230261220</v>
      </c>
      <c r="H99" s="241"/>
      <c r="I99" s="27">
        <v>-463345077</v>
      </c>
      <c r="J99" s="13"/>
      <c r="K99" s="13"/>
      <c r="L99" s="13"/>
      <c r="M99" s="13"/>
      <c r="N99" s="13"/>
      <c r="O99" s="13"/>
      <c r="P99" s="13"/>
      <c r="Q99" s="13"/>
      <c r="R99" s="13"/>
    </row>
    <row r="100" spans="2:18" x14ac:dyDescent="0.3">
      <c r="B100" t="s">
        <v>72</v>
      </c>
      <c r="C100" s="27">
        <v>100265879</v>
      </c>
      <c r="D100" s="27">
        <v>138876499</v>
      </c>
      <c r="E100" s="27">
        <v>69879669</v>
      </c>
      <c r="F100" s="27">
        <v>325708382</v>
      </c>
      <c r="G100" s="27">
        <v>208070200</v>
      </c>
      <c r="H100" s="241"/>
      <c r="I100" s="27">
        <v>430778836</v>
      </c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2:18" x14ac:dyDescent="0.3">
      <c r="B101" t="s">
        <v>73</v>
      </c>
      <c r="C101" s="27">
        <v>18774</v>
      </c>
      <c r="D101" s="27">
        <v>-9311</v>
      </c>
      <c r="E101" s="27">
        <v>-19731</v>
      </c>
      <c r="F101" s="27">
        <v>-5820</v>
      </c>
      <c r="G101" s="27">
        <v>-4054</v>
      </c>
      <c r="H101" s="241"/>
      <c r="I101" s="27">
        <v>-20118</v>
      </c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2:18" x14ac:dyDescent="0.3">
      <c r="B102" t="s">
        <v>74</v>
      </c>
      <c r="C102" s="27">
        <v>-3678</v>
      </c>
      <c r="D102" s="27">
        <v>-6048</v>
      </c>
      <c r="E102" s="27">
        <v>-9992</v>
      </c>
      <c r="F102" s="27">
        <v>-3898</v>
      </c>
      <c r="G102" s="27">
        <v>-1896</v>
      </c>
      <c r="H102" s="241"/>
      <c r="I102" s="27">
        <v>3727</v>
      </c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2:18" x14ac:dyDescent="0.3">
      <c r="B103" t="s">
        <v>75</v>
      </c>
      <c r="C103" s="27">
        <v>0</v>
      </c>
      <c r="D103" s="27">
        <v>0</v>
      </c>
      <c r="E103" s="27">
        <v>0</v>
      </c>
      <c r="F103" s="27">
        <v>0</v>
      </c>
      <c r="G103" s="27">
        <v>0</v>
      </c>
      <c r="H103" s="247"/>
      <c r="I103" s="27">
        <v>0</v>
      </c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2:18" x14ac:dyDescent="0.3">
      <c r="B104" t="s">
        <v>76</v>
      </c>
      <c r="C104" s="27">
        <v>2377694</v>
      </c>
      <c r="D104" s="27">
        <v>3105553</v>
      </c>
      <c r="E104" s="27">
        <v>3848979</v>
      </c>
      <c r="F104" s="27">
        <v>3756921</v>
      </c>
      <c r="G104" s="27">
        <v>3398554</v>
      </c>
      <c r="H104" s="241"/>
      <c r="I104" s="27">
        <v>4843571</v>
      </c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2:18" x14ac:dyDescent="0.3">
      <c r="B105" t="s">
        <v>77</v>
      </c>
      <c r="C105" s="27">
        <v>-503140</v>
      </c>
      <c r="D105" s="27">
        <v>3003952</v>
      </c>
      <c r="E105" s="27">
        <v>-396201</v>
      </c>
      <c r="F105" s="27">
        <v>596723</v>
      </c>
      <c r="G105" s="27">
        <v>1278891</v>
      </c>
      <c r="H105" s="241"/>
      <c r="I105" s="27">
        <v>18347815</v>
      </c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2:18" x14ac:dyDescent="0.3">
      <c r="B106" t="s">
        <v>78</v>
      </c>
      <c r="C106" s="27">
        <v>-184464</v>
      </c>
      <c r="D106" s="27">
        <v>-382409</v>
      </c>
      <c r="E106" s="27">
        <v>-198799</v>
      </c>
      <c r="F106" s="27">
        <v>-673106</v>
      </c>
      <c r="G106" s="27">
        <v>-1116195</v>
      </c>
      <c r="H106" s="241"/>
      <c r="I106" s="27">
        <v>-780828</v>
      </c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2:18" x14ac:dyDescent="0.3">
      <c r="B107" t="s">
        <v>79</v>
      </c>
      <c r="C107" s="27">
        <v>-3810701</v>
      </c>
      <c r="D107" s="27">
        <v>-5971026</v>
      </c>
      <c r="E107" s="27">
        <v>-8301839</v>
      </c>
      <c r="F107" s="27">
        <v>-7748870</v>
      </c>
      <c r="G107" s="27">
        <v>-8963620</v>
      </c>
      <c r="H107" s="241"/>
      <c r="I107" s="27">
        <v>-11143271</v>
      </c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2:18" x14ac:dyDescent="0.3">
      <c r="B108" t="s">
        <v>80</v>
      </c>
      <c r="C108" s="27">
        <v>0</v>
      </c>
      <c r="D108" s="27">
        <v>0</v>
      </c>
      <c r="E108" s="27">
        <v>0</v>
      </c>
      <c r="F108" s="27">
        <v>0</v>
      </c>
      <c r="G108" s="27">
        <v>0</v>
      </c>
      <c r="H108" s="241"/>
      <c r="I108" s="27">
        <v>-5216574</v>
      </c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2:18" x14ac:dyDescent="0.3">
      <c r="B109" s="3" t="s">
        <v>81</v>
      </c>
      <c r="C109" s="27">
        <v>-2970642</v>
      </c>
      <c r="D109" s="27">
        <v>7717338</v>
      </c>
      <c r="E109" s="27">
        <v>17581879</v>
      </c>
      <c r="F109" s="27">
        <v>-3846592</v>
      </c>
      <c r="G109" s="27">
        <v>35831577</v>
      </c>
      <c r="H109" s="241"/>
      <c r="I109" s="27">
        <v>89272189</v>
      </c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2:18" x14ac:dyDescent="0.3">
      <c r="B110" s="3" t="s">
        <v>114</v>
      </c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2:18" x14ac:dyDescent="0.3">
      <c r="B111" t="s">
        <v>113</v>
      </c>
      <c r="C111" s="27">
        <v>-2163733</v>
      </c>
      <c r="D111" s="27">
        <v>-2079875</v>
      </c>
      <c r="E111" s="27">
        <v>-1372832</v>
      </c>
      <c r="F111" s="27">
        <v>-1159712</v>
      </c>
      <c r="G111" s="27">
        <v>-1034299</v>
      </c>
      <c r="H111" s="247"/>
      <c r="I111" s="27">
        <v>-3370339</v>
      </c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2:18" x14ac:dyDescent="0.3">
      <c r="B112" t="s">
        <v>82</v>
      </c>
      <c r="C112" s="27">
        <v>58032</v>
      </c>
      <c r="D112" s="27">
        <v>53314</v>
      </c>
      <c r="E112" s="27">
        <v>24189</v>
      </c>
      <c r="F112" s="27">
        <v>8901</v>
      </c>
      <c r="G112" s="27">
        <v>49463</v>
      </c>
      <c r="H112" s="241"/>
      <c r="I112" s="27">
        <v>47856</v>
      </c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2:18" x14ac:dyDescent="0.3">
      <c r="B113" t="s">
        <v>83</v>
      </c>
      <c r="C113" s="27">
        <v>-179751</v>
      </c>
      <c r="D113" s="27">
        <v>-697591</v>
      </c>
      <c r="E113" s="27">
        <v>-95031</v>
      </c>
      <c r="F113" s="27">
        <v>-300000</v>
      </c>
      <c r="G113" s="27">
        <v>-5607000</v>
      </c>
      <c r="H113" s="241"/>
      <c r="I113" s="27">
        <v>-1200000</v>
      </c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2:18" x14ac:dyDescent="0.3">
      <c r="B114" t="s">
        <v>84</v>
      </c>
      <c r="C114" s="27">
        <v>3530785</v>
      </c>
      <c r="D114" s="27">
        <v>2096712</v>
      </c>
      <c r="E114" s="27">
        <v>3428080</v>
      </c>
      <c r="F114" s="27">
        <v>2368509</v>
      </c>
      <c r="G114" s="27">
        <v>484800</v>
      </c>
      <c r="H114" s="241"/>
      <c r="I114" s="27">
        <v>952369</v>
      </c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2:18" x14ac:dyDescent="0.3">
      <c r="B115" t="s">
        <v>85</v>
      </c>
      <c r="C115" s="27">
        <v>-352329</v>
      </c>
      <c r="D115" s="27">
        <v>-406641</v>
      </c>
      <c r="E115" s="27">
        <v>-415088</v>
      </c>
      <c r="F115" s="27">
        <v>-460053</v>
      </c>
      <c r="G115" s="27">
        <v>-810454</v>
      </c>
      <c r="H115" s="241"/>
      <c r="I115" s="27">
        <v>-2224915</v>
      </c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2:18" x14ac:dyDescent="0.3">
      <c r="B116" t="s">
        <v>75</v>
      </c>
      <c r="C116" s="27">
        <v>4111</v>
      </c>
      <c r="E116" s="27">
        <v>0</v>
      </c>
      <c r="F116" s="27">
        <v>0</v>
      </c>
      <c r="G116" s="27">
        <v>0</v>
      </c>
      <c r="H116" s="27"/>
      <c r="I116" s="27">
        <v>0</v>
      </c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2:18" x14ac:dyDescent="0.3">
      <c r="B117" t="s">
        <v>104</v>
      </c>
      <c r="C117" s="27">
        <v>7803</v>
      </c>
      <c r="D117" s="27">
        <v>4962</v>
      </c>
      <c r="E117" s="27">
        <v>-70213</v>
      </c>
      <c r="F117" s="27">
        <v>-41</v>
      </c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2:18" x14ac:dyDescent="0.3">
      <c r="B118" s="3" t="s">
        <v>86</v>
      </c>
      <c r="C118" s="27">
        <v>904918</v>
      </c>
      <c r="D118" s="27">
        <v>-1029119</v>
      </c>
      <c r="E118" s="27">
        <v>1499105</v>
      </c>
      <c r="F118" s="27">
        <v>457604</v>
      </c>
      <c r="G118" s="27">
        <v>-6917490</v>
      </c>
      <c r="H118" s="241"/>
      <c r="I118" s="27">
        <v>-5795029</v>
      </c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2:18" x14ac:dyDescent="0.3">
      <c r="B119" s="3" t="s">
        <v>116</v>
      </c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2:18" x14ac:dyDescent="0.3">
      <c r="B120" t="s">
        <v>115</v>
      </c>
      <c r="C120" s="2">
        <f>10143872+386311</f>
        <v>10530183</v>
      </c>
      <c r="D120" s="27">
        <v>203083</v>
      </c>
      <c r="E120" s="27">
        <v>30128</v>
      </c>
      <c r="F120" s="27">
        <v>0</v>
      </c>
      <c r="G120" s="27">
        <v>40866</v>
      </c>
      <c r="H120" s="27"/>
      <c r="I120" s="27">
        <v>0</v>
      </c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2:18" x14ac:dyDescent="0.3">
      <c r="B121" t="s">
        <v>87</v>
      </c>
      <c r="C121" s="27">
        <v>0</v>
      </c>
      <c r="D121" s="27">
        <v>10000000</v>
      </c>
      <c r="E121" s="27">
        <v>0</v>
      </c>
      <c r="F121" s="27">
        <v>9215775</v>
      </c>
      <c r="G121" s="27">
        <v>8595470</v>
      </c>
      <c r="H121" s="241"/>
      <c r="I121" s="27">
        <v>10000000</v>
      </c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2:18" x14ac:dyDescent="0.3">
      <c r="B122" t="s">
        <v>88</v>
      </c>
      <c r="C122" s="27">
        <v>0</v>
      </c>
      <c r="D122" s="27">
        <v>0</v>
      </c>
      <c r="E122" s="27">
        <v>0</v>
      </c>
      <c r="F122" s="27">
        <v>0</v>
      </c>
      <c r="G122" s="27">
        <v>-9502140</v>
      </c>
      <c r="H122" s="242"/>
      <c r="I122" s="27">
        <v>0</v>
      </c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2:18" x14ac:dyDescent="0.3">
      <c r="B123" t="s">
        <v>89</v>
      </c>
      <c r="C123" s="27">
        <v>-2362270</v>
      </c>
      <c r="D123" s="27">
        <v>-2496230</v>
      </c>
      <c r="E123" s="27">
        <v>-3873107</v>
      </c>
      <c r="F123" s="27">
        <v>-3802023</v>
      </c>
      <c r="G123" s="27">
        <v>-3422766</v>
      </c>
      <c r="H123" s="241"/>
      <c r="I123" s="27">
        <v>-4283280</v>
      </c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2:18" x14ac:dyDescent="0.3">
      <c r="B124" t="s">
        <v>90</v>
      </c>
      <c r="E124" s="27">
        <v>-1049004</v>
      </c>
      <c r="F124" s="27">
        <v>-1354902</v>
      </c>
      <c r="G124" s="27">
        <v>-1366628</v>
      </c>
      <c r="H124" s="241"/>
      <c r="I124" s="27">
        <v>-2055498</v>
      </c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2:18" x14ac:dyDescent="0.3">
      <c r="B125" t="s">
        <v>91</v>
      </c>
      <c r="C125" s="27">
        <v>-3690</v>
      </c>
      <c r="D125" s="27">
        <v>-4218</v>
      </c>
      <c r="E125" s="27">
        <v>-4988</v>
      </c>
      <c r="F125" s="27">
        <v>-15996</v>
      </c>
      <c r="G125" s="27">
        <v>-15168</v>
      </c>
      <c r="H125" s="241"/>
      <c r="I125" s="27">
        <v>-14365</v>
      </c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2:18" x14ac:dyDescent="0.3">
      <c r="B126" t="s">
        <v>92</v>
      </c>
      <c r="C126" s="27">
        <v>-4349302</v>
      </c>
      <c r="D126" s="27">
        <v>-4703903</v>
      </c>
      <c r="E126" s="27">
        <v>-4857563</v>
      </c>
      <c r="F126" s="27">
        <v>-3082420</v>
      </c>
      <c r="G126" s="27">
        <v>-5159000</v>
      </c>
      <c r="H126" s="241"/>
      <c r="I126" s="27">
        <v>-5343490</v>
      </c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2:18" x14ac:dyDescent="0.3">
      <c r="B127" s="3" t="s">
        <v>93</v>
      </c>
      <c r="C127" s="27">
        <v>3814921</v>
      </c>
      <c r="D127" s="27">
        <v>2998732</v>
      </c>
      <c r="E127" s="27">
        <v>-9754534</v>
      </c>
      <c r="F127" s="27">
        <v>960434</v>
      </c>
      <c r="G127" s="27">
        <v>-10829366</v>
      </c>
      <c r="H127" s="241"/>
      <c r="I127" s="27">
        <v>-1696633</v>
      </c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2:18" x14ac:dyDescent="0.3">
      <c r="B128" t="s">
        <v>94</v>
      </c>
      <c r="C128" s="27">
        <v>1749197</v>
      </c>
      <c r="D128" s="27">
        <v>9686951</v>
      </c>
      <c r="E128" s="27">
        <v>9326450</v>
      </c>
      <c r="F128" s="27">
        <v>-2428554</v>
      </c>
      <c r="G128" s="27">
        <v>18084721</v>
      </c>
      <c r="H128" s="241"/>
      <c r="I128" s="27">
        <v>81780527</v>
      </c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2:18" x14ac:dyDescent="0.3">
      <c r="B129" t="s">
        <v>95</v>
      </c>
      <c r="C129" s="27">
        <v>32924227</v>
      </c>
      <c r="D129" s="27">
        <v>34673424</v>
      </c>
      <c r="E129" s="27">
        <v>44360375</v>
      </c>
      <c r="F129" s="27">
        <v>53686825</v>
      </c>
      <c r="G129" s="27">
        <v>51258271</v>
      </c>
      <c r="H129" s="241"/>
      <c r="I129" s="27">
        <v>69342992</v>
      </c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2:18" x14ac:dyDescent="0.3">
      <c r="B130" t="s">
        <v>96</v>
      </c>
      <c r="C130" s="27">
        <v>34673424</v>
      </c>
      <c r="D130" s="27">
        <v>44360375</v>
      </c>
      <c r="E130" s="27">
        <v>53686825</v>
      </c>
      <c r="F130" s="27">
        <v>51258271</v>
      </c>
      <c r="G130" s="27">
        <v>69342992</v>
      </c>
      <c r="H130" s="241"/>
      <c r="I130" s="27">
        <v>151123519</v>
      </c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2:18" x14ac:dyDescent="0.3">
      <c r="B131" t="s">
        <v>97</v>
      </c>
      <c r="C131" s="27">
        <v>0</v>
      </c>
      <c r="D131" s="27">
        <v>-4413</v>
      </c>
      <c r="E131" s="27">
        <v>-5707</v>
      </c>
      <c r="F131" s="27">
        <v>-3241</v>
      </c>
      <c r="G131" s="27">
        <v>-7613</v>
      </c>
      <c r="H131" s="241"/>
      <c r="I131" s="27">
        <v>-14029</v>
      </c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2:18" x14ac:dyDescent="0.3">
      <c r="B132" s="3" t="s">
        <v>98</v>
      </c>
      <c r="C132" s="27">
        <v>34673424</v>
      </c>
      <c r="D132" s="27">
        <v>44355962</v>
      </c>
      <c r="E132" s="27">
        <v>53681118</v>
      </c>
      <c r="F132" s="27">
        <v>51255030</v>
      </c>
      <c r="G132" s="27">
        <v>69335379</v>
      </c>
      <c r="H132" s="241"/>
      <c r="I132" s="27">
        <v>151109490</v>
      </c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2:18" x14ac:dyDescent="0.3"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2:18" x14ac:dyDescent="0.3"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2:18" x14ac:dyDescent="0.3"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2:18" x14ac:dyDescent="0.3">
      <c r="J136" s="13"/>
      <c r="K136" s="13"/>
      <c r="L136" s="13"/>
      <c r="M136" s="13"/>
      <c r="N136" s="13"/>
      <c r="O136" s="13"/>
      <c r="P136" s="13"/>
      <c r="Q136" s="13"/>
      <c r="R136" s="13"/>
    </row>
  </sheetData>
  <conditionalFormatting sqref="J45:M45">
    <cfRule type="cellIs" dxfId="0" priority="1" operator="lessThan">
      <formula>0</formula>
    </cfRule>
  </conditionalFormatting>
  <pageMargins left="0.7" right="0.7" top="0.75" bottom="0.75" header="0.3" footer="0.3"/>
  <pageSetup paperSize="9" scale="65" orientation="landscape" r:id="rId1"/>
  <rowBreaks count="2" manualBreakCount="2">
    <brk id="41" max="16383" man="1"/>
    <brk id="93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3F11-D33E-4EB4-9F24-DC88297FBF59}">
  <dimension ref="A1:L121"/>
  <sheetViews>
    <sheetView topLeftCell="A30" workbookViewId="0">
      <selection activeCell="B95" sqref="B95"/>
    </sheetView>
  </sheetViews>
  <sheetFormatPr defaultRowHeight="14.4" x14ac:dyDescent="0.3"/>
  <cols>
    <col min="1" max="1" width="37.88671875" bestFit="1" customWidth="1"/>
    <col min="2" max="2" width="15.21875" bestFit="1" customWidth="1"/>
    <col min="3" max="6" width="14.109375" customWidth="1"/>
    <col min="11" max="11" width="14.6640625" bestFit="1" customWidth="1"/>
    <col min="12" max="12" width="12.6640625" bestFit="1" customWidth="1"/>
  </cols>
  <sheetData>
    <row r="1" spans="1:6" x14ac:dyDescent="0.3">
      <c r="A1" t="s">
        <v>439</v>
      </c>
      <c r="D1">
        <v>0</v>
      </c>
      <c r="E1">
        <v>1</v>
      </c>
      <c r="F1">
        <v>2</v>
      </c>
    </row>
    <row r="2" spans="1:6" x14ac:dyDescent="0.3">
      <c r="A2" s="111" t="s">
        <v>426</v>
      </c>
      <c r="C2" s="19" t="str">
        <f>FS!J4</f>
        <v>2023F</v>
      </c>
      <c r="D2" s="19" t="str">
        <f>FS!K4</f>
        <v>2024F</v>
      </c>
      <c r="E2" s="19" t="str">
        <f>FS!L4</f>
        <v>2025F</v>
      </c>
      <c r="F2" s="19" t="str">
        <f>FS!M4</f>
        <v>2026F</v>
      </c>
    </row>
    <row r="3" spans="1:6" x14ac:dyDescent="0.3">
      <c r="A3" s="2" t="s">
        <v>109</v>
      </c>
      <c r="C3" s="2">
        <f>FS!J80</f>
        <v>229564767.39575416</v>
      </c>
      <c r="D3" s="2">
        <f>FS!K80</f>
        <v>254034731.48219055</v>
      </c>
      <c r="E3" s="2">
        <f>FS!L80</f>
        <v>277577179.5319925</v>
      </c>
      <c r="F3" s="2">
        <f>FS!M80</f>
        <v>302100874.52370423</v>
      </c>
    </row>
    <row r="4" spans="1:6" x14ac:dyDescent="0.3">
      <c r="A4" s="2" t="s">
        <v>436</v>
      </c>
      <c r="C4" s="96">
        <f>FS!J30/FS!J82</f>
        <v>8.7940259473515844E-2</v>
      </c>
      <c r="D4" s="96">
        <f>FS!K30/FS!K82</f>
        <v>0.10323137066039065</v>
      </c>
      <c r="E4" s="96">
        <f>FS!L30/FS!L82</f>
        <v>0.10042229987964921</v>
      </c>
      <c r="F4" s="96">
        <f>FS!M30/FS!M82</f>
        <v>9.6883778716147839E-2</v>
      </c>
    </row>
    <row r="5" spans="1:6" x14ac:dyDescent="0.3">
      <c r="A5" s="2" t="s">
        <v>427</v>
      </c>
      <c r="C5" s="2">
        <f>FS!J31</f>
        <v>19796861.7128333</v>
      </c>
      <c r="D5" s="2">
        <f>FS!K31</f>
        <v>25770591.836088538</v>
      </c>
      <c r="E5" s="2">
        <f>FS!L31</f>
        <v>27449217.637793563</v>
      </c>
      <c r="F5" s="2">
        <f>FS!M31</f>
        <v>28874816.158194441</v>
      </c>
    </row>
    <row r="6" spans="1:6" x14ac:dyDescent="0.3">
      <c r="A6" s="2" t="s">
        <v>428</v>
      </c>
      <c r="C6" s="13">
        <f>C3*C4</f>
        <v>20187985.21075993</v>
      </c>
      <c r="D6" s="13">
        <f>D3*D4</f>
        <v>26224353.526250821</v>
      </c>
      <c r="E6" s="13">
        <f t="shared" ref="E6:F6" si="0">E3*E4</f>
        <v>27874938.762708977</v>
      </c>
      <c r="F6" s="13">
        <f t="shared" si="0"/>
        <v>29268674.277309306</v>
      </c>
    </row>
    <row r="7" spans="1:6" x14ac:dyDescent="0.3">
      <c r="A7" s="2" t="s">
        <v>426</v>
      </c>
      <c r="C7" s="13">
        <f>C5-C6</f>
        <v>-391123.49792663008</v>
      </c>
      <c r="D7" s="13">
        <f t="shared" ref="D7:F7" si="1">D5-D6</f>
        <v>-453761.69016228244</v>
      </c>
      <c r="E7" s="13">
        <f t="shared" si="1"/>
        <v>-425721.12491541356</v>
      </c>
      <c r="F7" s="13">
        <f t="shared" si="1"/>
        <v>-393858.11911486462</v>
      </c>
    </row>
    <row r="8" spans="1:6" x14ac:dyDescent="0.3">
      <c r="A8" s="2" t="s">
        <v>429</v>
      </c>
      <c r="F8" s="13">
        <f>(F7*(1+B32))/(B26-B32)</f>
        <v>-1505842.1035200839</v>
      </c>
    </row>
    <row r="9" spans="1:6" x14ac:dyDescent="0.3">
      <c r="A9" s="2" t="s">
        <v>430</v>
      </c>
      <c r="D9" s="113">
        <f>1/((1+$B$26)^D1)</f>
        <v>1</v>
      </c>
      <c r="E9" s="113">
        <f t="shared" ref="E9:F9" si="2">1/((1+$B$26)^E1)</f>
        <v>0.7695859627520395</v>
      </c>
      <c r="F9" s="113">
        <f t="shared" si="2"/>
        <v>0.59226255406498352</v>
      </c>
    </row>
    <row r="10" spans="1:6" x14ac:dyDescent="0.3">
      <c r="A10" s="2" t="s">
        <v>438</v>
      </c>
      <c r="D10" s="13">
        <f>D7*D9</f>
        <v>-453761.69016228244</v>
      </c>
      <c r="E10" s="13">
        <f t="shared" ref="E10" si="3">E7*E9</f>
        <v>-327629.00178190978</v>
      </c>
      <c r="F10" s="13">
        <f>(F7*F9)+(F8*F9)</f>
        <v>-1125121.3058155924</v>
      </c>
    </row>
    <row r="11" spans="1:6" x14ac:dyDescent="0.3">
      <c r="A11" s="2"/>
    </row>
    <row r="12" spans="1:6" x14ac:dyDescent="0.3">
      <c r="A12" s="121" t="s">
        <v>486</v>
      </c>
      <c r="B12" s="122" t="s">
        <v>487</v>
      </c>
    </row>
    <row r="13" spans="1:6" x14ac:dyDescent="0.3">
      <c r="A13" s="2" t="s">
        <v>482</v>
      </c>
      <c r="B13" s="118">
        <f>SUM(E10:F10)</f>
        <v>-1452750.3075975021</v>
      </c>
    </row>
    <row r="14" spans="1:6" x14ac:dyDescent="0.3">
      <c r="A14" s="2" t="s">
        <v>485</v>
      </c>
      <c r="B14" s="119">
        <f>Drivers!I586/1000</f>
        <v>1314121.128</v>
      </c>
    </row>
    <row r="15" spans="1:6" x14ac:dyDescent="0.3">
      <c r="A15" s="2" t="s">
        <v>484</v>
      </c>
      <c r="B15" s="120">
        <f>(B13)/B14</f>
        <v>-1.1054919342241198</v>
      </c>
    </row>
    <row r="16" spans="1:6" x14ac:dyDescent="0.3">
      <c r="A16" s="2" t="s">
        <v>514</v>
      </c>
      <c r="B16" s="120">
        <f>FS!P85</f>
        <v>162.69999999999999</v>
      </c>
    </row>
    <row r="17" spans="1:12" x14ac:dyDescent="0.3">
      <c r="A17" s="123" t="s">
        <v>483</v>
      </c>
      <c r="B17" s="124">
        <f>B15+B16</f>
        <v>161.59450806577587</v>
      </c>
    </row>
    <row r="18" spans="1:12" x14ac:dyDescent="0.3">
      <c r="A18" s="2"/>
    </row>
    <row r="21" spans="1:12" x14ac:dyDescent="0.3">
      <c r="J21" s="38"/>
    </row>
    <row r="22" spans="1:12" x14ac:dyDescent="0.3">
      <c r="A22" s="121" t="s">
        <v>431</v>
      </c>
      <c r="B22" s="121"/>
      <c r="J22" s="38"/>
    </row>
    <row r="23" spans="1:12" x14ac:dyDescent="0.3">
      <c r="A23" t="s">
        <v>488</v>
      </c>
      <c r="B23" s="108">
        <v>0.12</v>
      </c>
      <c r="J23" s="38"/>
    </row>
    <row r="24" spans="1:12" x14ac:dyDescent="0.3">
      <c r="A24" t="s">
        <v>489</v>
      </c>
      <c r="B24" s="112">
        <v>0.23</v>
      </c>
      <c r="J24" s="38"/>
    </row>
    <row r="25" spans="1:12" x14ac:dyDescent="0.3">
      <c r="A25" t="s">
        <v>432</v>
      </c>
      <c r="B25">
        <v>0.78</v>
      </c>
      <c r="J25" s="38"/>
      <c r="K25" s="38"/>
    </row>
    <row r="26" spans="1:12" x14ac:dyDescent="0.3">
      <c r="A26" s="125" t="s">
        <v>490</v>
      </c>
      <c r="B26" s="126">
        <f>B23+(B24*B25)</f>
        <v>0.2994</v>
      </c>
      <c r="K26" s="101"/>
      <c r="L26" s="101"/>
    </row>
    <row r="28" spans="1:12" x14ac:dyDescent="0.3">
      <c r="A28" t="s">
        <v>433</v>
      </c>
    </row>
    <row r="29" spans="1:12" x14ac:dyDescent="0.3">
      <c r="A29" t="s">
        <v>434</v>
      </c>
    </row>
    <row r="30" spans="1:12" x14ac:dyDescent="0.3">
      <c r="A30" t="s">
        <v>475</v>
      </c>
      <c r="B30" s="96">
        <f>FS!J30/FS!J82</f>
        <v>8.7940259473515844E-2</v>
      </c>
    </row>
    <row r="32" spans="1:12" x14ac:dyDescent="0.3">
      <c r="A32" t="s">
        <v>437</v>
      </c>
      <c r="B32" s="112">
        <v>0.03</v>
      </c>
    </row>
    <row r="37" spans="1:2" x14ac:dyDescent="0.3">
      <c r="A37" s="111" t="s">
        <v>440</v>
      </c>
    </row>
    <row r="45" spans="1:2" x14ac:dyDescent="0.3">
      <c r="A45" s="111" t="s">
        <v>492</v>
      </c>
      <c r="B45" s="111"/>
    </row>
    <row r="46" spans="1:2" x14ac:dyDescent="0.3">
      <c r="A46" t="s">
        <v>478</v>
      </c>
      <c r="B46" s="108">
        <f>D4</f>
        <v>0.10323137066039065</v>
      </c>
    </row>
    <row r="47" spans="1:2" x14ac:dyDescent="0.3">
      <c r="A47" t="s">
        <v>494</v>
      </c>
      <c r="B47" s="112">
        <f>B32</f>
        <v>0.03</v>
      </c>
    </row>
    <row r="48" spans="1:2" x14ac:dyDescent="0.3">
      <c r="A48" t="s">
        <v>495</v>
      </c>
      <c r="B48" s="117">
        <f>B26</f>
        <v>0.2994</v>
      </c>
    </row>
    <row r="49" spans="1:6" x14ac:dyDescent="0.3">
      <c r="A49" t="s">
        <v>491</v>
      </c>
      <c r="B49" s="116">
        <f>(B46-B47)/(B48-B47)</f>
        <v>0.27183136844985395</v>
      </c>
    </row>
    <row r="50" spans="1:6" x14ac:dyDescent="0.3">
      <c r="A50" t="s">
        <v>493</v>
      </c>
      <c r="B50" s="101">
        <f>Drivers!J591</f>
        <v>193.31150384045156</v>
      </c>
    </row>
    <row r="51" spans="1:6" x14ac:dyDescent="0.3">
      <c r="A51" s="125" t="s">
        <v>483</v>
      </c>
      <c r="B51" s="114">
        <f>B49*B50</f>
        <v>52.548130626049144</v>
      </c>
    </row>
    <row r="52" spans="1:6" x14ac:dyDescent="0.3">
      <c r="A52" t="s">
        <v>441</v>
      </c>
      <c r="B52" s="127">
        <f>AVERAGE(C71:C77)</f>
        <v>0.44728571428571423</v>
      </c>
    </row>
    <row r="53" spans="1:6" x14ac:dyDescent="0.3">
      <c r="A53" t="s">
        <v>476</v>
      </c>
      <c r="B53" s="101">
        <f>FS!P85</f>
        <v>162.69999999999999</v>
      </c>
    </row>
    <row r="54" spans="1:6" x14ac:dyDescent="0.3">
      <c r="B54" s="101"/>
    </row>
    <row r="55" spans="1:6" x14ac:dyDescent="0.3">
      <c r="B55" s="101"/>
    </row>
    <row r="57" spans="1:6" x14ac:dyDescent="0.3">
      <c r="A57" s="111" t="s">
        <v>496</v>
      </c>
      <c r="B57" s="111"/>
    </row>
    <row r="58" spans="1:6" x14ac:dyDescent="0.3">
      <c r="A58" t="s">
        <v>499</v>
      </c>
      <c r="B58" s="101">
        <f>AVERAGE(B71:B77)</f>
        <v>3.6592857142857143</v>
      </c>
    </row>
    <row r="59" spans="1:6" x14ac:dyDescent="0.3">
      <c r="A59" t="s">
        <v>498</v>
      </c>
      <c r="B59" s="101">
        <v>5</v>
      </c>
    </row>
    <row r="60" spans="1:6" x14ac:dyDescent="0.3">
      <c r="A60" t="s">
        <v>497</v>
      </c>
      <c r="B60" s="101">
        <f>FS!K34</f>
        <v>19.610514804909627</v>
      </c>
    </row>
    <row r="61" spans="1:6" x14ac:dyDescent="0.3">
      <c r="A61" s="125" t="s">
        <v>483</v>
      </c>
      <c r="B61" s="114">
        <f>B59*B60</f>
        <v>98.052574024548136</v>
      </c>
    </row>
    <row r="62" spans="1:6" x14ac:dyDescent="0.3">
      <c r="A62" t="s">
        <v>453</v>
      </c>
      <c r="B62" s="101">
        <f>(FS!J31*1000)/Drivers!I586</f>
        <v>15.064716098859725</v>
      </c>
    </row>
    <row r="63" spans="1:6" x14ac:dyDescent="0.3">
      <c r="A63" t="s">
        <v>442</v>
      </c>
      <c r="B63" s="101">
        <v>17.48</v>
      </c>
    </row>
    <row r="64" spans="1:6" x14ac:dyDescent="0.3">
      <c r="C64">
        <v>2022</v>
      </c>
      <c r="D64" t="s">
        <v>454</v>
      </c>
      <c r="E64" t="s">
        <v>455</v>
      </c>
      <c r="F64" t="s">
        <v>457</v>
      </c>
    </row>
    <row r="65" spans="1:6" x14ac:dyDescent="0.3">
      <c r="A65" t="s">
        <v>456</v>
      </c>
      <c r="C65">
        <f>FS!I31</f>
        <v>23811914</v>
      </c>
      <c r="D65" s="38">
        <v>14199928</v>
      </c>
      <c r="E65" s="38">
        <v>15036726</v>
      </c>
      <c r="F65" s="38">
        <f>C65+D65-E65</f>
        <v>22975116</v>
      </c>
    </row>
    <row r="66" spans="1:6" x14ac:dyDescent="0.3">
      <c r="A66" t="s">
        <v>423</v>
      </c>
      <c r="F66">
        <f>F65*1000/Drivers!I586</f>
        <v>17.48325592707463</v>
      </c>
    </row>
    <row r="68" spans="1:6" x14ac:dyDescent="0.3">
      <c r="A68" t="s">
        <v>443</v>
      </c>
    </row>
    <row r="70" spans="1:6" x14ac:dyDescent="0.3">
      <c r="A70" s="111" t="s">
        <v>504</v>
      </c>
      <c r="B70" s="122" t="s">
        <v>451</v>
      </c>
      <c r="C70" s="122" t="s">
        <v>452</v>
      </c>
    </row>
    <row r="71" spans="1:6" x14ac:dyDescent="0.3">
      <c r="A71" t="s">
        <v>444</v>
      </c>
      <c r="B71" s="127">
        <v>4.1829999999999998</v>
      </c>
      <c r="C71" s="127">
        <v>0.45500000000000002</v>
      </c>
    </row>
    <row r="72" spans="1:6" x14ac:dyDescent="0.3">
      <c r="A72" t="s">
        <v>445</v>
      </c>
      <c r="B72" s="127">
        <v>4.3099999999999996</v>
      </c>
      <c r="C72" s="127">
        <v>0.54200000000000004</v>
      </c>
    </row>
    <row r="73" spans="1:6" x14ac:dyDescent="0.3">
      <c r="A73" t="s">
        <v>446</v>
      </c>
      <c r="B73" s="127">
        <v>2.9409999999999998</v>
      </c>
      <c r="C73" s="127">
        <v>0.48699999999999999</v>
      </c>
    </row>
    <row r="74" spans="1:6" x14ac:dyDescent="0.3">
      <c r="A74" t="s">
        <v>447</v>
      </c>
      <c r="B74" s="127">
        <v>3.327</v>
      </c>
      <c r="C74" s="127">
        <v>0.34100000000000003</v>
      </c>
    </row>
    <row r="75" spans="1:6" x14ac:dyDescent="0.3">
      <c r="A75" t="s">
        <v>448</v>
      </c>
      <c r="B75" s="127">
        <v>4.1029999999999998</v>
      </c>
      <c r="C75" s="127">
        <v>0.438</v>
      </c>
    </row>
    <row r="76" spans="1:6" x14ac:dyDescent="0.3">
      <c r="A76" t="s">
        <v>449</v>
      </c>
      <c r="B76" s="127">
        <v>3.7480000000000002</v>
      </c>
      <c r="C76" s="127">
        <v>0.48099999999999998</v>
      </c>
    </row>
    <row r="77" spans="1:6" x14ac:dyDescent="0.3">
      <c r="A77" t="s">
        <v>450</v>
      </c>
      <c r="B77" s="127">
        <v>3.0030000000000001</v>
      </c>
      <c r="C77" s="127">
        <v>0.38700000000000001</v>
      </c>
    </row>
    <row r="78" spans="1:6" x14ac:dyDescent="0.3">
      <c r="A78" s="125" t="s">
        <v>503</v>
      </c>
      <c r="B78" s="128">
        <f>AVERAGE(B71:B77)</f>
        <v>3.6592857142857143</v>
      </c>
      <c r="C78" s="128">
        <f>AVERAGE(C71:C77)</f>
        <v>0.44728571428571423</v>
      </c>
    </row>
    <row r="80" spans="1:6" x14ac:dyDescent="0.3">
      <c r="A80" t="s">
        <v>470</v>
      </c>
      <c r="B80" t="s">
        <v>471</v>
      </c>
    </row>
    <row r="81" spans="1:4" x14ac:dyDescent="0.3">
      <c r="A81" t="s">
        <v>417</v>
      </c>
      <c r="B81">
        <f>FS!I36/FS!I35</f>
        <v>0.2342529932326913</v>
      </c>
    </row>
    <row r="82" spans="1:4" x14ac:dyDescent="0.3">
      <c r="A82" t="s">
        <v>472</v>
      </c>
      <c r="B82">
        <f>1-B81</f>
        <v>0.76574700676730867</v>
      </c>
    </row>
    <row r="83" spans="1:4" x14ac:dyDescent="0.3">
      <c r="A83" t="s">
        <v>467</v>
      </c>
    </row>
    <row r="84" spans="1:4" x14ac:dyDescent="0.3">
      <c r="A84" t="s">
        <v>468</v>
      </c>
    </row>
    <row r="85" spans="1:4" x14ac:dyDescent="0.3">
      <c r="A85" t="s">
        <v>473</v>
      </c>
      <c r="B85">
        <f>((1-B82)*(1+B47))/(B26-B32)</f>
        <v>0.89562206024377178</v>
      </c>
      <c r="D85" s="101"/>
    </row>
    <row r="87" spans="1:4" x14ac:dyDescent="0.3">
      <c r="A87" s="111" t="s">
        <v>479</v>
      </c>
      <c r="B87" s="111"/>
    </row>
    <row r="88" spans="1:4" x14ac:dyDescent="0.3">
      <c r="A88" t="s">
        <v>458</v>
      </c>
      <c r="B88" s="101">
        <f>B17</f>
        <v>161.59450806577587</v>
      </c>
    </row>
    <row r="89" spans="1:4" x14ac:dyDescent="0.3">
      <c r="A89" t="s">
        <v>469</v>
      </c>
      <c r="B89" s="101">
        <f>B51</f>
        <v>52.548130626049144</v>
      </c>
    </row>
    <row r="90" spans="1:4" x14ac:dyDescent="0.3">
      <c r="A90" t="s">
        <v>477</v>
      </c>
      <c r="B90" s="101">
        <f>B61</f>
        <v>98.052574024548136</v>
      </c>
    </row>
    <row r="91" spans="1:4" x14ac:dyDescent="0.3">
      <c r="A91" t="s">
        <v>474</v>
      </c>
      <c r="B91" s="101">
        <f>Drivers!J591</f>
        <v>193.31150384045156</v>
      </c>
      <c r="D91" s="101"/>
    </row>
    <row r="92" spans="1:4" x14ac:dyDescent="0.3">
      <c r="A92" t="s">
        <v>480</v>
      </c>
      <c r="B92" s="114">
        <f>AVERAGE(B88:B91)</f>
        <v>126.37667913920617</v>
      </c>
    </row>
    <row r="93" spans="1:4" x14ac:dyDescent="0.3">
      <c r="A93" t="s">
        <v>481</v>
      </c>
      <c r="B93" s="114">
        <f>B92*(1-B111)</f>
        <v>107.60586232919823</v>
      </c>
    </row>
    <row r="95" spans="1:4" x14ac:dyDescent="0.3">
      <c r="A95" t="s">
        <v>695</v>
      </c>
      <c r="B95" s="101">
        <f>FS!K36</f>
        <v>6.8636801817183679</v>
      </c>
    </row>
    <row r="97" spans="1:2" x14ac:dyDescent="0.3">
      <c r="A97" t="s">
        <v>462</v>
      </c>
      <c r="B97">
        <v>91</v>
      </c>
    </row>
    <row r="98" spans="1:2" x14ac:dyDescent="0.3">
      <c r="A98" t="s">
        <v>463</v>
      </c>
      <c r="B98" s="96">
        <f>(B92-B97)/B97</f>
        <v>0.38875471581545246</v>
      </c>
    </row>
    <row r="99" spans="1:2" x14ac:dyDescent="0.3">
      <c r="A99" t="s">
        <v>696</v>
      </c>
      <c r="B99" s="96">
        <f>B95/B97</f>
        <v>7.5425056941960084E-2</v>
      </c>
    </row>
    <row r="100" spans="1:2" x14ac:dyDescent="0.3">
      <c r="A100" t="s">
        <v>697</v>
      </c>
      <c r="B100" s="96">
        <f>B98+B99</f>
        <v>0.46417977275741251</v>
      </c>
    </row>
    <row r="102" spans="1:2" x14ac:dyDescent="0.3">
      <c r="A102" t="s">
        <v>464</v>
      </c>
      <c r="B102">
        <v>76.3</v>
      </c>
    </row>
    <row r="103" spans="1:2" x14ac:dyDescent="0.3">
      <c r="A103" t="s">
        <v>465</v>
      </c>
      <c r="B103" s="96">
        <f>(B93-B102)/B102</f>
        <v>0.41029963734204766</v>
      </c>
    </row>
    <row r="104" spans="1:2" x14ac:dyDescent="0.3">
      <c r="A104" t="s">
        <v>698</v>
      </c>
      <c r="B104" s="96">
        <f>B95/B102</f>
        <v>8.9956489930778094E-2</v>
      </c>
    </row>
    <row r="105" spans="1:2" x14ac:dyDescent="0.3">
      <c r="A105" t="s">
        <v>699</v>
      </c>
      <c r="B105" s="96">
        <f>B103+B104</f>
        <v>0.50025612727282576</v>
      </c>
    </row>
    <row r="108" spans="1:2" x14ac:dyDescent="0.3">
      <c r="A108" t="s">
        <v>459</v>
      </c>
    </row>
    <row r="109" spans="1:2" x14ac:dyDescent="0.3">
      <c r="A109" t="s">
        <v>460</v>
      </c>
      <c r="B109">
        <v>95.5</v>
      </c>
    </row>
    <row r="110" spans="1:2" x14ac:dyDescent="0.3">
      <c r="A110" t="s">
        <v>461</v>
      </c>
      <c r="B110">
        <v>80.400000000000006</v>
      </c>
    </row>
    <row r="111" spans="1:2" x14ac:dyDescent="0.3">
      <c r="A111" t="s">
        <v>459</v>
      </c>
      <c r="B111" s="96">
        <f>AVERAGE('Price volume'!AJ5:AJ1175)</f>
        <v>0.14853070153340198</v>
      </c>
    </row>
    <row r="115" spans="1:2" x14ac:dyDescent="0.3">
      <c r="A115" s="111" t="s">
        <v>500</v>
      </c>
      <c r="B115" s="111"/>
    </row>
    <row r="116" spans="1:2" x14ac:dyDescent="0.3">
      <c r="A116" t="s">
        <v>501</v>
      </c>
      <c r="B116" s="101">
        <f>B53</f>
        <v>162.69999999999999</v>
      </c>
    </row>
    <row r="117" spans="1:2" x14ac:dyDescent="0.3">
      <c r="A117" s="125" t="s">
        <v>502</v>
      </c>
      <c r="B117" s="114">
        <f>B91</f>
        <v>193.31150384045156</v>
      </c>
    </row>
    <row r="120" spans="1:2" x14ac:dyDescent="0.3">
      <c r="A120" t="s">
        <v>515</v>
      </c>
      <c r="B120" s="108">
        <v>0.1293</v>
      </c>
    </row>
    <row r="121" spans="1:2" x14ac:dyDescent="0.3">
      <c r="B121" s="136">
        <f>B120+5%</f>
        <v>0.17930000000000001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B582-14D1-4F06-A99C-667C602F1E9A}">
  <dimension ref="B2:U681"/>
  <sheetViews>
    <sheetView zoomScale="99" zoomScaleNormal="99" workbookViewId="0">
      <pane xSplit="2" ySplit="4" topLeftCell="E574" activePane="bottomRight" state="frozen"/>
      <selection activeCell="G59" sqref="G59"/>
      <selection pane="topRight" activeCell="G59" sqref="G59"/>
      <selection pane="bottomLeft" activeCell="G59" sqref="G59"/>
      <selection pane="bottomRight" activeCell="I595" sqref="I595"/>
    </sheetView>
  </sheetViews>
  <sheetFormatPr defaultRowHeight="14.4" x14ac:dyDescent="0.3"/>
  <cols>
    <col min="2" max="2" width="65.109375" bestFit="1" customWidth="1"/>
    <col min="3" max="8" width="14.21875" style="2" customWidth="1"/>
    <col min="9" max="12" width="14.88671875" customWidth="1"/>
    <col min="14" max="14" width="15.6640625" customWidth="1"/>
    <col min="15" max="15" width="16.33203125" customWidth="1"/>
    <col min="16" max="16" width="13.33203125" customWidth="1"/>
    <col min="17" max="18" width="12.109375" bestFit="1" customWidth="1"/>
  </cols>
  <sheetData>
    <row r="2" spans="2:21" x14ac:dyDescent="0.3">
      <c r="C2" s="13"/>
      <c r="D2" s="13"/>
      <c r="E2" s="13"/>
      <c r="F2" s="13"/>
      <c r="G2" s="13"/>
      <c r="H2" s="13"/>
    </row>
    <row r="3" spans="2:21" x14ac:dyDescent="0.3">
      <c r="B3" t="s">
        <v>69</v>
      </c>
      <c r="N3" t="s">
        <v>403</v>
      </c>
      <c r="P3" t="s">
        <v>391</v>
      </c>
      <c r="Q3" t="s">
        <v>390</v>
      </c>
    </row>
    <row r="4" spans="2:21" x14ac:dyDescent="0.3">
      <c r="B4" t="s">
        <v>117</v>
      </c>
      <c r="C4" s="5">
        <v>2017</v>
      </c>
      <c r="D4" s="5">
        <v>2018</v>
      </c>
      <c r="E4" s="5">
        <v>2019</v>
      </c>
      <c r="F4" s="5">
        <v>2020</v>
      </c>
      <c r="G4" s="5">
        <v>2021</v>
      </c>
      <c r="H4" s="5">
        <v>2022</v>
      </c>
      <c r="I4" s="92" t="s">
        <v>124</v>
      </c>
      <c r="J4" s="92" t="s">
        <v>125</v>
      </c>
      <c r="K4" s="92" t="s">
        <v>126</v>
      </c>
      <c r="L4" s="92" t="s">
        <v>127</v>
      </c>
      <c r="N4" s="91">
        <v>45192</v>
      </c>
      <c r="O4" s="97">
        <v>45100</v>
      </c>
      <c r="P4" s="95">
        <v>45078</v>
      </c>
    </row>
    <row r="5" spans="2:21" s="8" customFormat="1" x14ac:dyDescent="0.3">
      <c r="B5" s="11" t="s">
        <v>122</v>
      </c>
      <c r="C5" s="12"/>
      <c r="D5" s="12"/>
      <c r="E5" s="12"/>
      <c r="F5" s="12"/>
      <c r="G5" s="12"/>
      <c r="H5" s="12"/>
    </row>
    <row r="6" spans="2:21" x14ac:dyDescent="0.3">
      <c r="C6" s="56"/>
      <c r="D6" s="56"/>
      <c r="E6" s="56"/>
      <c r="F6" s="56"/>
      <c r="G6" s="56"/>
      <c r="H6" s="56"/>
      <c r="I6" s="57"/>
      <c r="J6" s="57"/>
      <c r="K6" s="57"/>
      <c r="L6" s="57"/>
      <c r="M6" s="40"/>
      <c r="N6" s="40"/>
      <c r="O6" s="40"/>
      <c r="P6" s="40"/>
      <c r="Q6" s="40"/>
      <c r="R6" s="40"/>
      <c r="S6" s="40"/>
      <c r="T6" s="40"/>
      <c r="U6" s="40"/>
    </row>
    <row r="7" spans="2:21" x14ac:dyDescent="0.3">
      <c r="B7" t="s">
        <v>8</v>
      </c>
      <c r="C7" s="27">
        <v>104049102</v>
      </c>
      <c r="D7" s="27">
        <v>118551239</v>
      </c>
      <c r="E7" s="27">
        <v>129287743</v>
      </c>
      <c r="F7" s="27">
        <v>124087713</v>
      </c>
      <c r="G7" s="27">
        <v>132818178</v>
      </c>
      <c r="H7" s="27">
        <v>222393079</v>
      </c>
      <c r="I7" s="57">
        <f>I13+SUM(I14:I19)</f>
        <v>305857340.25651371</v>
      </c>
      <c r="J7" s="57">
        <f t="shared" ref="J7:L7" si="0">J13+SUM(J14:J19)</f>
        <v>295139360.82759655</v>
      </c>
      <c r="K7" s="57">
        <f t="shared" si="0"/>
        <v>337849476.98441112</v>
      </c>
      <c r="L7" s="57">
        <f t="shared" si="0"/>
        <v>381754847.54438692</v>
      </c>
      <c r="M7" s="57"/>
      <c r="N7" s="57">
        <f>FS!P7/9*12</f>
        <v>299426685.33333331</v>
      </c>
      <c r="O7" s="57"/>
      <c r="P7" s="27">
        <v>150811644</v>
      </c>
      <c r="Q7" s="27">
        <v>88116673</v>
      </c>
      <c r="R7" s="57">
        <f t="shared" ref="R7" si="1">P7*2</f>
        <v>301623288</v>
      </c>
      <c r="S7" s="40"/>
      <c r="T7" s="40"/>
      <c r="U7" s="40"/>
    </row>
    <row r="8" spans="2:21" x14ac:dyDescent="0.3">
      <c r="C8" s="56"/>
      <c r="D8" s="56"/>
      <c r="E8" s="56"/>
      <c r="F8" s="56"/>
      <c r="G8" s="56"/>
      <c r="H8" s="56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</row>
    <row r="9" spans="2:21" x14ac:dyDescent="0.3">
      <c r="B9" t="s">
        <v>100</v>
      </c>
      <c r="C9" s="28">
        <v>362695</v>
      </c>
      <c r="D9" s="28">
        <v>411412</v>
      </c>
      <c r="E9" s="28">
        <v>1290697</v>
      </c>
      <c r="F9" s="28">
        <v>1053757</v>
      </c>
      <c r="G9" s="28">
        <v>447742</v>
      </c>
      <c r="H9" s="28">
        <v>945450</v>
      </c>
      <c r="I9" s="57">
        <f>FS!I45*Drivers!I55</f>
        <v>2055089.0639999998</v>
      </c>
      <c r="J9" s="57">
        <f>FS!J45*Drivers!J55</f>
        <v>1440461.9527464022</v>
      </c>
      <c r="K9" s="57">
        <f>FS!K45*Drivers!K55</f>
        <v>1491785.1380040424</v>
      </c>
      <c r="L9" s="57">
        <f>FS!L45*Drivers!L55</f>
        <v>2163539.5645903018</v>
      </c>
      <c r="M9" s="40"/>
      <c r="N9" s="40"/>
      <c r="O9" s="40"/>
      <c r="P9" s="40"/>
      <c r="Q9" s="40"/>
      <c r="R9" s="40"/>
      <c r="S9" s="40"/>
      <c r="T9" s="40"/>
      <c r="U9" s="40"/>
    </row>
    <row r="10" spans="2:21" x14ac:dyDescent="0.3">
      <c r="B10" t="s">
        <v>34</v>
      </c>
      <c r="C10" s="28">
        <v>4400</v>
      </c>
      <c r="D10" s="28">
        <v>26734</v>
      </c>
      <c r="E10" s="28">
        <v>62572</v>
      </c>
      <c r="F10" s="28">
        <v>1175509</v>
      </c>
      <c r="G10" s="28">
        <v>1299948</v>
      </c>
      <c r="H10" s="28">
        <v>815979</v>
      </c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</row>
    <row r="11" spans="2:21" x14ac:dyDescent="0.3">
      <c r="B11" t="s">
        <v>231</v>
      </c>
      <c r="C11" s="28">
        <v>215909</v>
      </c>
      <c r="D11" s="28">
        <v>529738</v>
      </c>
      <c r="E11" s="28">
        <v>931571</v>
      </c>
      <c r="F11" s="28">
        <v>777425</v>
      </c>
      <c r="G11" s="28">
        <v>778021</v>
      </c>
      <c r="H11" s="28">
        <v>1685996</v>
      </c>
      <c r="I11" s="57">
        <f>I252*I28</f>
        <v>1348796.8000000003</v>
      </c>
      <c r="J11" s="57">
        <f>J252*J28</f>
        <v>1416236.6400000004</v>
      </c>
      <c r="K11" s="57">
        <f>K252*K28</f>
        <v>1487048.4720000003</v>
      </c>
      <c r="L11" s="57">
        <f>L252*L28</f>
        <v>1561400.8956000006</v>
      </c>
      <c r="M11" s="40"/>
      <c r="N11" s="40"/>
      <c r="O11" s="40"/>
      <c r="P11" s="40"/>
      <c r="Q11" s="40"/>
      <c r="R11" s="40"/>
      <c r="S11" s="40"/>
      <c r="T11" s="40"/>
      <c r="U11" s="40"/>
    </row>
    <row r="12" spans="2:21" x14ac:dyDescent="0.3">
      <c r="B12" t="s">
        <v>36</v>
      </c>
      <c r="C12" s="28">
        <v>139153</v>
      </c>
      <c r="D12" s="28">
        <v>508616</v>
      </c>
      <c r="E12" s="28">
        <v>1906902</v>
      </c>
      <c r="F12" s="28">
        <v>836773</v>
      </c>
      <c r="G12" s="28">
        <v>375398</v>
      </c>
      <c r="H12" s="28">
        <v>1133583</v>
      </c>
      <c r="I12" s="57">
        <f>I264*I29</f>
        <v>453433.20000000007</v>
      </c>
      <c r="J12" s="57">
        <f>J264*J29</f>
        <v>476104.8600000001</v>
      </c>
      <c r="K12" s="57">
        <f>K264*K29</f>
        <v>499910.10300000006</v>
      </c>
      <c r="L12" s="57">
        <f>L264*L29</f>
        <v>524905.6081500001</v>
      </c>
      <c r="M12" s="40"/>
      <c r="N12" s="40"/>
      <c r="O12" s="40"/>
      <c r="P12" s="40"/>
      <c r="Q12" s="40"/>
      <c r="R12" s="40"/>
      <c r="S12" s="40"/>
      <c r="T12" s="40"/>
      <c r="U12" s="40"/>
    </row>
    <row r="13" spans="2:21" x14ac:dyDescent="0.3">
      <c r="B13" t="s">
        <v>232</v>
      </c>
      <c r="C13" s="36">
        <v>469012</v>
      </c>
      <c r="D13" s="36">
        <v>323335</v>
      </c>
      <c r="E13" s="36">
        <v>474478</v>
      </c>
      <c r="F13" s="36">
        <v>1831327</v>
      </c>
      <c r="G13" s="36">
        <v>1101385</v>
      </c>
      <c r="H13" s="36">
        <v>1516691</v>
      </c>
      <c r="I13" s="58">
        <f>SUM(I9:I12)</f>
        <v>3857319.0640000002</v>
      </c>
      <c r="J13" s="58">
        <f t="shared" ref="J13:L13" si="2">SUM(J9:J12)</f>
        <v>3332803.4527464025</v>
      </c>
      <c r="K13" s="58">
        <f t="shared" si="2"/>
        <v>3478743.7130040429</v>
      </c>
      <c r="L13" s="58">
        <f t="shared" si="2"/>
        <v>4249846.0683403024</v>
      </c>
      <c r="M13" s="40"/>
      <c r="N13" s="40"/>
      <c r="O13" s="40"/>
      <c r="P13" s="40"/>
      <c r="Q13" s="40"/>
      <c r="R13" s="40"/>
      <c r="S13" s="40"/>
      <c r="T13" s="40"/>
      <c r="U13" s="40"/>
    </row>
    <row r="14" spans="2:21" x14ac:dyDescent="0.3">
      <c r="B14" s="24" t="s">
        <v>233</v>
      </c>
      <c r="C14" s="28">
        <v>24111</v>
      </c>
      <c r="D14" s="28">
        <v>56173</v>
      </c>
      <c r="E14" s="28">
        <v>67453</v>
      </c>
      <c r="F14" s="28">
        <v>34902</v>
      </c>
      <c r="G14" s="28">
        <v>167377</v>
      </c>
      <c r="H14" s="28">
        <v>237438</v>
      </c>
      <c r="I14" s="57">
        <f>I266*I31</f>
        <v>166206.59999999998</v>
      </c>
      <c r="J14" s="57">
        <f>J266*J31</f>
        <v>174516.93</v>
      </c>
      <c r="K14" s="57">
        <f>K266*K31</f>
        <v>183242.77650000001</v>
      </c>
      <c r="L14" s="57">
        <f>L266*L31</f>
        <v>192404.91532500001</v>
      </c>
      <c r="M14" s="40"/>
      <c r="N14" s="40"/>
      <c r="O14" s="40"/>
      <c r="P14" s="40"/>
      <c r="Q14" s="40"/>
      <c r="R14" s="40"/>
      <c r="S14" s="40"/>
      <c r="T14" s="40"/>
      <c r="U14" s="40"/>
    </row>
    <row r="15" spans="2:21" x14ac:dyDescent="0.3">
      <c r="B15" s="24" t="s">
        <v>234</v>
      </c>
      <c r="C15" s="28">
        <v>444901</v>
      </c>
      <c r="D15" s="28">
        <v>267162</v>
      </c>
      <c r="E15" s="28">
        <v>407025</v>
      </c>
      <c r="F15" s="28">
        <v>1796425</v>
      </c>
      <c r="G15" s="28">
        <v>934008</v>
      </c>
      <c r="H15" s="28">
        <v>1279253</v>
      </c>
      <c r="I15" s="57">
        <f>I271*I32</f>
        <v>4946643.6500000004</v>
      </c>
      <c r="J15" s="57">
        <f t="shared" ref="J15:L15" si="3">J271*J32</f>
        <v>7798003.120000001</v>
      </c>
      <c r="K15" s="57">
        <f t="shared" si="3"/>
        <v>8577803.4320000019</v>
      </c>
      <c r="L15" s="57">
        <f t="shared" si="3"/>
        <v>9435583.7752000019</v>
      </c>
      <c r="M15" s="40"/>
      <c r="N15" s="40"/>
      <c r="O15" s="40"/>
      <c r="P15" s="40"/>
      <c r="Q15" s="40"/>
      <c r="R15" s="40"/>
      <c r="S15" s="40"/>
      <c r="T15" s="40"/>
      <c r="U15" s="40"/>
    </row>
    <row r="16" spans="2:21" x14ac:dyDescent="0.3">
      <c r="B16" t="s">
        <v>235</v>
      </c>
      <c r="C16" s="28">
        <v>78132371</v>
      </c>
      <c r="D16" s="28">
        <v>95081154</v>
      </c>
      <c r="E16" s="28">
        <v>100444369</v>
      </c>
      <c r="F16" s="28">
        <v>84257196</v>
      </c>
      <c r="G16" s="28">
        <v>79654575</v>
      </c>
      <c r="H16" s="28">
        <v>144253496</v>
      </c>
      <c r="I16" s="57">
        <f>I33*I305</f>
        <v>202814202.49125001</v>
      </c>
      <c r="J16" s="57">
        <f>J33*J305</f>
        <v>187855412.43549913</v>
      </c>
      <c r="K16" s="57">
        <f>K33*K305</f>
        <v>219768815.58015558</v>
      </c>
      <c r="L16" s="57">
        <f>L33*L305</f>
        <v>252734137.91717893</v>
      </c>
      <c r="M16" s="40"/>
      <c r="N16" s="40"/>
      <c r="O16" s="40"/>
      <c r="P16" s="40"/>
      <c r="Q16" s="40"/>
      <c r="R16" s="40"/>
      <c r="S16" s="40"/>
      <c r="T16" s="40"/>
      <c r="U16" s="40"/>
    </row>
    <row r="17" spans="2:21" x14ac:dyDescent="0.3">
      <c r="B17" t="s">
        <v>236</v>
      </c>
      <c r="C17" s="28">
        <v>8512118</v>
      </c>
      <c r="D17" s="28">
        <v>6828671</v>
      </c>
      <c r="E17" s="28">
        <v>7819563</v>
      </c>
      <c r="F17" s="28">
        <v>13194851</v>
      </c>
      <c r="G17" s="28">
        <v>25951467</v>
      </c>
      <c r="H17" s="28">
        <v>51750895</v>
      </c>
      <c r="I17" s="57">
        <f>I50*I341</f>
        <v>48193315.718186967</v>
      </c>
      <c r="J17" s="57">
        <f>J50*J341</f>
        <v>45412106.434415869</v>
      </c>
      <c r="K17" s="57">
        <f>K50*K341</f>
        <v>50127259.6561905</v>
      </c>
      <c r="L17" s="57">
        <f>L50*L341</f>
        <v>53757015.859532543</v>
      </c>
      <c r="M17" s="40"/>
      <c r="N17" s="40"/>
      <c r="O17" s="40"/>
      <c r="P17" s="40"/>
      <c r="Q17" s="40"/>
      <c r="R17" s="40"/>
      <c r="S17" s="40"/>
      <c r="T17" s="40"/>
      <c r="U17" s="40"/>
    </row>
    <row r="18" spans="2:21" x14ac:dyDescent="0.3">
      <c r="B18" t="s">
        <v>41</v>
      </c>
      <c r="C18" s="28">
        <v>15349974</v>
      </c>
      <c r="D18" s="28">
        <v>14478042</v>
      </c>
      <c r="E18" s="28">
        <v>15091368</v>
      </c>
      <c r="F18" s="28">
        <v>18053545</v>
      </c>
      <c r="G18" s="28">
        <v>22034788</v>
      </c>
      <c r="H18" s="28">
        <v>18995711</v>
      </c>
      <c r="I18" s="57">
        <f>I52*I384</f>
        <v>44543209.199999996</v>
      </c>
      <c r="J18" s="57">
        <f>J52*J384</f>
        <v>48997530.119999997</v>
      </c>
      <c r="K18" s="57">
        <f>K52*K384</f>
        <v>53897283.131999999</v>
      </c>
      <c r="L18" s="57">
        <f>L52*L384</f>
        <v>59287011.445200004</v>
      </c>
      <c r="M18" s="40"/>
      <c r="N18" s="40"/>
      <c r="O18" s="40"/>
      <c r="P18" s="40"/>
      <c r="Q18" s="40"/>
      <c r="R18" s="40"/>
      <c r="S18" s="40"/>
      <c r="T18" s="40"/>
      <c r="U18" s="40"/>
    </row>
    <row r="19" spans="2:21" x14ac:dyDescent="0.3">
      <c r="B19" t="s">
        <v>237</v>
      </c>
      <c r="C19" s="28">
        <v>861057</v>
      </c>
      <c r="D19" s="28">
        <v>360876</v>
      </c>
      <c r="E19" s="28">
        <v>1258339</v>
      </c>
      <c r="F19" s="28">
        <v>2895955</v>
      </c>
      <c r="G19" s="28">
        <v>1174854</v>
      </c>
      <c r="H19" s="28">
        <v>1295278</v>
      </c>
      <c r="I19" s="57">
        <f>I53*I289</f>
        <v>1336443.5330767289</v>
      </c>
      <c r="J19" s="57">
        <f t="shared" ref="J19:L19" si="4">J53*J289</f>
        <v>1568988.3349351075</v>
      </c>
      <c r="K19" s="57">
        <f t="shared" si="4"/>
        <v>1816328.6945609679</v>
      </c>
      <c r="L19" s="57">
        <f t="shared" si="4"/>
        <v>2098847.5636101598</v>
      </c>
      <c r="M19" s="40"/>
      <c r="N19" s="40"/>
      <c r="O19" s="40"/>
      <c r="P19" s="40"/>
      <c r="Q19" s="40"/>
      <c r="R19" s="40"/>
      <c r="S19" s="40"/>
      <c r="T19" s="40"/>
      <c r="U19" s="40"/>
    </row>
    <row r="20" spans="2:21" x14ac:dyDescent="0.3">
      <c r="B20" s="4"/>
      <c r="C20" s="28">
        <v>2413</v>
      </c>
      <c r="D20" s="28">
        <v>2661</v>
      </c>
      <c r="E20" s="28">
        <v>7884</v>
      </c>
      <c r="F20" s="28">
        <v>11375</v>
      </c>
      <c r="G20" s="28">
        <v>0</v>
      </c>
      <c r="H20" s="28">
        <v>0</v>
      </c>
      <c r="I20" s="57"/>
      <c r="J20" s="57"/>
      <c r="K20" s="57"/>
      <c r="L20" s="57"/>
      <c r="M20" s="40"/>
      <c r="N20" s="40"/>
      <c r="O20" s="40"/>
      <c r="P20" s="40"/>
      <c r="Q20" s="40"/>
      <c r="R20" s="40"/>
      <c r="S20" s="40"/>
      <c r="T20" s="40"/>
      <c r="U20" s="40"/>
    </row>
    <row r="21" spans="2:21" x14ac:dyDescent="0.3">
      <c r="B21" s="4"/>
      <c r="C21" s="56"/>
      <c r="D21" s="56"/>
      <c r="E21" s="56"/>
      <c r="F21" s="56"/>
      <c r="G21" s="56"/>
      <c r="H21" s="56"/>
      <c r="I21" s="57"/>
      <c r="J21" s="57"/>
      <c r="K21" s="57"/>
      <c r="L21" s="57"/>
      <c r="M21" s="40"/>
      <c r="N21" s="40"/>
      <c r="O21" s="40"/>
      <c r="P21" s="40"/>
      <c r="Q21" s="40"/>
      <c r="R21" s="40"/>
      <c r="S21" s="40"/>
      <c r="T21" s="40"/>
      <c r="U21" s="40"/>
    </row>
    <row r="22" spans="2:21" x14ac:dyDescent="0.3">
      <c r="B22" s="51" t="s">
        <v>179</v>
      </c>
      <c r="C22" s="56">
        <f t="shared" ref="C22:E22" si="5">SUM(C9:C13)+C16+C17+C18+C19+C20-C7</f>
        <v>0</v>
      </c>
      <c r="D22" s="56">
        <f t="shared" si="5"/>
        <v>0</v>
      </c>
      <c r="E22" s="56">
        <f t="shared" si="5"/>
        <v>0</v>
      </c>
      <c r="F22" s="56">
        <f>SUM(F9:F13)+F16+F17+F18+F19+F20-F7</f>
        <v>0</v>
      </c>
      <c r="G22" s="56">
        <f t="shared" ref="G22:H22" si="6">SUM(G9:G13)+G16+G17+G18+G19+G20-G7</f>
        <v>0</v>
      </c>
      <c r="H22" s="56">
        <f t="shared" si="6"/>
        <v>0</v>
      </c>
      <c r="I22" s="57"/>
      <c r="J22" s="57"/>
      <c r="K22" s="57"/>
      <c r="L22" s="57"/>
      <c r="M22" s="40"/>
      <c r="N22" s="40"/>
      <c r="O22" s="40"/>
      <c r="P22" s="40"/>
      <c r="Q22" s="40"/>
      <c r="R22" s="40"/>
      <c r="S22" s="40"/>
      <c r="T22" s="40"/>
      <c r="U22" s="40"/>
    </row>
    <row r="23" spans="2:21" x14ac:dyDescent="0.3">
      <c r="B23" s="4"/>
      <c r="C23" s="56"/>
      <c r="D23" s="56"/>
      <c r="E23" s="56"/>
      <c r="F23" s="56"/>
      <c r="G23" s="56"/>
      <c r="H23" s="56"/>
      <c r="I23" s="57"/>
      <c r="J23" s="57"/>
      <c r="K23" s="57"/>
      <c r="L23" s="57"/>
      <c r="M23" s="40"/>
      <c r="N23" s="40"/>
      <c r="O23" s="40"/>
      <c r="P23" s="40"/>
      <c r="Q23" s="40"/>
      <c r="R23" s="40"/>
      <c r="S23" s="40"/>
      <c r="T23" s="40"/>
      <c r="U23" s="40"/>
    </row>
    <row r="24" spans="2:21" x14ac:dyDescent="0.3">
      <c r="B24" s="4" t="s">
        <v>359</v>
      </c>
      <c r="C24" s="56"/>
      <c r="D24" s="56"/>
      <c r="E24" s="56"/>
      <c r="F24" s="56"/>
      <c r="G24" s="56"/>
      <c r="H24" s="56"/>
      <c r="I24" s="57"/>
      <c r="J24" s="57"/>
      <c r="K24" s="57"/>
      <c r="L24" s="57"/>
      <c r="M24" s="40"/>
      <c r="N24" s="40"/>
      <c r="O24" s="40"/>
      <c r="P24" s="40"/>
      <c r="Q24" s="40"/>
      <c r="R24" s="40"/>
      <c r="S24" s="40"/>
      <c r="T24" s="40"/>
      <c r="U24" s="40"/>
    </row>
    <row r="25" spans="2:21" x14ac:dyDescent="0.3">
      <c r="B25" s="4"/>
      <c r="C25" s="56"/>
      <c r="D25" s="56"/>
      <c r="E25" s="56"/>
      <c r="F25" s="56"/>
      <c r="G25" s="56"/>
      <c r="H25" s="56"/>
      <c r="I25" s="57"/>
      <c r="J25" s="57"/>
      <c r="K25" s="57"/>
      <c r="L25" s="57"/>
      <c r="M25" s="40"/>
      <c r="N25" s="40"/>
      <c r="O25" s="40"/>
      <c r="P25" s="40"/>
      <c r="Q25" s="40"/>
      <c r="R25" s="40"/>
      <c r="S25" s="40"/>
      <c r="T25" s="40"/>
      <c r="U25" s="40"/>
    </row>
    <row r="26" spans="2:21" x14ac:dyDescent="0.3">
      <c r="B26" t="s">
        <v>100</v>
      </c>
      <c r="C26" s="81">
        <f>C9/FS!C45</f>
        <v>1.0460316812092167E-2</v>
      </c>
      <c r="D26" s="81">
        <f>D9/FS!D45</f>
        <v>9.2752356492685241E-3</v>
      </c>
      <c r="E26" s="81">
        <f>E9/FS!E45</f>
        <v>2.4043780161210504E-2</v>
      </c>
      <c r="F26" s="81">
        <f>F9/FS!F45</f>
        <v>2.055909439522326E-2</v>
      </c>
      <c r="G26" s="81">
        <f>G9/FS!G45</f>
        <v>6.4576267766561137E-3</v>
      </c>
      <c r="H26" s="81">
        <f>H9/FS!I45</f>
        <v>6.2567215335052745E-3</v>
      </c>
      <c r="I26" s="90">
        <v>6.2567215335052745E-3</v>
      </c>
      <c r="J26" s="90">
        <v>6.2567215335052745E-3</v>
      </c>
      <c r="K26" s="90">
        <v>6.2567215335052745E-3</v>
      </c>
      <c r="L26" s="90">
        <v>6.2567215335052745E-3</v>
      </c>
      <c r="M26" s="40"/>
      <c r="N26" s="40"/>
      <c r="O26" s="40"/>
      <c r="P26" s="40"/>
      <c r="Q26" s="40"/>
      <c r="R26" s="40"/>
      <c r="S26" s="40"/>
      <c r="T26" s="40"/>
      <c r="U26" s="40"/>
    </row>
    <row r="27" spans="2:21" x14ac:dyDescent="0.3">
      <c r="B27" t="s">
        <v>34</v>
      </c>
      <c r="C27" s="81">
        <f>C10/FS!C46</f>
        <v>9.660488923052866E-5</v>
      </c>
      <c r="D27" s="81">
        <f>D10/FS!D46</f>
        <v>4.8250626031748784E-4</v>
      </c>
      <c r="E27" s="81">
        <f>E10/FS!E46</f>
        <v>1.3572739227446242E-3</v>
      </c>
      <c r="F27" s="81">
        <f>F10/FS!F46</f>
        <v>1.0190030521486662E-2</v>
      </c>
      <c r="G27" s="81">
        <f>G10/FS!G46</f>
        <v>2.28954920759495E-2</v>
      </c>
      <c r="H27" s="81">
        <f>H10/FS!I46</f>
        <v>1.0381792615301935E-2</v>
      </c>
      <c r="I27" s="90">
        <v>1.0381792615301935E-2</v>
      </c>
      <c r="J27" s="90">
        <v>1.0381792615301935E-2</v>
      </c>
      <c r="K27" s="90">
        <v>1.0381792615301935E-2</v>
      </c>
      <c r="L27" s="90">
        <v>1.0381792615301935E-2</v>
      </c>
      <c r="M27" s="40"/>
      <c r="N27" s="40"/>
      <c r="O27" s="40"/>
      <c r="P27" s="40"/>
      <c r="Q27" s="40"/>
      <c r="R27" s="40"/>
      <c r="S27" s="40"/>
      <c r="T27" s="40"/>
      <c r="U27" s="40"/>
    </row>
    <row r="28" spans="2:21" x14ac:dyDescent="0.3">
      <c r="B28" t="s">
        <v>231</v>
      </c>
      <c r="C28" s="81">
        <f>C11/FS!C47</f>
        <v>1.2244411402105871E-2</v>
      </c>
      <c r="D28" s="81">
        <f>D11/FS!D47</f>
        <v>2.6621986615584129E-2</v>
      </c>
      <c r="E28" s="81">
        <f>E11/FS!E47</f>
        <v>3.7406767775965515E-2</v>
      </c>
      <c r="F28" s="81">
        <f>F11/FS!F47</f>
        <v>4.7340841330647726E-2</v>
      </c>
      <c r="G28" s="81">
        <f>G11/FS!G47</f>
        <v>6.2248108984695939E-2</v>
      </c>
      <c r="H28" s="81">
        <f>H11/FS!I47</f>
        <v>1.7547298746706713E-2</v>
      </c>
      <c r="I28" s="90">
        <v>1.7547298746706713E-2</v>
      </c>
      <c r="J28" s="90">
        <v>1.7547298746706713E-2</v>
      </c>
      <c r="K28" s="90">
        <v>1.7547298746706713E-2</v>
      </c>
      <c r="L28" s="90">
        <v>1.7547298746706713E-2</v>
      </c>
      <c r="M28" s="40"/>
      <c r="N28" s="40"/>
      <c r="O28" s="40"/>
      <c r="P28" s="40"/>
      <c r="Q28" s="40"/>
      <c r="R28" s="40"/>
      <c r="S28" s="40"/>
      <c r="T28" s="40"/>
      <c r="U28" s="40"/>
    </row>
    <row r="29" spans="2:21" x14ac:dyDescent="0.3">
      <c r="B29" t="s">
        <v>36</v>
      </c>
      <c r="C29" s="81" t="e">
        <f>C12/FS!C48</f>
        <v>#DIV/0!</v>
      </c>
      <c r="D29" s="81">
        <f>D12/FS!D48</f>
        <v>5.3462485778122737E-2</v>
      </c>
      <c r="E29" s="81">
        <f>E12/FS!E48</f>
        <v>0.1450387578385422</v>
      </c>
      <c r="F29" s="81" t="e">
        <f>F12/FS!F48</f>
        <v>#DIV/0!</v>
      </c>
      <c r="G29" s="81">
        <f>G12/FS!G48</f>
        <v>0.12511223166882743</v>
      </c>
      <c r="H29" s="81">
        <f>H12/FS!I48</f>
        <v>0.74710144545471324</v>
      </c>
      <c r="I29" s="90">
        <v>0.74710144545471324</v>
      </c>
      <c r="J29" s="90">
        <v>0.74710144545471324</v>
      </c>
      <c r="K29" s="90">
        <v>0.74710144545471324</v>
      </c>
      <c r="L29" s="90">
        <v>0.74710144545471324</v>
      </c>
      <c r="M29" s="40"/>
      <c r="N29" s="40"/>
      <c r="O29" s="40"/>
      <c r="P29" s="40"/>
      <c r="Q29" s="40"/>
      <c r="R29" s="40"/>
      <c r="S29" s="40"/>
      <c r="T29" s="40"/>
      <c r="U29" s="40"/>
    </row>
    <row r="30" spans="2:21" x14ac:dyDescent="0.3">
      <c r="B30" t="s">
        <v>232</v>
      </c>
      <c r="C30" s="56"/>
      <c r="D30" s="56"/>
      <c r="E30" s="56"/>
      <c r="F30" s="56"/>
      <c r="G30" s="56"/>
      <c r="H30" s="56"/>
      <c r="I30" s="90"/>
      <c r="J30" s="90"/>
      <c r="K30" s="90"/>
      <c r="L30" s="90"/>
      <c r="M30" s="40"/>
      <c r="N30" s="40"/>
      <c r="O30" s="40"/>
      <c r="P30" s="40"/>
      <c r="Q30" s="40"/>
      <c r="R30" s="40"/>
      <c r="S30" s="40"/>
      <c r="T30" s="40"/>
      <c r="U30" s="40"/>
    </row>
    <row r="31" spans="2:21" x14ac:dyDescent="0.3">
      <c r="B31" s="24" t="s">
        <v>233</v>
      </c>
      <c r="C31" s="81">
        <f>C14/FS!C49</f>
        <v>1.0327962387386615E-2</v>
      </c>
      <c r="D31" s="81">
        <f>D14/FS!D49</f>
        <v>7.1015511831788829E-3</v>
      </c>
      <c r="E31" s="81">
        <f>E14/FS!E49</f>
        <v>3.6840900811446878E-2</v>
      </c>
      <c r="F31" s="81">
        <f>F14/FS!F49</f>
        <v>1.3236915452056477E-2</v>
      </c>
      <c r="G31" s="81">
        <f>G14/FS!G49</f>
        <v>5.1578061828222069E-2</v>
      </c>
      <c r="H31" s="81">
        <f>H14/FS!I49</f>
        <v>2.8452415917333915E-2</v>
      </c>
      <c r="I31" s="90">
        <v>2.8452415917333915E-2</v>
      </c>
      <c r="J31" s="90">
        <v>2.8452415917333915E-2</v>
      </c>
      <c r="K31" s="90">
        <v>2.8452415917333915E-2</v>
      </c>
      <c r="L31" s="90">
        <v>2.8452415917333915E-2</v>
      </c>
      <c r="M31" s="40"/>
      <c r="N31" s="40"/>
      <c r="O31" s="40"/>
      <c r="P31" s="40"/>
      <c r="Q31" s="40"/>
      <c r="R31" s="40"/>
      <c r="S31" s="40"/>
      <c r="T31" s="40"/>
      <c r="U31" s="40"/>
    </row>
    <row r="32" spans="2:21" x14ac:dyDescent="0.3">
      <c r="B32" s="24" t="s">
        <v>234</v>
      </c>
      <c r="C32" s="81">
        <f t="shared" ref="C32:G32" si="7">C15/C271</f>
        <v>0.10086369873992074</v>
      </c>
      <c r="D32" s="81">
        <f t="shared" si="7"/>
        <v>4.8397448845297612E-2</v>
      </c>
      <c r="E32" s="81">
        <f t="shared" si="7"/>
        <v>1.8959585165534261E-2</v>
      </c>
      <c r="F32" s="81">
        <f t="shared" si="7"/>
        <v>5.1050071198853769E-2</v>
      </c>
      <c r="G32" s="81">
        <f t="shared" si="7"/>
        <v>3.9853349463987706E-2</v>
      </c>
      <c r="H32" s="81">
        <f>H15/H271</f>
        <v>5.1431273606617797E-2</v>
      </c>
      <c r="I32" s="90">
        <v>0.05</v>
      </c>
      <c r="J32" s="90">
        <v>0.05</v>
      </c>
      <c r="K32" s="90">
        <v>0.05</v>
      </c>
      <c r="L32" s="90">
        <v>0.05</v>
      </c>
      <c r="M32" s="40"/>
      <c r="N32" s="40"/>
      <c r="O32" s="40"/>
      <c r="P32" s="40"/>
      <c r="Q32" s="40"/>
      <c r="R32" s="40"/>
      <c r="S32" s="40"/>
      <c r="T32" s="40"/>
      <c r="U32" s="40"/>
    </row>
    <row r="33" spans="2:21" x14ac:dyDescent="0.3">
      <c r="B33" t="s">
        <v>235</v>
      </c>
      <c r="C33" s="81">
        <f>C16/FS!C52</f>
        <v>0.10523670111042564</v>
      </c>
      <c r="D33" s="81">
        <f>D16/FS!D52</f>
        <v>0.10958949003719147</v>
      </c>
      <c r="E33" s="81">
        <f>E16/FS!E52</f>
        <v>0.11236402185744927</v>
      </c>
      <c r="F33" s="81">
        <f>F16/FS!F52</f>
        <v>9.2607709878970559E-2</v>
      </c>
      <c r="G33" s="81">
        <f>G16/FS!G52</f>
        <v>7.7365779963137052E-2</v>
      </c>
      <c r="H33" s="81">
        <f>H16/FS!I52</f>
        <v>0.12484156550499266</v>
      </c>
      <c r="I33" s="90">
        <v>0.155</v>
      </c>
      <c r="J33" s="90">
        <v>0.12484156550499266</v>
      </c>
      <c r="K33" s="90">
        <v>0.127</v>
      </c>
      <c r="L33" s="90">
        <v>0.127</v>
      </c>
      <c r="M33" s="40"/>
      <c r="N33" s="40"/>
      <c r="O33" s="40"/>
      <c r="P33" s="40"/>
      <c r="Q33" s="40"/>
      <c r="R33" s="40"/>
      <c r="S33" s="40"/>
      <c r="T33" s="40"/>
      <c r="U33" s="40"/>
    </row>
    <row r="34" spans="2:21" x14ac:dyDescent="0.3">
      <c r="B34" s="82" t="s">
        <v>141</v>
      </c>
      <c r="C34" s="56"/>
      <c r="D34" s="56"/>
      <c r="E34" s="56"/>
      <c r="F34" s="56"/>
      <c r="G34" s="56"/>
      <c r="H34" s="85">
        <v>0.28000000000000003</v>
      </c>
      <c r="I34" s="90">
        <v>0.28000000000000003</v>
      </c>
      <c r="J34" s="90">
        <v>0.28000000000000003</v>
      </c>
      <c r="K34" s="90">
        <v>0.28000000000000003</v>
      </c>
      <c r="L34" s="90">
        <v>0.28000000000000003</v>
      </c>
      <c r="M34" s="40"/>
      <c r="N34" s="40"/>
      <c r="O34" s="40"/>
      <c r="P34" s="40"/>
      <c r="Q34" s="40"/>
      <c r="R34" s="40"/>
      <c r="S34" s="40"/>
      <c r="T34" s="40"/>
      <c r="U34" s="40"/>
    </row>
    <row r="35" spans="2:21" x14ac:dyDescent="0.3">
      <c r="B35" s="82" t="s">
        <v>130</v>
      </c>
      <c r="C35" s="56"/>
      <c r="D35" s="56"/>
      <c r="E35" s="56"/>
      <c r="F35" s="56"/>
      <c r="G35" s="56"/>
      <c r="H35" s="85">
        <v>0.155</v>
      </c>
      <c r="I35" s="90">
        <v>0.155</v>
      </c>
      <c r="J35" s="90">
        <v>0.155</v>
      </c>
      <c r="K35" s="90">
        <v>0.155</v>
      </c>
      <c r="L35" s="90">
        <v>0.155</v>
      </c>
      <c r="M35" s="40"/>
      <c r="N35" s="40"/>
      <c r="O35" s="40"/>
      <c r="P35" s="40"/>
      <c r="Q35" s="40"/>
      <c r="R35" s="40"/>
      <c r="S35" s="40"/>
      <c r="T35" s="40"/>
      <c r="U35" s="40"/>
    </row>
    <row r="36" spans="2:21" x14ac:dyDescent="0.3">
      <c r="B36" s="82" t="s">
        <v>131</v>
      </c>
      <c r="C36" s="56"/>
      <c r="D36" s="56"/>
      <c r="E36" s="56"/>
      <c r="F36" s="56"/>
      <c r="G36" s="56"/>
      <c r="H36" s="85">
        <v>0.16</v>
      </c>
      <c r="I36" s="90">
        <v>0.16</v>
      </c>
      <c r="J36" s="90">
        <v>0.16</v>
      </c>
      <c r="K36" s="90">
        <v>0.16</v>
      </c>
      <c r="L36" s="90">
        <v>0.16</v>
      </c>
      <c r="M36" s="40"/>
      <c r="N36" s="40"/>
      <c r="O36" s="40"/>
      <c r="P36" s="40"/>
      <c r="Q36" s="40"/>
      <c r="R36" s="40"/>
      <c r="S36" s="40"/>
      <c r="T36" s="40"/>
      <c r="U36" s="40"/>
    </row>
    <row r="37" spans="2:21" x14ac:dyDescent="0.3">
      <c r="B37" s="82" t="s">
        <v>132</v>
      </c>
      <c r="C37" s="56"/>
      <c r="D37" s="56"/>
      <c r="E37" s="56"/>
      <c r="F37" s="56"/>
      <c r="G37" s="56"/>
      <c r="H37" s="85">
        <v>0.28000000000000003</v>
      </c>
      <c r="I37" s="90">
        <v>0.28000000000000003</v>
      </c>
      <c r="J37" s="90">
        <v>0.28000000000000003</v>
      </c>
      <c r="K37" s="90">
        <v>0.28000000000000003</v>
      </c>
      <c r="L37" s="90">
        <v>0.28000000000000003</v>
      </c>
      <c r="M37" s="40"/>
      <c r="N37" s="40"/>
      <c r="O37" s="40"/>
      <c r="P37" s="40"/>
      <c r="Q37" s="40"/>
      <c r="R37" s="40"/>
      <c r="S37" s="40"/>
      <c r="T37" s="40"/>
      <c r="U37" s="40"/>
    </row>
    <row r="38" spans="2:21" x14ac:dyDescent="0.3">
      <c r="B38" s="82" t="s">
        <v>133</v>
      </c>
      <c r="C38" s="56"/>
      <c r="D38" s="56"/>
      <c r="E38" s="56"/>
      <c r="F38" s="56"/>
      <c r="G38" s="56"/>
      <c r="H38" s="81"/>
      <c r="I38" s="90"/>
      <c r="J38" s="90"/>
      <c r="K38" s="90"/>
      <c r="L38" s="90"/>
      <c r="M38" s="40"/>
      <c r="N38" s="40"/>
      <c r="O38" s="40"/>
      <c r="P38" s="40"/>
      <c r="Q38" s="40"/>
      <c r="R38" s="40"/>
      <c r="S38" s="40"/>
      <c r="T38" s="40"/>
      <c r="U38" s="40"/>
    </row>
    <row r="39" spans="2:21" x14ac:dyDescent="0.3">
      <c r="B39" s="82" t="s">
        <v>134</v>
      </c>
      <c r="C39" s="56"/>
      <c r="D39" s="56"/>
      <c r="E39" s="56"/>
      <c r="F39" s="56"/>
      <c r="G39" s="56"/>
      <c r="H39" s="81"/>
      <c r="I39" s="90"/>
      <c r="J39" s="90"/>
      <c r="K39" s="90"/>
      <c r="L39" s="90"/>
      <c r="M39" s="40"/>
      <c r="N39" s="40"/>
      <c r="O39" s="40"/>
      <c r="P39" s="40"/>
      <c r="Q39" s="40"/>
      <c r="R39" s="40"/>
      <c r="S39" s="40"/>
      <c r="T39" s="40"/>
      <c r="U39" s="40"/>
    </row>
    <row r="40" spans="2:21" x14ac:dyDescent="0.3">
      <c r="B40" s="82" t="s">
        <v>135</v>
      </c>
      <c r="C40" s="56"/>
      <c r="D40" s="56"/>
      <c r="E40" s="56"/>
      <c r="F40" s="56"/>
      <c r="G40" s="56"/>
      <c r="H40" s="85">
        <v>0.15</v>
      </c>
      <c r="I40" s="90">
        <v>0.15</v>
      </c>
      <c r="J40" s="90">
        <v>0.15</v>
      </c>
      <c r="K40" s="90">
        <v>0.15</v>
      </c>
      <c r="L40" s="90">
        <v>0.15</v>
      </c>
      <c r="M40" s="40"/>
      <c r="N40" s="40"/>
      <c r="O40" s="40"/>
      <c r="P40" s="40"/>
      <c r="Q40" s="40"/>
      <c r="R40" s="40"/>
      <c r="S40" s="40"/>
      <c r="T40" s="40"/>
      <c r="U40" s="40"/>
    </row>
    <row r="41" spans="2:21" x14ac:dyDescent="0.3">
      <c r="B41" s="82" t="s">
        <v>136</v>
      </c>
      <c r="C41" s="56"/>
      <c r="D41" s="56"/>
      <c r="E41" s="56"/>
      <c r="F41" s="56"/>
      <c r="G41" s="56"/>
      <c r="H41" s="81"/>
      <c r="I41" s="90"/>
      <c r="J41" s="90"/>
      <c r="K41" s="90"/>
      <c r="L41" s="90"/>
      <c r="M41" s="40"/>
      <c r="N41" s="40"/>
      <c r="O41" s="40"/>
      <c r="P41" s="40"/>
      <c r="Q41" s="40"/>
      <c r="R41" s="40"/>
      <c r="S41" s="40"/>
      <c r="T41" s="40"/>
      <c r="U41" s="40"/>
    </row>
    <row r="42" spans="2:21" x14ac:dyDescent="0.3">
      <c r="B42" s="82" t="s">
        <v>137</v>
      </c>
      <c r="C42" s="56"/>
      <c r="D42" s="56"/>
      <c r="E42" s="56"/>
      <c r="F42" s="56"/>
      <c r="G42" s="56"/>
      <c r="H42" s="81"/>
      <c r="I42" s="90"/>
      <c r="J42" s="90"/>
      <c r="K42" s="90"/>
      <c r="L42" s="90"/>
      <c r="M42" s="40"/>
      <c r="N42" s="40"/>
      <c r="O42" s="40"/>
      <c r="P42" s="40"/>
      <c r="Q42" s="40"/>
      <c r="R42" s="40"/>
      <c r="S42" s="40"/>
      <c r="T42" s="40"/>
      <c r="U42" s="40"/>
    </row>
    <row r="43" spans="2:21" x14ac:dyDescent="0.3">
      <c r="B43" s="83" t="s">
        <v>138</v>
      </c>
      <c r="C43" s="56"/>
      <c r="D43" s="56"/>
      <c r="E43" s="56"/>
      <c r="F43" s="56"/>
      <c r="G43" s="56"/>
      <c r="H43" s="81"/>
      <c r="I43" s="90"/>
      <c r="J43" s="90"/>
      <c r="K43" s="90"/>
      <c r="L43" s="90"/>
      <c r="M43" s="40"/>
      <c r="N43" s="40"/>
      <c r="O43" s="40"/>
      <c r="P43" s="40"/>
      <c r="Q43" s="40"/>
      <c r="R43" s="40"/>
      <c r="S43" s="40"/>
      <c r="T43" s="40"/>
      <c r="U43" s="40"/>
    </row>
    <row r="44" spans="2:21" x14ac:dyDescent="0.3">
      <c r="B44" s="83" t="s">
        <v>139</v>
      </c>
      <c r="C44" s="56"/>
      <c r="D44" s="56"/>
      <c r="E44" s="56"/>
      <c r="F44" s="56"/>
      <c r="G44" s="56"/>
      <c r="H44" s="81">
        <f>H47+2%</f>
        <v>0.16</v>
      </c>
      <c r="I44" s="90">
        <v>0.16</v>
      </c>
      <c r="J44" s="90">
        <v>0.16</v>
      </c>
      <c r="K44" s="90">
        <v>0.16</v>
      </c>
      <c r="L44" s="90">
        <v>0.16</v>
      </c>
      <c r="M44" s="40"/>
      <c r="N44" s="40"/>
      <c r="O44" s="40"/>
      <c r="P44" s="40"/>
      <c r="Q44" s="40"/>
      <c r="R44" s="40"/>
      <c r="S44" s="40"/>
      <c r="T44" s="40"/>
      <c r="U44" s="40"/>
    </row>
    <row r="45" spans="2:21" x14ac:dyDescent="0.3">
      <c r="B45" s="83" t="s">
        <v>140</v>
      </c>
      <c r="C45" s="56"/>
      <c r="D45" s="56"/>
      <c r="E45" s="56"/>
      <c r="F45" s="56"/>
      <c r="G45" s="56"/>
      <c r="H45" s="81"/>
      <c r="I45" s="90"/>
      <c r="J45" s="90"/>
      <c r="K45" s="90"/>
      <c r="L45" s="90"/>
      <c r="M45" s="40"/>
      <c r="N45" s="40"/>
      <c r="O45" s="40"/>
      <c r="P45" s="40"/>
      <c r="Q45" s="40"/>
      <c r="R45" s="40"/>
      <c r="S45" s="40"/>
      <c r="T45" s="40"/>
      <c r="U45" s="40"/>
    </row>
    <row r="46" spans="2:21" x14ac:dyDescent="0.3">
      <c r="C46" s="56"/>
      <c r="D46" s="56"/>
      <c r="E46" s="56"/>
      <c r="F46" s="56"/>
      <c r="G46" s="56"/>
      <c r="H46" s="56"/>
      <c r="I46" s="90"/>
      <c r="J46" s="90"/>
      <c r="K46" s="90"/>
      <c r="L46" s="90"/>
      <c r="M46" s="40"/>
      <c r="N46" s="40"/>
      <c r="O46" s="40"/>
      <c r="P46" s="40"/>
      <c r="Q46" s="40"/>
      <c r="R46" s="40"/>
      <c r="S46" s="40"/>
      <c r="T46" s="40"/>
      <c r="U46" s="40"/>
    </row>
    <row r="47" spans="2:21" x14ac:dyDescent="0.3">
      <c r="B47" s="83" t="s">
        <v>364</v>
      </c>
      <c r="C47" s="56"/>
      <c r="D47" s="56"/>
      <c r="E47" s="56"/>
      <c r="F47" s="56"/>
      <c r="G47" s="56"/>
      <c r="H47" s="85">
        <v>0.14000000000000001</v>
      </c>
      <c r="I47" s="90">
        <v>0.14000000000000001</v>
      </c>
      <c r="J47" s="90">
        <v>0.14000000000000001</v>
      </c>
      <c r="K47" s="90">
        <v>0.14000000000000001</v>
      </c>
      <c r="L47" s="90">
        <v>0.14000000000000001</v>
      </c>
      <c r="M47" s="40"/>
      <c r="N47" s="40"/>
      <c r="O47" s="40"/>
      <c r="P47" s="40"/>
      <c r="Q47" s="40"/>
      <c r="R47" s="40"/>
      <c r="S47" s="40"/>
      <c r="T47" s="40"/>
      <c r="U47" s="40"/>
    </row>
    <row r="48" spans="2:21" x14ac:dyDescent="0.3">
      <c r="C48" s="56"/>
      <c r="D48" s="56"/>
      <c r="E48" s="56"/>
      <c r="F48" s="56"/>
      <c r="G48" s="56"/>
      <c r="H48" s="56"/>
      <c r="I48" s="90"/>
      <c r="J48" s="90"/>
      <c r="K48" s="90"/>
      <c r="L48" s="90"/>
      <c r="M48" s="40"/>
      <c r="N48" s="40"/>
      <c r="O48" s="40"/>
      <c r="P48" s="40"/>
      <c r="Q48" s="40"/>
      <c r="R48" s="40"/>
      <c r="S48" s="40"/>
      <c r="T48" s="40"/>
      <c r="U48" s="40"/>
    </row>
    <row r="49" spans="2:21" x14ac:dyDescent="0.3">
      <c r="C49" s="56"/>
      <c r="D49" s="56"/>
      <c r="E49" s="56"/>
      <c r="F49" s="56"/>
      <c r="G49" s="56"/>
      <c r="H49" s="56"/>
      <c r="I49" s="90"/>
      <c r="J49" s="90"/>
      <c r="K49" s="90"/>
      <c r="L49" s="90"/>
      <c r="M49" s="40"/>
      <c r="N49" s="40"/>
      <c r="O49" s="40"/>
      <c r="P49" s="40"/>
      <c r="Q49" s="40"/>
      <c r="R49" s="40"/>
      <c r="S49" s="40"/>
      <c r="T49" s="40"/>
      <c r="U49" s="40"/>
    </row>
    <row r="50" spans="2:21" x14ac:dyDescent="0.3">
      <c r="B50" t="s">
        <v>236</v>
      </c>
      <c r="C50" s="81">
        <f>C17/FS!C53</f>
        <v>7.2088774536870126E-2</v>
      </c>
      <c r="D50" s="81">
        <f>D17/FS!D53</f>
        <v>7.6490796976732847E-2</v>
      </c>
      <c r="E50" s="81">
        <f>E17/FS!E53</f>
        <v>7.3039739453623437E-2</v>
      </c>
      <c r="F50" s="81">
        <f>F17/FS!F53</f>
        <v>4.3682948999102758E-2</v>
      </c>
      <c r="G50" s="81">
        <f>G17/FS!G53</f>
        <v>6.7338090588291932E-2</v>
      </c>
      <c r="H50" s="81">
        <f>H17/FS!I53</f>
        <v>6.7945748179209509E-2</v>
      </c>
      <c r="I50" s="90">
        <v>6.7945748179209509E-2</v>
      </c>
      <c r="J50" s="90">
        <v>6.7945748179209509E-2</v>
      </c>
      <c r="K50" s="90">
        <v>6.7945748179209509E-2</v>
      </c>
      <c r="L50" s="90">
        <v>6.7945748179209509E-2</v>
      </c>
      <c r="M50" s="40"/>
      <c r="N50" s="40"/>
      <c r="O50" s="40"/>
      <c r="P50" s="40"/>
      <c r="Q50" s="40"/>
      <c r="R50" s="40"/>
      <c r="S50" s="40"/>
      <c r="T50" s="40"/>
      <c r="U50" s="40"/>
    </row>
    <row r="51" spans="2:21" x14ac:dyDescent="0.3">
      <c r="C51" s="56"/>
      <c r="D51" s="56"/>
      <c r="E51" s="56"/>
      <c r="F51" s="56"/>
      <c r="G51" s="56"/>
      <c r="H51" s="56"/>
      <c r="I51" s="57"/>
      <c r="J51" s="57"/>
      <c r="K51" s="57"/>
      <c r="L51" s="57"/>
      <c r="M51" s="40"/>
      <c r="N51" s="40"/>
      <c r="O51" s="40"/>
      <c r="P51" s="40"/>
      <c r="Q51" s="40"/>
      <c r="R51" s="40"/>
      <c r="S51" s="40"/>
      <c r="T51" s="40"/>
      <c r="U51" s="40"/>
    </row>
    <row r="52" spans="2:21" x14ac:dyDescent="0.3">
      <c r="B52" t="s">
        <v>41</v>
      </c>
      <c r="C52" s="81">
        <f>C18/FS!C54</f>
        <v>9.9087296010461776E-2</v>
      </c>
      <c r="D52" s="81">
        <f>D18/FS!D54</f>
        <v>8.1907625902017278E-2</v>
      </c>
      <c r="E52" s="81">
        <f>E18/FS!E54</f>
        <v>7.6286448644662566E-2</v>
      </c>
      <c r="F52" s="81">
        <f>F18/FS!F54</f>
        <v>6.4773796874256523E-2</v>
      </c>
      <c r="G52" s="81">
        <f>G18/FS!G54</f>
        <v>6.5588744252401701E-2</v>
      </c>
      <c r="H52" s="81">
        <f>H18/FS!I54</f>
        <v>0.16009565667174794</v>
      </c>
      <c r="I52" s="99">
        <v>0.15</v>
      </c>
      <c r="J52" s="99">
        <v>0.15</v>
      </c>
      <c r="K52" s="99">
        <v>0.15</v>
      </c>
      <c r="L52" s="99">
        <v>0.15</v>
      </c>
      <c r="M52" s="40"/>
      <c r="N52" s="40"/>
      <c r="O52" s="40"/>
      <c r="P52" s="40"/>
      <c r="Q52" s="40"/>
      <c r="R52" s="40"/>
      <c r="S52" s="40"/>
      <c r="T52" s="40"/>
      <c r="U52" s="40"/>
    </row>
    <row r="53" spans="2:21" x14ac:dyDescent="0.3">
      <c r="B53" t="s">
        <v>237</v>
      </c>
      <c r="C53" s="81">
        <f t="shared" ref="C53:G53" si="8">C19/C289</f>
        <v>1.1597599943311558E-3</v>
      </c>
      <c r="D53" s="81">
        <f t="shared" si="8"/>
        <v>4.1594169972591525E-4</v>
      </c>
      <c r="E53" s="81">
        <f t="shared" si="8"/>
        <v>1.4076650817536707E-3</v>
      </c>
      <c r="F53" s="81">
        <f t="shared" si="8"/>
        <v>3.1829656479733098E-3</v>
      </c>
      <c r="G53" s="81">
        <f t="shared" si="8"/>
        <v>1.1410957381018155E-3</v>
      </c>
      <c r="H53" s="81">
        <f>H19/H289</f>
        <v>1.1209747962307678E-3</v>
      </c>
      <c r="I53" s="69">
        <v>1.1000000000000001E-3</v>
      </c>
      <c r="J53" s="69">
        <v>1.1000000000000001E-3</v>
      </c>
      <c r="K53" s="69">
        <v>1.1000000000000001E-3</v>
      </c>
      <c r="L53" s="69">
        <v>1.1000000000000001E-3</v>
      </c>
      <c r="M53" s="40"/>
      <c r="N53" s="40"/>
      <c r="O53" s="40"/>
      <c r="P53" s="40"/>
      <c r="Q53" s="40"/>
      <c r="R53" s="40"/>
      <c r="S53" s="40"/>
      <c r="T53" s="40"/>
      <c r="U53" s="40"/>
    </row>
    <row r="54" spans="2:21" x14ac:dyDescent="0.3">
      <c r="B54" s="4"/>
      <c r="C54" s="56"/>
      <c r="D54" s="56"/>
      <c r="E54" s="56"/>
      <c r="F54" s="56"/>
      <c r="G54" s="56"/>
      <c r="H54" s="56"/>
      <c r="I54" s="57"/>
      <c r="J54" s="57"/>
      <c r="K54" s="57"/>
      <c r="L54" s="57"/>
      <c r="M54" s="40"/>
      <c r="N54" s="40"/>
      <c r="O54" s="40"/>
      <c r="P54" s="40"/>
      <c r="Q54" s="40"/>
      <c r="R54" s="40"/>
      <c r="S54" s="40"/>
      <c r="T54" s="40"/>
      <c r="U54" s="40"/>
    </row>
    <row r="55" spans="2:21" x14ac:dyDescent="0.3">
      <c r="B55" s="4" t="s">
        <v>408</v>
      </c>
      <c r="C55" s="56"/>
      <c r="D55" s="56"/>
      <c r="E55" s="81">
        <f>E9/FS!D45</f>
        <v>2.9098613620419281E-2</v>
      </c>
      <c r="F55" s="81">
        <f>F9/FS!E45</f>
        <v>1.9629937662624688E-2</v>
      </c>
      <c r="G55" s="81">
        <f>G9/FS!F45</f>
        <v>8.7355719038697283E-3</v>
      </c>
      <c r="H55" s="81">
        <f>H9/FS!G45</f>
        <v>1.363589575244119E-2</v>
      </c>
      <c r="I55" s="69">
        <v>1.3599999999999999E-2</v>
      </c>
      <c r="J55" s="69">
        <v>1.3599999999999999E-2</v>
      </c>
      <c r="K55" s="69">
        <v>1.3599999999999999E-2</v>
      </c>
      <c r="L55" s="69">
        <v>1.3599999999999999E-2</v>
      </c>
      <c r="M55" s="40"/>
      <c r="N55" s="40"/>
      <c r="O55" s="40"/>
      <c r="P55" s="40"/>
      <c r="Q55" s="40"/>
      <c r="R55" s="40"/>
      <c r="S55" s="40"/>
      <c r="T55" s="40"/>
      <c r="U55" s="40"/>
    </row>
    <row r="56" spans="2:21" s="7" customFormat="1" x14ac:dyDescent="0.3">
      <c r="C56" s="59"/>
      <c r="D56" s="59"/>
      <c r="E56" s="59"/>
      <c r="F56" s="59"/>
      <c r="G56" s="59"/>
      <c r="H56" s="59"/>
      <c r="I56" s="60"/>
      <c r="J56" s="60"/>
      <c r="K56" s="60"/>
      <c r="L56" s="60"/>
      <c r="M56" s="63"/>
      <c r="N56" s="63"/>
      <c r="O56" s="63"/>
      <c r="P56" s="63"/>
      <c r="Q56" s="63"/>
      <c r="R56" s="63"/>
      <c r="S56" s="63"/>
      <c r="T56" s="63"/>
      <c r="U56" s="63"/>
    </row>
    <row r="57" spans="2:21" x14ac:dyDescent="0.3">
      <c r="C57" s="56"/>
      <c r="D57" s="56"/>
      <c r="E57" s="56"/>
      <c r="F57" s="56"/>
      <c r="G57" s="56"/>
      <c r="H57" s="56"/>
      <c r="I57" s="57"/>
      <c r="J57" s="57"/>
      <c r="K57" s="57"/>
      <c r="L57" s="57"/>
      <c r="M57" s="40"/>
      <c r="N57" s="40"/>
      <c r="O57" s="40"/>
      <c r="P57" s="40"/>
      <c r="Q57" s="40"/>
      <c r="R57" s="40"/>
      <c r="S57" s="40"/>
      <c r="T57" s="40"/>
      <c r="U57" s="40"/>
    </row>
    <row r="58" spans="2:21" x14ac:dyDescent="0.3">
      <c r="B58" t="s">
        <v>238</v>
      </c>
      <c r="C58" s="27">
        <v>64481804</v>
      </c>
      <c r="D58" s="27">
        <v>72933030</v>
      </c>
      <c r="E58" s="27">
        <v>80931352</v>
      </c>
      <c r="F58" s="27">
        <v>73218911</v>
      </c>
      <c r="G58" s="27">
        <v>66401846</v>
      </c>
      <c r="H58" s="27">
        <v>137727868</v>
      </c>
      <c r="I58" s="57">
        <f>I63+I69</f>
        <v>222694934.72680619</v>
      </c>
      <c r="J58" s="57">
        <f t="shared" ref="J58:L58" si="9">J63+J69</f>
        <v>232020487.58764628</v>
      </c>
      <c r="K58" s="57">
        <f t="shared" si="9"/>
        <v>266158409.24064526</v>
      </c>
      <c r="L58" s="57">
        <f t="shared" si="9"/>
        <v>300807884.65727943</v>
      </c>
      <c r="M58" s="57"/>
      <c r="N58" s="57">
        <f>FS!P8/9*12</f>
        <v>218251002.66666669</v>
      </c>
      <c r="O58" s="57"/>
      <c r="P58" s="27">
        <v>113361974</v>
      </c>
      <c r="Q58" s="27">
        <v>47404088</v>
      </c>
      <c r="R58" s="57">
        <f t="shared" ref="R58" si="10">P58*2</f>
        <v>226723948</v>
      </c>
      <c r="S58" s="40"/>
      <c r="T58" s="40"/>
      <c r="U58" s="40"/>
    </row>
    <row r="59" spans="2:21" x14ac:dyDescent="0.3">
      <c r="C59" s="56"/>
      <c r="D59" s="56"/>
      <c r="E59" s="56"/>
      <c r="F59" s="56"/>
      <c r="G59" s="56"/>
      <c r="H59" s="56"/>
      <c r="I59" s="57"/>
      <c r="J59" s="57"/>
      <c r="K59" s="57"/>
      <c r="L59" s="57"/>
      <c r="M59" s="40"/>
      <c r="N59" s="40"/>
      <c r="O59" s="40"/>
      <c r="P59" s="40"/>
      <c r="Q59" s="40"/>
      <c r="R59" s="40"/>
      <c r="S59" s="40"/>
      <c r="T59" s="40"/>
      <c r="U59" s="40"/>
    </row>
    <row r="60" spans="2:21" x14ac:dyDescent="0.3">
      <c r="B60" t="s">
        <v>108</v>
      </c>
      <c r="C60" s="28">
        <v>2069416</v>
      </c>
      <c r="D60" s="28">
        <v>2313673</v>
      </c>
      <c r="E60" s="28">
        <v>2484166</v>
      </c>
      <c r="F60" s="28">
        <v>2845641</v>
      </c>
      <c r="G60" s="28">
        <v>3326777</v>
      </c>
      <c r="H60" s="28">
        <v>4019415</v>
      </c>
      <c r="I60" s="57"/>
      <c r="J60" s="57"/>
      <c r="K60" s="57"/>
      <c r="L60" s="57"/>
      <c r="M60" s="40"/>
      <c r="N60" s="40"/>
      <c r="O60" s="40"/>
      <c r="P60" s="40"/>
      <c r="Q60" s="40"/>
      <c r="R60" s="40"/>
      <c r="S60" s="40"/>
      <c r="T60" s="40"/>
      <c r="U60" s="40"/>
    </row>
    <row r="61" spans="2:21" x14ac:dyDescent="0.3">
      <c r="B61" t="s">
        <v>50</v>
      </c>
      <c r="C61" s="28">
        <v>38702</v>
      </c>
      <c r="D61" s="28">
        <v>57860</v>
      </c>
      <c r="E61" s="28">
        <v>63161</v>
      </c>
      <c r="F61" s="28">
        <v>65473</v>
      </c>
      <c r="G61" s="28">
        <v>196903</v>
      </c>
      <c r="H61" s="28">
        <v>422823</v>
      </c>
      <c r="I61" s="57"/>
      <c r="J61" s="57"/>
      <c r="K61" s="57"/>
      <c r="L61" s="57"/>
      <c r="M61" s="40"/>
      <c r="N61" s="40"/>
      <c r="O61" s="40"/>
      <c r="P61" s="40"/>
      <c r="Q61" s="40"/>
      <c r="R61" s="40"/>
      <c r="S61" s="40"/>
      <c r="T61" s="40"/>
      <c r="U61" s="40"/>
    </row>
    <row r="62" spans="2:21" x14ac:dyDescent="0.3">
      <c r="B62" t="s">
        <v>51</v>
      </c>
      <c r="C62" s="28">
        <v>5943417</v>
      </c>
      <c r="D62" s="28">
        <v>3815335</v>
      </c>
      <c r="E62" s="28">
        <v>3256622</v>
      </c>
      <c r="F62" s="28">
        <v>3516363</v>
      </c>
      <c r="G62" s="28">
        <v>6190149</v>
      </c>
      <c r="H62" s="28">
        <v>21906770</v>
      </c>
      <c r="I62" s="57"/>
      <c r="J62" s="57"/>
      <c r="K62" s="57"/>
      <c r="L62" s="57"/>
      <c r="M62" s="40"/>
      <c r="N62" s="40"/>
      <c r="O62" s="40"/>
      <c r="P62" s="40"/>
      <c r="Q62" s="40"/>
      <c r="R62" s="40"/>
      <c r="S62" s="40"/>
      <c r="T62" s="40"/>
      <c r="U62" s="40"/>
    </row>
    <row r="63" spans="2:21" x14ac:dyDescent="0.3">
      <c r="B63" t="s">
        <v>52</v>
      </c>
      <c r="C63" s="28">
        <v>53385259</v>
      </c>
      <c r="D63" s="28">
        <v>62397741</v>
      </c>
      <c r="E63" s="28">
        <v>69503417</v>
      </c>
      <c r="F63" s="28">
        <v>61416382</v>
      </c>
      <c r="G63" s="28">
        <v>51533473</v>
      </c>
      <c r="H63" s="28">
        <v>105008989</v>
      </c>
      <c r="I63" s="57">
        <f>I501*I71</f>
        <v>189991110.97889996</v>
      </c>
      <c r="J63" s="57">
        <f>J501*J71</f>
        <v>188996667.14733002</v>
      </c>
      <c r="K63" s="57">
        <f>K501*K71</f>
        <v>214577426.23574245</v>
      </c>
      <c r="L63" s="57">
        <f>L501*L71</f>
        <v>238803909.84300369</v>
      </c>
      <c r="M63" s="40"/>
      <c r="N63" s="40"/>
      <c r="O63" s="40"/>
      <c r="P63" s="40"/>
      <c r="Q63" s="40"/>
      <c r="R63" s="40"/>
      <c r="S63" s="40"/>
      <c r="T63" s="40"/>
      <c r="U63" s="40"/>
    </row>
    <row r="64" spans="2:21" x14ac:dyDescent="0.3">
      <c r="B64" t="s">
        <v>239</v>
      </c>
      <c r="C64" s="28">
        <v>352074</v>
      </c>
      <c r="D64" s="28">
        <v>427958</v>
      </c>
      <c r="E64" s="28">
        <v>472813</v>
      </c>
      <c r="F64" s="28">
        <v>578780</v>
      </c>
      <c r="G64" s="28">
        <v>679976</v>
      </c>
      <c r="H64" s="28">
        <v>551968</v>
      </c>
      <c r="I64" s="57"/>
      <c r="J64" s="57"/>
      <c r="K64" s="57"/>
      <c r="L64" s="57"/>
      <c r="M64" s="40"/>
      <c r="N64" s="40"/>
      <c r="O64" s="40"/>
      <c r="P64" s="40"/>
      <c r="Q64" s="40"/>
      <c r="R64" s="40"/>
      <c r="S64" s="40"/>
      <c r="T64" s="40"/>
      <c r="U64" s="40"/>
    </row>
    <row r="65" spans="2:21" x14ac:dyDescent="0.3">
      <c r="B65" t="s">
        <v>240</v>
      </c>
      <c r="C65" s="28">
        <v>315242</v>
      </c>
      <c r="D65" s="28">
        <v>814910</v>
      </c>
      <c r="E65" s="28">
        <v>872931</v>
      </c>
      <c r="F65" s="28">
        <v>603597</v>
      </c>
      <c r="G65" s="28">
        <v>624395</v>
      </c>
      <c r="H65" s="28">
        <v>476698</v>
      </c>
      <c r="I65" s="57"/>
      <c r="J65" s="57"/>
      <c r="K65" s="57"/>
      <c r="L65" s="57"/>
      <c r="M65" s="40"/>
      <c r="N65" s="40"/>
      <c r="O65" s="40"/>
      <c r="P65" s="40"/>
      <c r="Q65" s="40"/>
      <c r="R65" s="40"/>
      <c r="S65" s="40"/>
      <c r="T65" s="40"/>
      <c r="U65" s="40"/>
    </row>
    <row r="66" spans="2:21" x14ac:dyDescent="0.3">
      <c r="B66" t="s">
        <v>58</v>
      </c>
      <c r="C66" s="28">
        <v>2377694</v>
      </c>
      <c r="D66" s="28">
        <v>3105553</v>
      </c>
      <c r="E66" s="28">
        <v>3848979</v>
      </c>
      <c r="F66" s="28">
        <v>3756921</v>
      </c>
      <c r="G66" s="28">
        <v>3398554</v>
      </c>
      <c r="H66" s="28">
        <v>4843571</v>
      </c>
      <c r="I66" s="57"/>
      <c r="J66" s="57"/>
      <c r="K66" s="57"/>
      <c r="L66" s="57"/>
      <c r="M66" s="40"/>
      <c r="N66" s="40"/>
      <c r="O66" s="40"/>
      <c r="P66" s="40"/>
      <c r="Q66" s="40"/>
      <c r="R66" s="40"/>
      <c r="S66" s="40"/>
      <c r="T66" s="40"/>
      <c r="U66" s="40"/>
    </row>
    <row r="67" spans="2:21" x14ac:dyDescent="0.3">
      <c r="B67" t="s">
        <v>241</v>
      </c>
      <c r="C67" s="56"/>
      <c r="D67" s="56"/>
      <c r="E67" s="28">
        <v>429263</v>
      </c>
      <c r="F67" s="28">
        <v>435754</v>
      </c>
      <c r="G67" s="28">
        <v>451619</v>
      </c>
      <c r="H67" s="28">
        <v>497634</v>
      </c>
      <c r="I67" s="57"/>
      <c r="J67" s="57"/>
      <c r="K67" s="57"/>
      <c r="L67" s="57"/>
      <c r="M67" s="40"/>
      <c r="N67" s="40"/>
      <c r="O67" s="40"/>
      <c r="P67" s="40"/>
      <c r="Q67" s="40"/>
      <c r="R67" s="40"/>
      <c r="S67" s="40"/>
      <c r="T67" s="40"/>
      <c r="U67" s="40"/>
    </row>
    <row r="68" spans="2:21" x14ac:dyDescent="0.3">
      <c r="C68" s="56"/>
      <c r="D68" s="56"/>
      <c r="E68" s="56"/>
      <c r="F68" s="56"/>
      <c r="G68" s="56"/>
      <c r="H68" s="56"/>
      <c r="I68" s="57"/>
      <c r="J68" s="57"/>
      <c r="K68" s="57"/>
      <c r="L68" s="57"/>
      <c r="M68" s="40"/>
      <c r="N68" s="40"/>
      <c r="O68" s="40"/>
      <c r="P68" s="40"/>
      <c r="Q68" s="40"/>
      <c r="R68" s="40"/>
      <c r="S68" s="40"/>
      <c r="T68" s="40"/>
      <c r="U68" s="40"/>
    </row>
    <row r="69" spans="2:21" x14ac:dyDescent="0.3">
      <c r="B69" t="s">
        <v>407</v>
      </c>
      <c r="C69" s="56">
        <f t="shared" ref="C69:G69" si="11">C60+C61+C62+C64+C65+C66+C67</f>
        <v>11096545</v>
      </c>
      <c r="D69" s="56">
        <f t="shared" si="11"/>
        <v>10535289</v>
      </c>
      <c r="E69" s="56">
        <f t="shared" si="11"/>
        <v>11427935</v>
      </c>
      <c r="F69" s="56">
        <f t="shared" si="11"/>
        <v>11802529</v>
      </c>
      <c r="G69" s="56">
        <f t="shared" si="11"/>
        <v>14868373</v>
      </c>
      <c r="H69" s="56">
        <f>H60+H61+H62+H64+H65+H66+H67</f>
        <v>32718879</v>
      </c>
      <c r="I69" s="57">
        <f>I72*(FS!J64+FS!J65+FS!J66+FS!J68)</f>
        <v>32703823.747906249</v>
      </c>
      <c r="J69" s="57">
        <f>J72*(FS!K64+FS!K65+FS!K66+FS!K68)</f>
        <v>43023820.44031626</v>
      </c>
      <c r="K69" s="57">
        <f>K72*(FS!L64+FS!L65+FS!L66+FS!L68)</f>
        <v>51580983.00490281</v>
      </c>
      <c r="L69" s="57">
        <f>L72*(FS!M64+FS!M65+FS!M66+FS!M68)</f>
        <v>62003974.814275719</v>
      </c>
      <c r="M69" s="40"/>
      <c r="N69" s="40"/>
      <c r="O69" s="40"/>
      <c r="P69" s="40"/>
      <c r="Q69" s="40"/>
      <c r="R69" s="40"/>
      <c r="S69" s="40"/>
      <c r="T69" s="40"/>
      <c r="U69" s="40"/>
    </row>
    <row r="70" spans="2:21" x14ac:dyDescent="0.3">
      <c r="C70" s="56"/>
      <c r="D70" s="56"/>
      <c r="E70" s="56"/>
      <c r="F70" s="56"/>
      <c r="G70" s="56"/>
      <c r="H70" s="56"/>
      <c r="I70" s="57"/>
      <c r="J70" s="57"/>
      <c r="K70" s="57"/>
      <c r="L70" s="57"/>
      <c r="M70" s="40"/>
      <c r="N70" s="40"/>
      <c r="O70" s="40"/>
      <c r="P70" s="40"/>
      <c r="Q70" s="40"/>
      <c r="R70" s="40"/>
      <c r="S70" s="40"/>
      <c r="T70" s="40"/>
      <c r="U70" s="40"/>
    </row>
    <row r="71" spans="2:21" x14ac:dyDescent="0.3">
      <c r="B71" t="s">
        <v>405</v>
      </c>
      <c r="C71" s="81">
        <f t="shared" ref="C71:H71" si="12">C63/C501</f>
        <v>6.2273566301396015E-2</v>
      </c>
      <c r="D71" s="81">
        <f t="shared" si="12"/>
        <v>6.2750974076950919E-2</v>
      </c>
      <c r="E71" s="81">
        <f t="shared" si="12"/>
        <v>6.5018287337172506E-2</v>
      </c>
      <c r="F71" s="81">
        <f t="shared" si="12"/>
        <v>4.7734804288002863E-2</v>
      </c>
      <c r="G71" s="81">
        <f t="shared" si="12"/>
        <v>3.4993927261767414E-2</v>
      </c>
      <c r="H71" s="81">
        <f t="shared" si="12"/>
        <v>5.3095348538194607E-2</v>
      </c>
      <c r="I71" s="69">
        <v>8.7999999999999995E-2</v>
      </c>
      <c r="J71" s="69">
        <v>0.08</v>
      </c>
      <c r="K71" s="69">
        <v>0.08</v>
      </c>
      <c r="L71" s="69">
        <v>0.08</v>
      </c>
      <c r="M71" s="40"/>
      <c r="N71" s="40"/>
      <c r="O71" s="40"/>
      <c r="P71" s="40"/>
      <c r="Q71" s="40"/>
      <c r="R71" s="40"/>
      <c r="S71" s="40"/>
      <c r="T71" s="40"/>
      <c r="U71" s="40"/>
    </row>
    <row r="72" spans="2:21" x14ac:dyDescent="0.3">
      <c r="B72" t="s">
        <v>406</v>
      </c>
      <c r="C72" s="81">
        <f>(C60+C61+C62+C64+C65+C66+C67)/(FS!C64+FS!C65+FS!C66+FS!C68)</f>
        <v>8.0853936224198064E-2</v>
      </c>
      <c r="D72" s="81">
        <f>(D60+D61+D62+D64+D65+D66+D67)/(FS!D64+FS!D65+FS!D66+FS!D68)</f>
        <v>7.821464451127437E-2</v>
      </c>
      <c r="E72" s="81">
        <f>(E60+E61+E62+E64+E65+E66+E67)/(FS!E64+FS!E65+FS!E66+FS!E68)</f>
        <v>8.8131604524033527E-2</v>
      </c>
      <c r="F72" s="81">
        <f>(F60+F61+F62+F64+F65+F66+F67)/(FS!F64+FS!F65+FS!F66+FS!F68)</f>
        <v>5.0070806798292629E-2</v>
      </c>
      <c r="G72" s="81">
        <f>(G60+G61+G62+G64+G65+G66+G67)/(FS!G64+FS!G65+FS!G66+FS!G68)</f>
        <v>5.720688694849152E-2</v>
      </c>
      <c r="H72" s="81">
        <f>(H60+H61+H62+H64+H65+H66+H67)/(FS!I64+FS!I65+FS!I66+FS!I68)</f>
        <v>0.18004251371996272</v>
      </c>
      <c r="I72" s="69">
        <v>0.19</v>
      </c>
      <c r="J72" s="69">
        <v>0.2</v>
      </c>
      <c r="K72" s="69">
        <v>0.2</v>
      </c>
      <c r="L72" s="69">
        <v>0.2</v>
      </c>
      <c r="M72" s="40"/>
      <c r="N72" s="40"/>
      <c r="O72" s="40"/>
      <c r="P72" s="40"/>
      <c r="Q72" s="40"/>
      <c r="R72" s="40"/>
      <c r="S72" s="40"/>
      <c r="T72" s="40"/>
      <c r="U72" s="40"/>
    </row>
    <row r="73" spans="2:21" x14ac:dyDescent="0.3">
      <c r="C73" s="61"/>
      <c r="D73" s="61"/>
      <c r="E73" s="61"/>
      <c r="F73" s="61"/>
      <c r="G73" s="61"/>
      <c r="H73" s="61"/>
      <c r="I73" s="57"/>
      <c r="J73" s="57"/>
      <c r="K73" s="57"/>
      <c r="L73" s="57"/>
      <c r="M73" s="40"/>
      <c r="N73" s="40"/>
      <c r="O73" s="40"/>
      <c r="P73" s="40"/>
      <c r="Q73" s="40"/>
      <c r="R73" s="40"/>
      <c r="S73" s="40"/>
      <c r="T73" s="40"/>
      <c r="U73" s="40"/>
    </row>
    <row r="74" spans="2:21" s="33" customFormat="1" x14ac:dyDescent="0.3">
      <c r="B74" s="51" t="s">
        <v>179</v>
      </c>
      <c r="C74" s="56">
        <f t="shared" ref="C74:G74" si="13">SUM(C60:C67)-C58</f>
        <v>0</v>
      </c>
      <c r="D74" s="56">
        <f t="shared" si="13"/>
        <v>0</v>
      </c>
      <c r="E74" s="56">
        <f t="shared" si="13"/>
        <v>0</v>
      </c>
      <c r="F74" s="56">
        <f t="shared" si="13"/>
        <v>0</v>
      </c>
      <c r="G74" s="56">
        <f t="shared" si="13"/>
        <v>0</v>
      </c>
      <c r="H74" s="56">
        <f>SUM(H60:H67)-H58</f>
        <v>0</v>
      </c>
      <c r="I74" s="57"/>
      <c r="J74" s="57"/>
      <c r="K74" s="57"/>
      <c r="L74" s="57"/>
      <c r="M74" s="40"/>
      <c r="N74" s="40"/>
      <c r="O74" s="40"/>
      <c r="P74" s="40"/>
      <c r="Q74" s="40"/>
      <c r="R74" s="40"/>
      <c r="S74" s="40"/>
      <c r="T74" s="40"/>
      <c r="U74" s="40"/>
    </row>
    <row r="75" spans="2:21" x14ac:dyDescent="0.3">
      <c r="C75" s="54"/>
      <c r="D75" s="54"/>
      <c r="E75" s="54"/>
      <c r="F75" s="54"/>
      <c r="G75" s="54"/>
      <c r="H75" s="54"/>
      <c r="I75" s="57"/>
      <c r="J75" s="57"/>
      <c r="K75" s="57"/>
      <c r="L75" s="57"/>
      <c r="M75" s="40"/>
      <c r="N75" s="40"/>
      <c r="O75" s="40"/>
      <c r="P75" s="40"/>
      <c r="Q75" s="40"/>
      <c r="R75" s="40"/>
      <c r="S75" s="40"/>
      <c r="T75" s="40"/>
      <c r="U75" s="40"/>
    </row>
    <row r="76" spans="2:21" s="7" customFormat="1" x14ac:dyDescent="0.3">
      <c r="C76" s="62"/>
      <c r="D76" s="62"/>
      <c r="E76" s="62"/>
      <c r="F76" s="62"/>
      <c r="G76" s="62"/>
      <c r="H76" s="62"/>
      <c r="I76" s="60"/>
      <c r="J76" s="60"/>
      <c r="K76" s="60"/>
      <c r="L76" s="60"/>
      <c r="M76" s="63"/>
      <c r="N76" s="63"/>
      <c r="O76" s="63"/>
      <c r="P76" s="63"/>
      <c r="Q76" s="63"/>
      <c r="R76" s="63"/>
      <c r="S76" s="63"/>
      <c r="T76" s="63"/>
      <c r="U76" s="63"/>
    </row>
    <row r="77" spans="2:21" x14ac:dyDescent="0.3">
      <c r="C77" s="54"/>
      <c r="D77" s="54"/>
      <c r="E77" s="54"/>
      <c r="F77" s="54"/>
      <c r="G77" s="54"/>
      <c r="H77" s="54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</row>
    <row r="78" spans="2:21" x14ac:dyDescent="0.3">
      <c r="B78" t="s">
        <v>11</v>
      </c>
      <c r="C78" s="27">
        <v>10510800</v>
      </c>
      <c r="D78" s="27">
        <v>12494090</v>
      </c>
      <c r="E78" s="27">
        <v>12874966</v>
      </c>
      <c r="F78" s="27">
        <v>11839689</v>
      </c>
      <c r="G78" s="27">
        <v>15917337</v>
      </c>
      <c r="H78" s="27">
        <v>26191530</v>
      </c>
      <c r="I78" s="57">
        <f>I89*FS!J52</f>
        <v>30373716.660834748</v>
      </c>
      <c r="J78" s="57">
        <f>J89*FS!K52</f>
        <v>35658825.793979719</v>
      </c>
      <c r="K78" s="57">
        <f>K89*FS!L52</f>
        <v>41280197.603658363</v>
      </c>
      <c r="L78" s="57">
        <f>L89*FS!M52</f>
        <v>47701080.991139993</v>
      </c>
      <c r="M78" s="57"/>
      <c r="N78" s="57">
        <f>FS!P10/9*12</f>
        <v>29379306.666666664</v>
      </c>
      <c r="O78" s="57"/>
      <c r="P78" s="27">
        <v>14377446</v>
      </c>
      <c r="Q78" s="27">
        <v>11758745</v>
      </c>
      <c r="R78" s="57">
        <f t="shared" ref="R78" si="14">P78*2</f>
        <v>28754892</v>
      </c>
      <c r="S78" s="40"/>
      <c r="T78" s="40"/>
      <c r="U78" s="40"/>
    </row>
    <row r="79" spans="2:21" x14ac:dyDescent="0.3">
      <c r="C79" s="54"/>
      <c r="D79" s="54"/>
      <c r="E79" s="54"/>
      <c r="F79" s="54"/>
      <c r="G79" s="54"/>
      <c r="H79" s="54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</row>
    <row r="80" spans="2:21" x14ac:dyDescent="0.3">
      <c r="B80" t="s">
        <v>248</v>
      </c>
      <c r="C80" s="27">
        <v>834468</v>
      </c>
      <c r="D80" s="27">
        <v>944858</v>
      </c>
      <c r="E80" s="27">
        <v>881213</v>
      </c>
      <c r="F80" s="27">
        <v>861317</v>
      </c>
      <c r="G80" s="27">
        <v>995957</v>
      </c>
      <c r="H80" s="27">
        <v>683255</v>
      </c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</row>
    <row r="81" spans="2:21" x14ac:dyDescent="0.3">
      <c r="B81" t="s">
        <v>249</v>
      </c>
      <c r="C81" s="27">
        <v>3389773</v>
      </c>
      <c r="D81" s="27">
        <v>4191679</v>
      </c>
      <c r="E81" s="27">
        <v>4566923</v>
      </c>
      <c r="F81" s="27">
        <v>3723129</v>
      </c>
      <c r="G81" s="27">
        <v>6011952</v>
      </c>
      <c r="H81" s="27">
        <v>9963857</v>
      </c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</row>
    <row r="82" spans="2:21" x14ac:dyDescent="0.3">
      <c r="B82" t="s">
        <v>250</v>
      </c>
      <c r="C82" s="27">
        <v>3184574</v>
      </c>
      <c r="D82" s="27">
        <v>3812516</v>
      </c>
      <c r="E82" s="27">
        <v>3998926</v>
      </c>
      <c r="F82" s="27">
        <v>4431425</v>
      </c>
      <c r="G82" s="27">
        <v>5618954</v>
      </c>
      <c r="H82" s="27">
        <v>11155415</v>
      </c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</row>
    <row r="83" spans="2:21" x14ac:dyDescent="0.3">
      <c r="B83" t="s">
        <v>251</v>
      </c>
      <c r="C83" s="27">
        <v>1687448</v>
      </c>
      <c r="D83" s="27">
        <v>1952323</v>
      </c>
      <c r="E83" s="27">
        <v>1852565</v>
      </c>
      <c r="F83" s="27">
        <v>1151909</v>
      </c>
      <c r="G83" s="27">
        <v>1152602</v>
      </c>
      <c r="H83" s="27">
        <v>1333869</v>
      </c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</row>
    <row r="84" spans="2:21" x14ac:dyDescent="0.3">
      <c r="B84" t="s">
        <v>252</v>
      </c>
      <c r="C84" s="27">
        <v>798583</v>
      </c>
      <c r="D84" s="27">
        <v>1063585</v>
      </c>
      <c r="E84" s="27">
        <v>942615</v>
      </c>
      <c r="F84" s="27">
        <v>908508</v>
      </c>
      <c r="G84" s="27">
        <v>1091690</v>
      </c>
      <c r="H84" s="27">
        <v>1342030</v>
      </c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</row>
    <row r="85" spans="2:21" x14ac:dyDescent="0.3">
      <c r="B85" t="s">
        <v>253</v>
      </c>
      <c r="C85" s="27">
        <v>615954</v>
      </c>
      <c r="D85" s="27">
        <v>529129</v>
      </c>
      <c r="E85" s="27">
        <v>632724</v>
      </c>
      <c r="F85" s="27">
        <v>763401</v>
      </c>
      <c r="G85" s="27">
        <v>1046182</v>
      </c>
      <c r="H85" s="27">
        <v>1713104</v>
      </c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</row>
    <row r="86" spans="2:21" x14ac:dyDescent="0.3">
      <c r="C86" s="54"/>
      <c r="D86" s="54"/>
      <c r="E86" s="54"/>
      <c r="F86" s="54"/>
      <c r="G86" s="54"/>
      <c r="H86" s="54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</row>
    <row r="87" spans="2:21" s="33" customFormat="1" x14ac:dyDescent="0.3">
      <c r="B87" s="33" t="s">
        <v>179</v>
      </c>
      <c r="C87" s="54">
        <f t="shared" ref="C87:G87" si="15">SUM(C80:C85)-C78</f>
        <v>0</v>
      </c>
      <c r="D87" s="54">
        <f t="shared" si="15"/>
        <v>0</v>
      </c>
      <c r="E87" s="54">
        <f t="shared" si="15"/>
        <v>0</v>
      </c>
      <c r="F87" s="54">
        <f t="shared" si="15"/>
        <v>0</v>
      </c>
      <c r="G87" s="54">
        <f t="shared" si="15"/>
        <v>0</v>
      </c>
      <c r="H87" s="54">
        <f>SUM(H80:H85)-H78</f>
        <v>0</v>
      </c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</row>
    <row r="88" spans="2:21" x14ac:dyDescent="0.3">
      <c r="C88" s="54"/>
      <c r="D88" s="54"/>
      <c r="E88" s="54"/>
      <c r="F88" s="54"/>
      <c r="G88" s="54"/>
      <c r="H88" s="54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</row>
    <row r="89" spans="2:21" x14ac:dyDescent="0.3">
      <c r="B89" t="s">
        <v>409</v>
      </c>
      <c r="C89" s="54"/>
      <c r="D89" s="54"/>
      <c r="E89" s="69">
        <f>E78/FS!E52</f>
        <v>1.4402827908032519E-2</v>
      </c>
      <c r="F89" s="69">
        <f>F78/FS!F52</f>
        <v>1.3013090110062991E-2</v>
      </c>
      <c r="G89" s="69">
        <f>G78/FS!G52</f>
        <v>1.5459968142961029E-2</v>
      </c>
      <c r="H89" s="69">
        <f>H78/FS!I52</f>
        <v>2.2666983462022856E-2</v>
      </c>
      <c r="I89" s="69">
        <v>2.5000000000000001E-2</v>
      </c>
      <c r="J89" s="69">
        <v>2.5000000000000001E-2</v>
      </c>
      <c r="K89" s="69">
        <v>2.5000000000000001E-2</v>
      </c>
      <c r="L89" s="69">
        <v>2.5000000000000001E-2</v>
      </c>
      <c r="M89" s="40"/>
      <c r="N89" s="40"/>
      <c r="O89" s="40"/>
      <c r="P89" s="40"/>
      <c r="Q89" s="40"/>
      <c r="R89" s="40"/>
      <c r="S89" s="40"/>
      <c r="T89" s="40"/>
      <c r="U89" s="40"/>
    </row>
    <row r="90" spans="2:21" x14ac:dyDescent="0.3">
      <c r="C90" s="54"/>
      <c r="D90" s="54"/>
      <c r="E90" s="54"/>
      <c r="F90" s="54"/>
      <c r="G90" s="54"/>
      <c r="H90" s="54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</row>
    <row r="91" spans="2:21" s="7" customFormat="1" x14ac:dyDescent="0.3">
      <c r="C91" s="62"/>
      <c r="D91" s="62"/>
      <c r="E91" s="62"/>
      <c r="F91" s="62"/>
      <c r="G91" s="62"/>
      <c r="H91" s="62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</row>
    <row r="92" spans="2:21" x14ac:dyDescent="0.3">
      <c r="C92" s="54"/>
      <c r="D92" s="54"/>
      <c r="E92" s="54"/>
      <c r="F92" s="54"/>
      <c r="G92" s="54"/>
      <c r="H92" s="54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</row>
    <row r="93" spans="2:21" x14ac:dyDescent="0.3">
      <c r="B93" t="s">
        <v>254</v>
      </c>
      <c r="C93" s="27">
        <v>1586334</v>
      </c>
      <c r="D93" s="27">
        <v>1859698</v>
      </c>
      <c r="E93" s="27">
        <v>2123128</v>
      </c>
      <c r="F93" s="27">
        <v>2018014</v>
      </c>
      <c r="G93" s="27">
        <v>3675143</v>
      </c>
      <c r="H93" s="27">
        <v>6022429</v>
      </c>
      <c r="I93" s="57">
        <f>I102*I78</f>
        <v>7593429.1652086871</v>
      </c>
      <c r="J93" s="57">
        <f t="shared" ref="J93:L93" si="16">J102*J78</f>
        <v>8201529.932615336</v>
      </c>
      <c r="K93" s="57">
        <f t="shared" si="16"/>
        <v>9494445.4488414247</v>
      </c>
      <c r="L93" s="57">
        <f t="shared" si="16"/>
        <v>10971248.627962198</v>
      </c>
      <c r="M93" s="57"/>
      <c r="N93" s="57">
        <f>FS!P11/9*12</f>
        <v>7766089.333333334</v>
      </c>
      <c r="O93" s="57"/>
      <c r="P93" s="27">
        <v>3786488</v>
      </c>
      <c r="Q93" s="27">
        <v>2881243</v>
      </c>
      <c r="R93" s="57">
        <f t="shared" ref="R93" si="17">P93*2</f>
        <v>7572976</v>
      </c>
      <c r="S93" s="40"/>
      <c r="T93" s="40"/>
      <c r="U93" s="40"/>
    </row>
    <row r="94" spans="2:21" x14ac:dyDescent="0.3">
      <c r="C94" s="54"/>
      <c r="D94" s="54"/>
      <c r="E94" s="54"/>
      <c r="F94" s="54"/>
      <c r="G94" s="54"/>
      <c r="H94" s="54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</row>
    <row r="95" spans="2:21" x14ac:dyDescent="0.3">
      <c r="B95" t="s">
        <v>248</v>
      </c>
      <c r="C95" s="27">
        <v>58313</v>
      </c>
      <c r="D95" s="27">
        <v>66131</v>
      </c>
      <c r="E95" s="27">
        <v>54028</v>
      </c>
      <c r="F95" s="27">
        <v>48591</v>
      </c>
      <c r="G95" s="27">
        <v>52020</v>
      </c>
      <c r="H95" s="27">
        <v>57915</v>
      </c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</row>
    <row r="96" spans="2:21" x14ac:dyDescent="0.3">
      <c r="B96" t="s">
        <v>249</v>
      </c>
      <c r="C96" s="27">
        <v>1385010</v>
      </c>
      <c r="D96" s="27">
        <v>1631600</v>
      </c>
      <c r="E96" s="27">
        <v>1877797</v>
      </c>
      <c r="F96" s="27">
        <v>1811962</v>
      </c>
      <c r="G96" s="27">
        <v>3439222</v>
      </c>
      <c r="H96" s="27">
        <v>5721589</v>
      </c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</row>
    <row r="97" spans="2:21" x14ac:dyDescent="0.3">
      <c r="B97" t="s">
        <v>250</v>
      </c>
      <c r="C97" s="27">
        <v>44205</v>
      </c>
      <c r="D97" s="27">
        <v>47204</v>
      </c>
      <c r="E97" s="27">
        <v>62299</v>
      </c>
      <c r="F97" s="27">
        <v>55456</v>
      </c>
      <c r="G97" s="27">
        <v>63092</v>
      </c>
      <c r="H97" s="27">
        <v>89244</v>
      </c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</row>
    <row r="98" spans="2:21" x14ac:dyDescent="0.3">
      <c r="B98" t="s">
        <v>253</v>
      </c>
      <c r="C98" s="27">
        <v>98806</v>
      </c>
      <c r="D98" s="27">
        <v>114763</v>
      </c>
      <c r="E98" s="27">
        <v>129004</v>
      </c>
      <c r="F98" s="27">
        <v>102005</v>
      </c>
      <c r="G98" s="27">
        <v>120809</v>
      </c>
      <c r="H98" s="27">
        <v>153681</v>
      </c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</row>
    <row r="99" spans="2:21" x14ac:dyDescent="0.3">
      <c r="C99" s="54"/>
      <c r="D99" s="54"/>
      <c r="E99" s="54"/>
      <c r="F99" s="54"/>
      <c r="G99" s="54"/>
      <c r="H99" s="54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</row>
    <row r="100" spans="2:21" s="33" customFormat="1" x14ac:dyDescent="0.3">
      <c r="B100" s="33" t="s">
        <v>179</v>
      </c>
      <c r="C100" s="54">
        <f t="shared" ref="C100:G100" si="18">SUM(C95:C98)-C93</f>
        <v>0</v>
      </c>
      <c r="D100" s="54">
        <f t="shared" si="18"/>
        <v>0</v>
      </c>
      <c r="E100" s="54">
        <f t="shared" si="18"/>
        <v>0</v>
      </c>
      <c r="F100" s="54">
        <f t="shared" si="18"/>
        <v>0</v>
      </c>
      <c r="G100" s="54">
        <f t="shared" si="18"/>
        <v>0</v>
      </c>
      <c r="H100" s="54">
        <f>SUM(H95:H98)-H93</f>
        <v>0</v>
      </c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</row>
    <row r="101" spans="2:21" x14ac:dyDescent="0.3">
      <c r="C101" s="54"/>
      <c r="D101" s="54"/>
      <c r="E101" s="54"/>
      <c r="F101" s="54"/>
      <c r="G101" s="54"/>
      <c r="H101" s="54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</row>
    <row r="102" spans="2:21" x14ac:dyDescent="0.3">
      <c r="B102" t="s">
        <v>410</v>
      </c>
      <c r="C102" s="69">
        <f t="shared" ref="C102:G102" si="19">C93/C78</f>
        <v>0.15092419225939036</v>
      </c>
      <c r="D102" s="69">
        <f t="shared" si="19"/>
        <v>0.14884621449021096</v>
      </c>
      <c r="E102" s="69">
        <f t="shared" si="19"/>
        <v>0.16490358110460254</v>
      </c>
      <c r="F102" s="69">
        <f t="shared" si="19"/>
        <v>0.17044484867803539</v>
      </c>
      <c r="G102" s="69">
        <f t="shared" si="19"/>
        <v>0.2308893127035006</v>
      </c>
      <c r="H102" s="69">
        <f>H93/H78</f>
        <v>0.22993803722042966</v>
      </c>
      <c r="I102" s="93">
        <v>0.25</v>
      </c>
      <c r="J102" s="93">
        <v>0.23</v>
      </c>
      <c r="K102" s="93">
        <v>0.23</v>
      </c>
      <c r="L102" s="93">
        <v>0.23</v>
      </c>
      <c r="M102" s="40"/>
      <c r="N102" s="40"/>
      <c r="O102" s="40"/>
      <c r="P102" s="40"/>
      <c r="Q102" s="40"/>
      <c r="R102" s="40"/>
      <c r="S102" s="40"/>
      <c r="T102" s="40"/>
      <c r="U102" s="40"/>
    </row>
    <row r="103" spans="2:21" x14ac:dyDescent="0.3">
      <c r="C103" s="54"/>
      <c r="D103" s="54"/>
      <c r="E103" s="54"/>
      <c r="F103" s="54"/>
      <c r="G103" s="54"/>
      <c r="H103" s="54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</row>
    <row r="104" spans="2:21" s="7" customFormat="1" x14ac:dyDescent="0.3">
      <c r="C104" s="62"/>
      <c r="D104" s="62"/>
      <c r="E104" s="62"/>
      <c r="F104" s="62"/>
      <c r="G104" s="62"/>
      <c r="H104" s="62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</row>
    <row r="105" spans="2:21" x14ac:dyDescent="0.3">
      <c r="C105" s="54"/>
      <c r="D105" s="54"/>
      <c r="E105" s="54"/>
      <c r="F105" s="54"/>
      <c r="G105" s="54"/>
      <c r="H105" s="54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</row>
    <row r="106" spans="2:21" x14ac:dyDescent="0.3">
      <c r="B106" t="s">
        <v>14</v>
      </c>
      <c r="C106" s="27">
        <v>233956</v>
      </c>
      <c r="D106" s="27">
        <v>-3033236</v>
      </c>
      <c r="E106" s="27">
        <v>1360833</v>
      </c>
      <c r="F106" s="27">
        <v>1878060</v>
      </c>
      <c r="G106" s="27">
        <v>1936007</v>
      </c>
      <c r="H106" s="27">
        <v>35297450</v>
      </c>
      <c r="I106" s="57">
        <f>FS!P13/9*12</f>
        <v>-16199576</v>
      </c>
      <c r="J106" s="57">
        <f>G106*1.01</f>
        <v>1955367.07</v>
      </c>
      <c r="K106" s="57">
        <f>J106*1.01</f>
        <v>1974920.7407000002</v>
      </c>
      <c r="L106" s="57">
        <f>K106*1.01</f>
        <v>1994669.9481070002</v>
      </c>
      <c r="M106" s="57"/>
      <c r="N106" s="57"/>
      <c r="O106" s="57"/>
      <c r="P106" s="27">
        <v>-15531353</v>
      </c>
      <c r="Q106" s="27">
        <v>32101899</v>
      </c>
      <c r="R106" s="57">
        <f t="shared" ref="R106" si="20">P106*2</f>
        <v>-31062706</v>
      </c>
      <c r="S106" s="40"/>
      <c r="T106" s="40"/>
      <c r="U106" s="40"/>
    </row>
    <row r="107" spans="2:21" x14ac:dyDescent="0.3">
      <c r="C107" s="54"/>
      <c r="D107" s="54"/>
      <c r="E107" s="54"/>
      <c r="F107" s="54"/>
      <c r="G107" s="54"/>
      <c r="H107" s="54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</row>
    <row r="108" spans="2:21" x14ac:dyDescent="0.3">
      <c r="B108" t="s">
        <v>255</v>
      </c>
      <c r="C108" s="36">
        <v>107201</v>
      </c>
      <c r="D108" s="36">
        <v>-3121949</v>
      </c>
      <c r="E108" s="36">
        <v>1078749</v>
      </c>
      <c r="F108" s="36">
        <v>977206</v>
      </c>
      <c r="G108" s="36">
        <v>1748834</v>
      </c>
      <c r="H108" s="36">
        <v>35903416</v>
      </c>
      <c r="I108" s="64"/>
      <c r="J108" s="64"/>
      <c r="K108" s="64"/>
      <c r="L108" s="64"/>
      <c r="M108" s="40"/>
      <c r="N108" s="40"/>
      <c r="O108" s="40"/>
      <c r="P108" s="40"/>
      <c r="Q108" s="40"/>
      <c r="R108" s="40"/>
      <c r="S108" s="40"/>
      <c r="T108" s="40"/>
      <c r="U108" s="40"/>
    </row>
    <row r="109" spans="2:21" x14ac:dyDescent="0.3">
      <c r="B109" s="24" t="s">
        <v>256</v>
      </c>
      <c r="C109" s="27">
        <v>107201</v>
      </c>
      <c r="D109" s="27">
        <v>-3121949</v>
      </c>
      <c r="E109" s="27">
        <v>1078749</v>
      </c>
      <c r="F109" s="27">
        <v>977206</v>
      </c>
      <c r="G109" s="27">
        <v>1804014</v>
      </c>
      <c r="H109" s="27">
        <v>36357421</v>
      </c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</row>
    <row r="110" spans="2:21" x14ac:dyDescent="0.3">
      <c r="B110" s="24" t="s">
        <v>38</v>
      </c>
      <c r="C110" s="54"/>
      <c r="D110" s="54"/>
      <c r="E110" s="54"/>
      <c r="F110" s="54"/>
      <c r="G110" s="27">
        <v>-55180</v>
      </c>
      <c r="H110" s="27">
        <v>-454004</v>
      </c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</row>
    <row r="111" spans="2:21" x14ac:dyDescent="0.3">
      <c r="B111" t="s">
        <v>257</v>
      </c>
      <c r="C111" s="36">
        <v>122390</v>
      </c>
      <c r="D111" s="36">
        <v>-4839</v>
      </c>
      <c r="E111" s="36">
        <v>67548</v>
      </c>
      <c r="F111" s="36">
        <v>557579</v>
      </c>
      <c r="G111" s="36">
        <v>-162829</v>
      </c>
      <c r="H111" s="36">
        <v>-1169637</v>
      </c>
      <c r="I111" s="64"/>
      <c r="J111" s="64"/>
      <c r="K111" s="64"/>
      <c r="L111" s="64"/>
      <c r="M111" s="40"/>
      <c r="N111" s="40"/>
      <c r="O111" s="40"/>
      <c r="P111" s="40"/>
      <c r="Q111" s="40"/>
      <c r="R111" s="40"/>
      <c r="S111" s="40"/>
      <c r="T111" s="40"/>
      <c r="U111" s="40"/>
    </row>
    <row r="112" spans="2:21" x14ac:dyDescent="0.3">
      <c r="B112" s="24" t="s">
        <v>258</v>
      </c>
      <c r="C112" s="27">
        <v>94672</v>
      </c>
      <c r="D112" s="27">
        <v>-24572</v>
      </c>
      <c r="E112" s="27">
        <v>26386</v>
      </c>
      <c r="F112" s="27">
        <v>226036</v>
      </c>
      <c r="G112" s="27">
        <v>-583205</v>
      </c>
      <c r="H112" s="27">
        <v>-1320747</v>
      </c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</row>
    <row r="113" spans="2:21" x14ac:dyDescent="0.3">
      <c r="B113" s="24" t="s">
        <v>259</v>
      </c>
      <c r="C113" s="27">
        <v>27718</v>
      </c>
      <c r="D113" s="27">
        <v>19733</v>
      </c>
      <c r="E113" s="27">
        <v>41162</v>
      </c>
      <c r="F113" s="27">
        <v>331543</v>
      </c>
      <c r="G113" s="27">
        <v>420376</v>
      </c>
      <c r="H113" s="27">
        <v>150809</v>
      </c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</row>
    <row r="114" spans="2:21" x14ac:dyDescent="0.3">
      <c r="B114" t="s">
        <v>260</v>
      </c>
      <c r="C114" s="36">
        <v>4365</v>
      </c>
      <c r="D114" s="36">
        <v>93552</v>
      </c>
      <c r="E114" s="36">
        <v>214536</v>
      </c>
      <c r="F114" s="36">
        <v>343275</v>
      </c>
      <c r="G114" s="36">
        <v>350002</v>
      </c>
      <c r="H114" s="36">
        <v>563971</v>
      </c>
      <c r="I114" s="64"/>
      <c r="J114" s="64"/>
      <c r="K114" s="64"/>
      <c r="L114" s="64"/>
      <c r="M114" s="40"/>
      <c r="N114" s="40"/>
      <c r="O114" s="40"/>
      <c r="P114" s="40"/>
      <c r="Q114" s="40"/>
      <c r="R114" s="40"/>
      <c r="S114" s="40"/>
      <c r="T114" s="40"/>
      <c r="U114" s="40"/>
    </row>
    <row r="115" spans="2:21" x14ac:dyDescent="0.3">
      <c r="B115" s="24" t="s">
        <v>258</v>
      </c>
      <c r="C115" s="27">
        <v>-9046</v>
      </c>
      <c r="D115" s="27">
        <v>80151</v>
      </c>
      <c r="E115" s="27">
        <v>200299</v>
      </c>
      <c r="F115" s="27">
        <v>303612</v>
      </c>
      <c r="G115" s="27">
        <v>105673</v>
      </c>
      <c r="H115" s="27">
        <v>348256</v>
      </c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</row>
    <row r="116" spans="2:21" x14ac:dyDescent="0.3">
      <c r="B116" s="24" t="s">
        <v>259</v>
      </c>
      <c r="C116" s="27">
        <v>3251</v>
      </c>
      <c r="D116" s="27">
        <v>1026</v>
      </c>
      <c r="E116" s="27">
        <v>916</v>
      </c>
      <c r="F116" s="27">
        <v>20468</v>
      </c>
      <c r="G116" s="27">
        <v>207954</v>
      </c>
      <c r="H116" s="27">
        <v>175531</v>
      </c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</row>
    <row r="117" spans="2:21" x14ac:dyDescent="0.3">
      <c r="B117" s="24" t="s">
        <v>261</v>
      </c>
      <c r="C117" s="27">
        <v>10160</v>
      </c>
      <c r="D117" s="27">
        <v>12375</v>
      </c>
      <c r="E117" s="27">
        <v>13321</v>
      </c>
      <c r="F117" s="27">
        <v>19195</v>
      </c>
      <c r="G117" s="27">
        <v>36375</v>
      </c>
      <c r="H117" s="27">
        <v>40184</v>
      </c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</row>
    <row r="118" spans="2:21" x14ac:dyDescent="0.3">
      <c r="C118" s="54"/>
      <c r="D118" s="54"/>
      <c r="E118" s="54"/>
      <c r="F118" s="54"/>
      <c r="G118" s="54"/>
      <c r="H118" s="54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</row>
    <row r="119" spans="2:21" s="33" customFormat="1" x14ac:dyDescent="0.3">
      <c r="B119" s="33" t="s">
        <v>179</v>
      </c>
      <c r="C119" s="54">
        <f t="shared" ref="C119:H119" si="21">SUM(C115:C117,C112:C113,C109:C110)-C106</f>
        <v>0</v>
      </c>
      <c r="D119" s="54">
        <f t="shared" si="21"/>
        <v>0</v>
      </c>
      <c r="E119" s="54">
        <f t="shared" si="21"/>
        <v>0</v>
      </c>
      <c r="F119" s="54">
        <f t="shared" si="21"/>
        <v>0</v>
      </c>
      <c r="G119" s="54">
        <f t="shared" si="21"/>
        <v>0</v>
      </c>
      <c r="H119" s="54">
        <f t="shared" si="21"/>
        <v>0</v>
      </c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</row>
    <row r="120" spans="2:21" x14ac:dyDescent="0.3">
      <c r="C120" s="54"/>
      <c r="D120" s="54"/>
      <c r="E120" s="54"/>
      <c r="F120" s="54"/>
      <c r="G120" s="54"/>
      <c r="H120" s="54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</row>
    <row r="121" spans="2:21" s="7" customFormat="1" x14ac:dyDescent="0.3">
      <c r="C121" s="62"/>
      <c r="D121" s="62"/>
      <c r="E121" s="62"/>
      <c r="F121" s="62"/>
      <c r="G121" s="62"/>
      <c r="H121" s="62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</row>
    <row r="122" spans="2:21" x14ac:dyDescent="0.3">
      <c r="C122" s="54"/>
      <c r="D122" s="54"/>
      <c r="E122" s="54"/>
      <c r="F122" s="54"/>
      <c r="G122" s="54"/>
      <c r="H122" s="54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</row>
    <row r="123" spans="2:21" x14ac:dyDescent="0.3">
      <c r="B123" t="s">
        <v>16</v>
      </c>
      <c r="C123" s="27">
        <v>720026</v>
      </c>
      <c r="D123" s="27">
        <v>11373098</v>
      </c>
      <c r="E123" s="27">
        <v>6081876</v>
      </c>
      <c r="F123" s="27">
        <v>7770754</v>
      </c>
      <c r="G123" s="27">
        <v>10002216</v>
      </c>
      <c r="H123" s="27">
        <v>-3771999</v>
      </c>
      <c r="I123" s="57">
        <f>FS!P15/9*12</f>
        <v>25159709.333333336</v>
      </c>
      <c r="J123" s="57">
        <f>I123*1.05</f>
        <v>26417694.800000004</v>
      </c>
      <c r="K123" s="57">
        <f t="shared" ref="K123:L123" si="22">J123*1.05</f>
        <v>27738579.540000007</v>
      </c>
      <c r="L123" s="57">
        <f t="shared" si="22"/>
        <v>29125508.517000008</v>
      </c>
      <c r="M123" s="57"/>
      <c r="N123" s="57"/>
      <c r="O123" s="57"/>
      <c r="P123" s="27">
        <v>17086020</v>
      </c>
      <c r="Q123" s="27">
        <v>-12524129</v>
      </c>
      <c r="R123" s="57">
        <f t="shared" ref="R123" si="23">P123*2</f>
        <v>34172040</v>
      </c>
      <c r="S123" s="40"/>
      <c r="T123" s="40"/>
      <c r="U123" s="40"/>
    </row>
    <row r="124" spans="2:21" x14ac:dyDescent="0.3">
      <c r="C124" s="54"/>
      <c r="D124" s="54"/>
      <c r="E124" s="54"/>
      <c r="F124" s="54"/>
      <c r="G124" s="54"/>
      <c r="H124" s="54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</row>
    <row r="125" spans="2:21" x14ac:dyDescent="0.3">
      <c r="B125" t="s">
        <v>262</v>
      </c>
      <c r="C125" s="27">
        <v>-18774</v>
      </c>
      <c r="D125" s="27">
        <v>9311</v>
      </c>
      <c r="E125" s="27">
        <v>19731</v>
      </c>
      <c r="F125" s="27">
        <v>5820</v>
      </c>
      <c r="G125" s="27">
        <v>4054</v>
      </c>
      <c r="H125" s="27">
        <v>20118</v>
      </c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</row>
    <row r="126" spans="2:21" x14ac:dyDescent="0.3">
      <c r="B126" t="s">
        <v>263</v>
      </c>
      <c r="C126" s="27">
        <v>489824</v>
      </c>
      <c r="D126" s="27">
        <v>11185438</v>
      </c>
      <c r="E126" s="27">
        <v>5783595</v>
      </c>
      <c r="F126" s="27">
        <v>7395513</v>
      </c>
      <c r="G126" s="27">
        <v>8832749</v>
      </c>
      <c r="H126" s="27">
        <v>-5133408</v>
      </c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</row>
    <row r="127" spans="2:21" x14ac:dyDescent="0.3">
      <c r="B127" t="s">
        <v>264</v>
      </c>
      <c r="C127" s="27">
        <v>32820</v>
      </c>
      <c r="D127" s="27">
        <v>21288</v>
      </c>
      <c r="E127" s="27">
        <v>20360</v>
      </c>
      <c r="F127" s="27">
        <v>157103</v>
      </c>
      <c r="G127" s="27">
        <v>316277</v>
      </c>
      <c r="H127" s="27">
        <v>449028</v>
      </c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</row>
    <row r="128" spans="2:21" x14ac:dyDescent="0.3">
      <c r="B128" t="s">
        <v>265</v>
      </c>
      <c r="C128" s="27">
        <v>0</v>
      </c>
      <c r="D128" s="27">
        <v>0</v>
      </c>
      <c r="E128" s="27">
        <v>0</v>
      </c>
      <c r="F128" s="27">
        <v>0</v>
      </c>
      <c r="G128" s="54">
        <f>-4111+4111</f>
        <v>0</v>
      </c>
      <c r="H128" s="27">
        <v>0</v>
      </c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</row>
    <row r="129" spans="2:21" x14ac:dyDescent="0.3">
      <c r="B129" t="s">
        <v>266</v>
      </c>
      <c r="C129" s="54">
        <f>37938+4111-4111</f>
        <v>37938</v>
      </c>
      <c r="D129" s="27">
        <v>34119</v>
      </c>
      <c r="E129" s="27">
        <v>40076</v>
      </c>
      <c r="F129" s="27">
        <v>28739</v>
      </c>
      <c r="G129" s="27">
        <v>48638</v>
      </c>
      <c r="H129" s="27">
        <v>54571</v>
      </c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</row>
    <row r="130" spans="2:21" x14ac:dyDescent="0.3">
      <c r="B130" t="s">
        <v>267</v>
      </c>
      <c r="C130" s="27">
        <v>5262</v>
      </c>
      <c r="D130" s="27">
        <v>3344</v>
      </c>
      <c r="E130" s="27">
        <v>14498</v>
      </c>
      <c r="F130" s="27">
        <v>0</v>
      </c>
      <c r="G130" s="54"/>
      <c r="H130" s="54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</row>
    <row r="131" spans="2:21" x14ac:dyDescent="0.3">
      <c r="B131" t="s">
        <v>268</v>
      </c>
      <c r="C131" s="27">
        <v>178218</v>
      </c>
      <c r="D131" s="27">
        <v>122942</v>
      </c>
      <c r="E131" s="27">
        <v>218114</v>
      </c>
      <c r="F131" s="27">
        <v>183579</v>
      </c>
      <c r="G131" s="27">
        <v>795214</v>
      </c>
      <c r="H131" s="27">
        <v>829742</v>
      </c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</row>
    <row r="132" spans="2:21" x14ac:dyDescent="0.3">
      <c r="B132" t="s">
        <v>269</v>
      </c>
      <c r="C132" s="27">
        <v>-5262</v>
      </c>
      <c r="D132" s="27">
        <v>-3344</v>
      </c>
      <c r="E132" s="27">
        <v>-14498</v>
      </c>
      <c r="F132" s="27">
        <v>0</v>
      </c>
      <c r="G132" s="27">
        <v>5284</v>
      </c>
      <c r="H132" s="27">
        <v>7950</v>
      </c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</row>
    <row r="133" spans="2:21" x14ac:dyDescent="0.3">
      <c r="C133" s="54"/>
      <c r="D133" s="54"/>
      <c r="E133" s="54"/>
      <c r="F133" s="54"/>
      <c r="G133" s="54"/>
      <c r="H133" s="54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</row>
    <row r="134" spans="2:21" s="33" customFormat="1" x14ac:dyDescent="0.3">
      <c r="B134" s="33" t="s">
        <v>179</v>
      </c>
      <c r="C134" s="54">
        <f t="shared" ref="C134:G134" si="24">SUM(C125:C131)+C132-C123</f>
        <v>0</v>
      </c>
      <c r="D134" s="54">
        <f t="shared" si="24"/>
        <v>0</v>
      </c>
      <c r="E134" s="54">
        <f t="shared" si="24"/>
        <v>0</v>
      </c>
      <c r="F134" s="54">
        <f t="shared" si="24"/>
        <v>0</v>
      </c>
      <c r="G134" s="54">
        <f t="shared" si="24"/>
        <v>0</v>
      </c>
      <c r="H134" s="54">
        <f>SUM(H125:H131)+H132-H123</f>
        <v>0</v>
      </c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</row>
    <row r="135" spans="2:21" x14ac:dyDescent="0.3">
      <c r="C135" s="54"/>
      <c r="D135" s="54"/>
      <c r="E135" s="54"/>
      <c r="F135" s="54"/>
      <c r="G135" s="54"/>
      <c r="H135" s="54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</row>
    <row r="136" spans="2:21" s="7" customFormat="1" x14ac:dyDescent="0.3">
      <c r="C136" s="62"/>
      <c r="D136" s="62"/>
      <c r="E136" s="62"/>
      <c r="F136" s="62"/>
      <c r="G136" s="62"/>
      <c r="H136" s="62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</row>
    <row r="137" spans="2:21" x14ac:dyDescent="0.3">
      <c r="C137" s="54"/>
      <c r="D137" s="54"/>
      <c r="E137" s="54"/>
      <c r="F137" s="54"/>
      <c r="G137" s="54"/>
      <c r="H137" s="54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</row>
    <row r="138" spans="2:21" x14ac:dyDescent="0.3">
      <c r="B138" t="s">
        <v>276</v>
      </c>
      <c r="C138" s="27">
        <v>989315</v>
      </c>
      <c r="D138" s="27">
        <v>8833362</v>
      </c>
      <c r="E138" s="27">
        <v>11331523</v>
      </c>
      <c r="F138" s="27">
        <v>21419532</v>
      </c>
      <c r="G138" s="27">
        <v>25139926</v>
      </c>
      <c r="H138" s="27">
        <v>71924260</v>
      </c>
      <c r="I138" s="57">
        <f>I151*I305</f>
        <v>35328925.595250003</v>
      </c>
      <c r="J138" s="57">
        <f t="shared" ref="J138:L138" si="25">J151*J305</f>
        <v>30095010.692249998</v>
      </c>
      <c r="K138" s="57">
        <f t="shared" si="25"/>
        <v>34609262.296087496</v>
      </c>
      <c r="L138" s="57">
        <f t="shared" si="25"/>
        <v>39800651.64050062</v>
      </c>
      <c r="M138" s="57"/>
      <c r="N138" s="57">
        <f>FS!P17/9*12</f>
        <v>34376146.666666672</v>
      </c>
      <c r="O138" s="57"/>
      <c r="P138" s="27">
        <v>13210963</v>
      </c>
      <c r="Q138" s="27">
        <v>35218619</v>
      </c>
      <c r="R138" s="57">
        <f t="shared" ref="R138" si="26">P138*2</f>
        <v>26421926</v>
      </c>
      <c r="S138" s="40"/>
      <c r="T138" s="40"/>
      <c r="U138" s="40"/>
    </row>
    <row r="139" spans="2:21" x14ac:dyDescent="0.3">
      <c r="C139" s="54"/>
      <c r="D139" s="54"/>
      <c r="E139" s="54"/>
      <c r="F139" s="54"/>
      <c r="G139" s="54"/>
      <c r="H139" s="54"/>
      <c r="I139" s="57"/>
      <c r="J139" s="57"/>
      <c r="K139" s="57"/>
      <c r="L139" s="57"/>
      <c r="M139" s="57"/>
      <c r="N139" s="57"/>
      <c r="O139" s="57"/>
      <c r="P139" s="54"/>
      <c r="Q139" s="54"/>
      <c r="R139" s="57"/>
      <c r="S139" s="40"/>
      <c r="T139" s="40"/>
      <c r="U139" s="40"/>
    </row>
    <row r="140" spans="2:21" x14ac:dyDescent="0.3">
      <c r="B140" t="s">
        <v>270</v>
      </c>
      <c r="C140" s="36">
        <v>988639</v>
      </c>
      <c r="D140" s="36">
        <v>8379540</v>
      </c>
      <c r="E140" s="36">
        <v>10309857</v>
      </c>
      <c r="F140" s="36">
        <v>18124673</v>
      </c>
      <c r="G140" s="36">
        <v>14947268</v>
      </c>
      <c r="H140" s="36">
        <v>22296719</v>
      </c>
      <c r="I140" s="47"/>
      <c r="J140" s="47"/>
      <c r="K140" s="64"/>
      <c r="L140" s="64"/>
      <c r="M140" s="40"/>
      <c r="N140" s="40"/>
      <c r="O140" s="40"/>
      <c r="P140" s="40"/>
      <c r="Q140" s="40"/>
      <c r="R140" s="40"/>
      <c r="S140" s="40"/>
      <c r="T140" s="40"/>
      <c r="U140" s="40"/>
    </row>
    <row r="141" spans="2:21" x14ac:dyDescent="0.3">
      <c r="B141" s="24" t="s">
        <v>271</v>
      </c>
      <c r="C141" s="27">
        <v>-22317</v>
      </c>
      <c r="D141" s="27">
        <v>-1002000</v>
      </c>
      <c r="E141" s="27">
        <v>1938437</v>
      </c>
      <c r="F141" s="27">
        <v>3983706</v>
      </c>
      <c r="G141" s="54"/>
      <c r="H141" s="54"/>
      <c r="I141" s="54"/>
      <c r="J141" s="54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</row>
    <row r="142" spans="2:21" x14ac:dyDescent="0.3">
      <c r="B142" s="24" t="s">
        <v>272</v>
      </c>
      <c r="C142" s="27">
        <v>1211813</v>
      </c>
      <c r="D142" s="27">
        <v>9381540</v>
      </c>
      <c r="E142" s="27">
        <v>8371420</v>
      </c>
      <c r="F142" s="27">
        <v>14140967</v>
      </c>
      <c r="G142" s="54"/>
      <c r="H142" s="54"/>
      <c r="I142" s="54"/>
      <c r="J142" s="54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</row>
    <row r="143" spans="2:21" x14ac:dyDescent="0.3">
      <c r="B143" s="24"/>
      <c r="C143" s="54"/>
      <c r="D143" s="54"/>
      <c r="E143" s="54"/>
      <c r="F143" s="54"/>
      <c r="G143" s="54"/>
      <c r="H143" s="54"/>
      <c r="I143" s="54"/>
      <c r="J143" s="54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</row>
    <row r="144" spans="2:21" x14ac:dyDescent="0.3">
      <c r="B144" t="s">
        <v>273</v>
      </c>
      <c r="C144" s="27">
        <v>0</v>
      </c>
      <c r="D144" s="27">
        <v>452856</v>
      </c>
      <c r="E144" s="27">
        <v>1020414</v>
      </c>
      <c r="F144" s="27">
        <v>3291313</v>
      </c>
      <c r="G144" s="54">
        <f>6948387+3242610</f>
        <v>10190997</v>
      </c>
      <c r="H144" s="54">
        <f>47281554+2196056</f>
        <v>49477610</v>
      </c>
      <c r="I144" s="54"/>
      <c r="J144" s="54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</row>
    <row r="145" spans="2:21" x14ac:dyDescent="0.3">
      <c r="B145" t="s">
        <v>274</v>
      </c>
      <c r="C145" s="36">
        <v>988639</v>
      </c>
      <c r="D145" s="36">
        <v>8832396</v>
      </c>
      <c r="E145" s="36">
        <v>11330271</v>
      </c>
      <c r="F145" s="36">
        <v>21415986</v>
      </c>
      <c r="G145" s="36">
        <v>25138265</v>
      </c>
      <c r="H145" s="36">
        <v>71774329</v>
      </c>
      <c r="I145" s="47"/>
      <c r="J145" s="47"/>
      <c r="K145" s="64"/>
      <c r="L145" s="64"/>
      <c r="M145" s="40"/>
      <c r="N145" s="40"/>
      <c r="O145" s="40"/>
      <c r="P145" s="40"/>
      <c r="Q145" s="40"/>
      <c r="R145" s="40"/>
      <c r="S145" s="40"/>
      <c r="T145" s="40"/>
      <c r="U145" s="40"/>
    </row>
    <row r="146" spans="2:21" x14ac:dyDescent="0.3">
      <c r="B146" t="s">
        <v>42</v>
      </c>
      <c r="C146" s="27">
        <v>0</v>
      </c>
      <c r="D146" s="27">
        <v>0</v>
      </c>
      <c r="E146" s="27">
        <v>0</v>
      </c>
      <c r="F146" s="27">
        <v>0</v>
      </c>
      <c r="G146" s="54"/>
      <c r="H146" s="27">
        <v>0</v>
      </c>
      <c r="I146" s="54"/>
      <c r="J146" s="54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</row>
    <row r="147" spans="2:21" x14ac:dyDescent="0.3">
      <c r="B147" t="s">
        <v>275</v>
      </c>
      <c r="C147" s="27">
        <v>676</v>
      </c>
      <c r="D147" s="27">
        <v>966</v>
      </c>
      <c r="E147" s="27">
        <v>1252</v>
      </c>
      <c r="F147" s="27">
        <v>3546</v>
      </c>
      <c r="G147" s="27">
        <v>1661</v>
      </c>
      <c r="H147" s="27">
        <v>149931</v>
      </c>
      <c r="I147" s="54"/>
      <c r="J147" s="54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</row>
    <row r="148" spans="2:21" x14ac:dyDescent="0.3">
      <c r="C148" s="54"/>
      <c r="D148" s="54"/>
      <c r="E148" s="54"/>
      <c r="F148" s="54"/>
      <c r="G148" s="54"/>
      <c r="H148" s="54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</row>
    <row r="149" spans="2:21" s="33" customFormat="1" x14ac:dyDescent="0.3">
      <c r="B149" s="33" t="s">
        <v>179</v>
      </c>
      <c r="C149" s="54">
        <f t="shared" ref="C149:H149" si="27">C140+C144+C146+C147-C138</f>
        <v>0</v>
      </c>
      <c r="D149" s="54">
        <f t="shared" si="27"/>
        <v>0</v>
      </c>
      <c r="E149" s="54">
        <f t="shared" si="27"/>
        <v>0</v>
      </c>
      <c r="F149" s="54">
        <f t="shared" si="27"/>
        <v>0</v>
      </c>
      <c r="G149" s="54">
        <f t="shared" si="27"/>
        <v>0</v>
      </c>
      <c r="H149" s="54">
        <f t="shared" si="27"/>
        <v>0</v>
      </c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</row>
    <row r="150" spans="2:21" s="33" customFormat="1" x14ac:dyDescent="0.3">
      <c r="C150" s="54"/>
      <c r="D150" s="54"/>
      <c r="E150" s="54"/>
      <c r="F150" s="54"/>
      <c r="G150" s="54"/>
      <c r="H150" s="54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</row>
    <row r="151" spans="2:21" x14ac:dyDescent="0.3">
      <c r="B151" t="s">
        <v>411</v>
      </c>
      <c r="C151" s="69">
        <f t="shared" ref="C151:G151" si="28">C138/C305</f>
        <v>1.3009532226276055E-3</v>
      </c>
      <c r="D151" s="69">
        <f t="shared" si="28"/>
        <v>9.8371902485052832E-3</v>
      </c>
      <c r="E151" s="69">
        <f t="shared" si="28"/>
        <v>1.2174780028795469E-2</v>
      </c>
      <c r="F151" s="69">
        <f t="shared" si="28"/>
        <v>2.2268886990994871E-2</v>
      </c>
      <c r="G151" s="69">
        <f t="shared" si="28"/>
        <v>2.2960285816470378E-2</v>
      </c>
      <c r="H151" s="69">
        <f>H138/H305</f>
        <v>5.7716240634109524E-2</v>
      </c>
      <c r="I151" s="69">
        <v>2.7E-2</v>
      </c>
      <c r="J151" s="69">
        <v>0.02</v>
      </c>
      <c r="K151" s="69">
        <v>0.02</v>
      </c>
      <c r="L151" s="69">
        <v>0.02</v>
      </c>
      <c r="M151" s="57"/>
      <c r="N151" s="57"/>
      <c r="O151" s="57"/>
      <c r="P151" s="27"/>
      <c r="Q151" s="27"/>
      <c r="R151" s="57"/>
      <c r="S151" s="40"/>
      <c r="T151" s="40"/>
      <c r="U151" s="40"/>
    </row>
    <row r="152" spans="2:21" x14ac:dyDescent="0.3">
      <c r="C152" s="54"/>
      <c r="D152" s="54"/>
      <c r="E152" s="54"/>
      <c r="F152" s="54"/>
      <c r="G152" s="54"/>
      <c r="H152" s="54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</row>
    <row r="153" spans="2:21" s="7" customFormat="1" x14ac:dyDescent="0.3">
      <c r="C153" s="62"/>
      <c r="D153" s="62"/>
      <c r="E153" s="62"/>
      <c r="F153" s="62"/>
      <c r="G153" s="62"/>
      <c r="H153" s="62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</row>
    <row r="154" spans="2:21" x14ac:dyDescent="0.3">
      <c r="C154" s="54"/>
      <c r="D154" s="54"/>
      <c r="E154" s="54"/>
      <c r="F154" s="54"/>
      <c r="G154" s="54"/>
      <c r="H154" s="54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</row>
    <row r="155" spans="2:21" x14ac:dyDescent="0.3">
      <c r="B155" s="4" t="s">
        <v>106</v>
      </c>
      <c r="C155" s="27">
        <v>11338517</v>
      </c>
      <c r="D155" s="27">
        <v>13289668</v>
      </c>
      <c r="E155" s="27">
        <v>14408914</v>
      </c>
      <c r="F155" s="27">
        <v>14992748</v>
      </c>
      <c r="G155" s="27">
        <v>16799212</v>
      </c>
      <c r="H155" s="27">
        <v>19788283</v>
      </c>
      <c r="I155" s="57">
        <f>H155*(1+I168)</f>
        <v>21767111.300000001</v>
      </c>
      <c r="J155" s="57">
        <f t="shared" ref="J155:L155" si="29">I155*(1+J168)</f>
        <v>23943822.430000003</v>
      </c>
      <c r="K155" s="57">
        <f t="shared" si="29"/>
        <v>26338204.673000004</v>
      </c>
      <c r="L155" s="57">
        <f t="shared" si="29"/>
        <v>28972025.140300006</v>
      </c>
      <c r="M155" s="57"/>
      <c r="N155" s="57">
        <f>FS!P20/9*12</f>
        <v>22412377.333333332</v>
      </c>
      <c r="O155" s="57"/>
      <c r="P155" s="27">
        <v>11296515</v>
      </c>
      <c r="Q155" s="27">
        <v>9584347</v>
      </c>
      <c r="R155" s="57">
        <f t="shared" ref="R155" si="30">P155*2</f>
        <v>22593030</v>
      </c>
      <c r="S155" s="40"/>
      <c r="T155" s="40"/>
      <c r="U155" s="40"/>
    </row>
    <row r="156" spans="2:21" x14ac:dyDescent="0.3">
      <c r="C156" s="54"/>
      <c r="D156" s="54"/>
      <c r="E156" s="54"/>
      <c r="F156" s="54"/>
      <c r="G156" s="54"/>
      <c r="H156" s="54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</row>
    <row r="157" spans="2:21" x14ac:dyDescent="0.3">
      <c r="B157" s="4" t="s">
        <v>277</v>
      </c>
      <c r="C157" s="27">
        <v>8538989</v>
      </c>
      <c r="D157" s="27">
        <v>10154809</v>
      </c>
      <c r="E157" s="27">
        <v>11141489</v>
      </c>
      <c r="F157" s="27">
        <v>11522602</v>
      </c>
      <c r="G157" s="27">
        <v>13162309</v>
      </c>
      <c r="H157" s="27">
        <v>15221895</v>
      </c>
      <c r="I157" s="57"/>
      <c r="J157" s="57"/>
      <c r="K157" s="57"/>
      <c r="L157" s="57"/>
      <c r="M157" s="57"/>
      <c r="N157" s="57"/>
      <c r="O157" s="57"/>
      <c r="P157" s="54"/>
      <c r="Q157" s="54"/>
      <c r="R157" s="57"/>
      <c r="S157" s="40"/>
      <c r="T157" s="40"/>
      <c r="U157" s="40"/>
    </row>
    <row r="158" spans="2:21" x14ac:dyDescent="0.3">
      <c r="B158" s="4" t="s">
        <v>278</v>
      </c>
      <c r="C158" s="36">
        <v>1596841</v>
      </c>
      <c r="D158" s="36">
        <v>1800395</v>
      </c>
      <c r="E158" s="36">
        <v>1882058</v>
      </c>
      <c r="F158" s="36">
        <v>1937810</v>
      </c>
      <c r="G158" s="36">
        <v>1952582</v>
      </c>
      <c r="H158" s="36">
        <v>2171669</v>
      </c>
      <c r="I158" s="58"/>
      <c r="J158" s="58"/>
      <c r="K158" s="58"/>
      <c r="L158" s="58"/>
      <c r="M158" s="57"/>
      <c r="N158" s="57"/>
      <c r="O158" s="57"/>
      <c r="P158" s="54"/>
      <c r="Q158" s="54"/>
      <c r="R158" s="57"/>
      <c r="S158" s="40"/>
      <c r="T158" s="40"/>
      <c r="U158" s="40"/>
    </row>
    <row r="159" spans="2:21" x14ac:dyDescent="0.3">
      <c r="B159" s="53" t="s">
        <v>279</v>
      </c>
      <c r="C159" s="27">
        <v>1308050</v>
      </c>
      <c r="D159" s="27">
        <v>1439123</v>
      </c>
      <c r="E159" s="27">
        <v>1396492</v>
      </c>
      <c r="F159" s="27">
        <v>1702824</v>
      </c>
      <c r="G159" s="27">
        <v>1870673</v>
      </c>
      <c r="H159" s="27">
        <v>2120322</v>
      </c>
      <c r="I159" s="57"/>
      <c r="J159" s="57"/>
      <c r="K159" s="57"/>
      <c r="L159" s="57"/>
      <c r="M159" s="57"/>
      <c r="N159" s="57"/>
      <c r="O159" s="57"/>
      <c r="P159" s="54"/>
      <c r="Q159" s="54"/>
      <c r="R159" s="57"/>
      <c r="S159" s="40"/>
      <c r="T159" s="40"/>
      <c r="U159" s="40"/>
    </row>
    <row r="160" spans="2:21" x14ac:dyDescent="0.3">
      <c r="B160" s="53" t="s">
        <v>280</v>
      </c>
      <c r="C160" s="27">
        <v>288791</v>
      </c>
      <c r="D160" s="27">
        <v>361272</v>
      </c>
      <c r="E160" s="27">
        <v>485566</v>
      </c>
      <c r="F160" s="27">
        <v>234986</v>
      </c>
      <c r="G160" s="27">
        <v>81909</v>
      </c>
      <c r="H160" s="27">
        <v>51347</v>
      </c>
      <c r="I160" s="57"/>
      <c r="J160" s="57"/>
      <c r="K160" s="57"/>
      <c r="L160" s="57"/>
      <c r="M160" s="57"/>
      <c r="N160" s="57"/>
      <c r="O160" s="57"/>
      <c r="P160" s="54"/>
      <c r="Q160" s="54"/>
      <c r="R160" s="57"/>
      <c r="S160" s="40"/>
      <c r="T160" s="40"/>
      <c r="U160" s="40"/>
    </row>
    <row r="161" spans="2:21" x14ac:dyDescent="0.3">
      <c r="B161" s="53"/>
      <c r="C161" s="54"/>
      <c r="D161" s="54"/>
      <c r="E161" s="54"/>
      <c r="F161" s="54"/>
      <c r="G161" s="54"/>
      <c r="H161" s="54"/>
      <c r="I161" s="57"/>
      <c r="J161" s="57"/>
      <c r="K161" s="57"/>
      <c r="L161" s="57"/>
      <c r="M161" s="57"/>
      <c r="N161" s="57"/>
      <c r="O161" s="57"/>
      <c r="P161" s="54"/>
      <c r="Q161" s="54"/>
      <c r="R161" s="57"/>
      <c r="S161" s="40"/>
      <c r="T161" s="40"/>
      <c r="U161" s="40"/>
    </row>
    <row r="162" spans="2:21" x14ac:dyDescent="0.3">
      <c r="B162" s="4" t="s">
        <v>281</v>
      </c>
      <c r="C162" s="27">
        <v>138341</v>
      </c>
      <c r="D162" s="27">
        <v>68581</v>
      </c>
      <c r="E162" s="27">
        <v>0</v>
      </c>
      <c r="F162" s="27">
        <v>112203</v>
      </c>
      <c r="G162" s="54"/>
      <c r="H162" s="54"/>
      <c r="I162" s="57"/>
      <c r="J162" s="57"/>
      <c r="K162" s="57"/>
      <c r="L162" s="57"/>
      <c r="M162" s="57"/>
      <c r="N162" s="57"/>
      <c r="O162" s="57"/>
      <c r="P162" s="54"/>
      <c r="Q162" s="54"/>
      <c r="R162" s="57"/>
      <c r="S162" s="40"/>
      <c r="T162" s="40"/>
      <c r="U162" s="40"/>
    </row>
    <row r="163" spans="2:21" x14ac:dyDescent="0.3">
      <c r="B163" s="4" t="s">
        <v>282</v>
      </c>
      <c r="C163" s="27">
        <v>1064346</v>
      </c>
      <c r="D163" s="27">
        <v>1265883</v>
      </c>
      <c r="E163" s="27">
        <v>1385367</v>
      </c>
      <c r="F163" s="27">
        <v>1420133</v>
      </c>
      <c r="G163" s="27">
        <v>41972</v>
      </c>
      <c r="H163" s="54"/>
      <c r="I163" s="57"/>
      <c r="J163" s="57"/>
      <c r="K163" s="57"/>
      <c r="L163" s="57"/>
      <c r="M163" s="57"/>
      <c r="N163" s="57"/>
      <c r="O163" s="57"/>
      <c r="P163" s="54"/>
      <c r="Q163" s="54"/>
      <c r="R163" s="57"/>
      <c r="S163" s="40"/>
      <c r="T163" s="40"/>
      <c r="U163" s="40"/>
    </row>
    <row r="164" spans="2:21" x14ac:dyDescent="0.3">
      <c r="B164" t="s">
        <v>283</v>
      </c>
      <c r="C164" s="54"/>
      <c r="D164" s="54"/>
      <c r="E164" s="54"/>
      <c r="F164" s="54"/>
      <c r="G164" s="27">
        <v>1642349</v>
      </c>
      <c r="H164" s="27">
        <v>2394719</v>
      </c>
      <c r="I164" s="54"/>
      <c r="J164" s="54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</row>
    <row r="165" spans="2:21" x14ac:dyDescent="0.3">
      <c r="C165" s="54"/>
      <c r="D165" s="54"/>
      <c r="E165" s="54"/>
      <c r="F165" s="54"/>
      <c r="G165" s="54"/>
      <c r="H165" s="54"/>
      <c r="I165" s="54"/>
      <c r="J165" s="54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</row>
    <row r="166" spans="2:21" s="33" customFormat="1" x14ac:dyDescent="0.3">
      <c r="B166" s="51" t="s">
        <v>179</v>
      </c>
      <c r="C166" s="54">
        <f t="shared" ref="C166:E166" si="31">SUM(C157+C158+C162+C163+C164-C155)</f>
        <v>0</v>
      </c>
      <c r="D166" s="54">
        <f t="shared" si="31"/>
        <v>0</v>
      </c>
      <c r="E166" s="54">
        <f t="shared" si="31"/>
        <v>0</v>
      </c>
      <c r="F166" s="54">
        <f>SUM(F157+F158+F162+F163+F164-F155)</f>
        <v>0</v>
      </c>
      <c r="G166" s="54">
        <f t="shared" ref="G166:H166" si="32">SUM(G157+G158+G162+G163+G164-G155)</f>
        <v>0</v>
      </c>
      <c r="H166" s="54">
        <f t="shared" si="32"/>
        <v>0</v>
      </c>
      <c r="I166" s="54"/>
      <c r="J166" s="54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</row>
    <row r="167" spans="2:21" x14ac:dyDescent="0.3">
      <c r="C167" s="54"/>
      <c r="D167" s="54"/>
      <c r="E167" s="54"/>
      <c r="F167" s="54"/>
      <c r="G167" s="54"/>
      <c r="H167" s="54"/>
      <c r="I167" s="54"/>
      <c r="J167" s="54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</row>
    <row r="168" spans="2:21" x14ac:dyDescent="0.3">
      <c r="B168" t="s">
        <v>367</v>
      </c>
      <c r="C168" s="68"/>
      <c r="D168" s="68">
        <f t="shared" ref="D168:G168" si="33">D155/C155-1</f>
        <v>0.17208167523142581</v>
      </c>
      <c r="E168" s="68">
        <f t="shared" si="33"/>
        <v>8.4219259653439016E-2</v>
      </c>
      <c r="F168" s="68">
        <f t="shared" si="33"/>
        <v>4.0518945425033426E-2</v>
      </c>
      <c r="G168" s="68">
        <f t="shared" si="33"/>
        <v>0.12048918583838009</v>
      </c>
      <c r="H168" s="68">
        <f>H155/G155-1</f>
        <v>0.17792923858571452</v>
      </c>
      <c r="I168" s="69">
        <v>0.1</v>
      </c>
      <c r="J168" s="69">
        <v>0.1</v>
      </c>
      <c r="K168" s="69">
        <v>0.1</v>
      </c>
      <c r="L168" s="69">
        <v>0.1</v>
      </c>
      <c r="M168" s="40"/>
      <c r="N168" s="40"/>
      <c r="O168" s="40"/>
      <c r="P168" s="40"/>
      <c r="Q168" s="40"/>
      <c r="R168" s="40"/>
      <c r="S168" s="40"/>
      <c r="T168" s="40"/>
      <c r="U168" s="40"/>
    </row>
    <row r="169" spans="2:21" x14ac:dyDescent="0.3">
      <c r="C169" s="54"/>
      <c r="D169" s="54"/>
      <c r="E169" s="54"/>
      <c r="F169" s="54"/>
      <c r="G169" s="54"/>
      <c r="H169" s="54"/>
      <c r="I169" s="54"/>
      <c r="J169" s="54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</row>
    <row r="170" spans="2:21" s="7" customFormat="1" x14ac:dyDescent="0.3">
      <c r="C170" s="62"/>
      <c r="D170" s="62"/>
      <c r="E170" s="62"/>
      <c r="F170" s="62"/>
      <c r="G170" s="62"/>
      <c r="H170" s="62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</row>
    <row r="171" spans="2:21" x14ac:dyDescent="0.3">
      <c r="B171" s="4"/>
      <c r="C171" s="54"/>
      <c r="D171" s="54"/>
      <c r="E171" s="54"/>
      <c r="F171" s="54"/>
      <c r="G171" s="54"/>
      <c r="H171" s="54"/>
      <c r="I171" s="57"/>
      <c r="J171" s="57"/>
      <c r="K171" s="57"/>
      <c r="L171" s="57"/>
      <c r="M171" s="57"/>
      <c r="N171" s="57"/>
      <c r="O171" s="57"/>
      <c r="P171" s="54"/>
      <c r="Q171" s="54"/>
      <c r="R171" s="57"/>
      <c r="S171" s="40"/>
      <c r="T171" s="40"/>
      <c r="U171" s="40"/>
    </row>
    <row r="172" spans="2:21" x14ac:dyDescent="0.3">
      <c r="B172" t="s">
        <v>20</v>
      </c>
      <c r="C172" s="27">
        <v>1416927</v>
      </c>
      <c r="D172" s="27">
        <v>1603118</v>
      </c>
      <c r="E172" s="27">
        <v>2841264</v>
      </c>
      <c r="F172" s="27">
        <v>3102695</v>
      </c>
      <c r="G172" s="27">
        <v>3220066</v>
      </c>
      <c r="H172" s="27">
        <v>3598371</v>
      </c>
      <c r="I172" s="57">
        <f>FS!I57*Drivers!I180</f>
        <v>4116991.05</v>
      </c>
      <c r="J172" s="57">
        <f>FS!J57*Drivers!J180</f>
        <v>4240227.2249999996</v>
      </c>
      <c r="K172" s="57">
        <f>FS!K57*Drivers!K180</f>
        <v>4381833.45</v>
      </c>
      <c r="L172" s="57">
        <f>FS!L57*Drivers!L180</f>
        <v>4529601.4837499997</v>
      </c>
      <c r="M172" s="57"/>
      <c r="N172" s="57">
        <f>FS!P21/9*12</f>
        <v>4106025.333333333</v>
      </c>
      <c r="O172" s="57"/>
      <c r="P172" s="27">
        <v>2084338</v>
      </c>
      <c r="Q172" s="27">
        <v>1724022</v>
      </c>
      <c r="R172" s="57">
        <f>P172*2</f>
        <v>4168676</v>
      </c>
      <c r="S172" s="40"/>
      <c r="T172" s="40"/>
      <c r="U172" s="40"/>
    </row>
    <row r="173" spans="2:21" x14ac:dyDescent="0.3">
      <c r="B173" s="4"/>
      <c r="C173" s="54"/>
      <c r="D173" s="54"/>
      <c r="E173" s="54"/>
      <c r="F173" s="54"/>
      <c r="G173" s="54"/>
      <c r="H173" s="54"/>
      <c r="I173" s="57"/>
      <c r="J173" s="57"/>
      <c r="K173" s="57"/>
      <c r="L173" s="57"/>
      <c r="M173" s="57"/>
      <c r="N173" s="57"/>
      <c r="O173" s="57"/>
      <c r="P173" s="54"/>
      <c r="Q173" s="54"/>
      <c r="R173" s="57"/>
      <c r="S173" s="40"/>
      <c r="T173" s="40"/>
      <c r="U173" s="40"/>
    </row>
    <row r="174" spans="2:21" x14ac:dyDescent="0.3">
      <c r="B174" s="4" t="s">
        <v>284</v>
      </c>
      <c r="C174" s="27">
        <v>1185698</v>
      </c>
      <c r="D174" s="27">
        <v>1383581</v>
      </c>
      <c r="E174" s="27">
        <v>1541788</v>
      </c>
      <c r="F174" s="27">
        <v>1592636</v>
      </c>
      <c r="G174" s="27">
        <v>1661967</v>
      </c>
      <c r="H174" s="27">
        <v>1702657</v>
      </c>
      <c r="I174" s="57"/>
      <c r="J174" s="57"/>
      <c r="K174" s="57"/>
      <c r="L174" s="57"/>
      <c r="M174" s="57"/>
      <c r="N174" s="57"/>
      <c r="O174" s="57"/>
      <c r="P174" s="54"/>
      <c r="Q174" s="54"/>
      <c r="R174" s="57"/>
      <c r="S174" s="40"/>
      <c r="T174" s="40"/>
      <c r="U174" s="40"/>
    </row>
    <row r="175" spans="2:21" x14ac:dyDescent="0.3">
      <c r="B175" s="4" t="s">
        <v>285</v>
      </c>
      <c r="C175" s="54">
        <f>1452+13</f>
        <v>1465</v>
      </c>
      <c r="D175" s="54">
        <f>1452+9</f>
        <v>1461</v>
      </c>
      <c r="E175" s="27">
        <v>1047075</v>
      </c>
      <c r="F175" s="27">
        <v>1199104</v>
      </c>
      <c r="G175" s="27">
        <v>1241441</v>
      </c>
      <c r="H175" s="27">
        <v>1428593</v>
      </c>
      <c r="I175" s="57"/>
      <c r="J175" s="57"/>
      <c r="K175" s="57"/>
      <c r="L175" s="57"/>
      <c r="M175" s="57"/>
      <c r="N175" s="57"/>
      <c r="O175" s="57"/>
      <c r="P175" s="54"/>
      <c r="Q175" s="54"/>
      <c r="R175" s="57"/>
      <c r="S175" s="40"/>
      <c r="T175" s="40"/>
      <c r="U175" s="40"/>
    </row>
    <row r="176" spans="2:21" x14ac:dyDescent="0.3">
      <c r="B176" s="4" t="s">
        <v>286</v>
      </c>
      <c r="C176" s="27">
        <v>229764</v>
      </c>
      <c r="D176" s="27">
        <v>218076</v>
      </c>
      <c r="E176" s="54">
        <f>252392+9</f>
        <v>252401</v>
      </c>
      <c r="F176" s="54">
        <f>310946+9</f>
        <v>310955</v>
      </c>
      <c r="G176" s="27">
        <v>316658</v>
      </c>
      <c r="H176" s="27">
        <v>467121</v>
      </c>
      <c r="I176" s="57"/>
      <c r="J176" s="57"/>
      <c r="K176" s="57"/>
      <c r="L176" s="57"/>
      <c r="M176" s="57"/>
      <c r="N176" s="57"/>
      <c r="O176" s="57"/>
      <c r="P176" s="54"/>
      <c r="Q176" s="54"/>
      <c r="R176" s="57"/>
      <c r="S176" s="40"/>
      <c r="T176" s="40"/>
      <c r="U176" s="40"/>
    </row>
    <row r="177" spans="2:21" x14ac:dyDescent="0.3">
      <c r="C177" s="54"/>
      <c r="D177" s="54"/>
      <c r="E177" s="54"/>
      <c r="F177" s="54"/>
      <c r="G177" s="54"/>
      <c r="H177" s="54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</row>
    <row r="178" spans="2:21" s="33" customFormat="1" x14ac:dyDescent="0.3">
      <c r="B178" s="51" t="s">
        <v>179</v>
      </c>
      <c r="C178" s="54">
        <f t="shared" ref="C178:G178" si="34">SUM(C174:C176)-C172</f>
        <v>0</v>
      </c>
      <c r="D178" s="54">
        <f t="shared" si="34"/>
        <v>0</v>
      </c>
      <c r="E178" s="54">
        <f t="shared" si="34"/>
        <v>0</v>
      </c>
      <c r="F178" s="54">
        <f t="shared" si="34"/>
        <v>0</v>
      </c>
      <c r="G178" s="54">
        <f t="shared" si="34"/>
        <v>0</v>
      </c>
      <c r="H178" s="54">
        <f>SUM(H174:H176)-H172</f>
        <v>0</v>
      </c>
      <c r="I178" s="57"/>
      <c r="J178" s="57"/>
      <c r="K178" s="57"/>
      <c r="L178" s="57"/>
      <c r="M178" s="57"/>
      <c r="N178" s="57"/>
      <c r="O178" s="57"/>
      <c r="P178" s="54"/>
      <c r="Q178" s="54"/>
      <c r="R178" s="57"/>
      <c r="S178" s="40"/>
      <c r="T178" s="40"/>
      <c r="U178" s="40"/>
    </row>
    <row r="179" spans="2:21" x14ac:dyDescent="0.3">
      <c r="B179" s="4"/>
      <c r="C179" s="54"/>
      <c r="D179" s="54"/>
      <c r="E179" s="54"/>
      <c r="F179" s="54"/>
      <c r="G179" s="54"/>
      <c r="H179" s="54"/>
      <c r="I179" s="57"/>
      <c r="J179" s="57"/>
      <c r="K179" s="57"/>
      <c r="L179" s="57"/>
      <c r="M179" s="57"/>
      <c r="N179" s="57"/>
      <c r="O179" s="57"/>
      <c r="P179" s="54"/>
      <c r="Q179" s="54"/>
      <c r="R179" s="57"/>
      <c r="S179" s="40"/>
      <c r="T179" s="40"/>
      <c r="U179" s="40"/>
    </row>
    <row r="180" spans="2:21" x14ac:dyDescent="0.3">
      <c r="B180" s="4" t="s">
        <v>412</v>
      </c>
      <c r="C180" s="69"/>
      <c r="D180" s="69">
        <f>D172/FS!C57</f>
        <v>9.824806502942568E-2</v>
      </c>
      <c r="E180" s="69">
        <f>E172/FS!D57</f>
        <v>0.1669835199464762</v>
      </c>
      <c r="F180" s="69">
        <f>F172/FS!E57</f>
        <v>0.137746597528806</v>
      </c>
      <c r="G180" s="69">
        <f>G172/FS!F57</f>
        <v>0.12684101828403377</v>
      </c>
      <c r="H180" s="69">
        <f>H172/FS!G57</f>
        <v>0.1454202555592457</v>
      </c>
      <c r="I180" s="68">
        <v>0.15</v>
      </c>
      <c r="J180" s="68">
        <v>0.15</v>
      </c>
      <c r="K180" s="68">
        <v>0.15</v>
      </c>
      <c r="L180" s="68">
        <v>0.15</v>
      </c>
      <c r="M180" s="57"/>
      <c r="N180" s="57"/>
      <c r="O180" s="57"/>
      <c r="P180" s="54"/>
      <c r="Q180" s="54"/>
      <c r="R180" s="57"/>
      <c r="S180" s="40"/>
      <c r="T180" s="40"/>
      <c r="U180" s="40"/>
    </row>
    <row r="181" spans="2:21" x14ac:dyDescent="0.3">
      <c r="B181" s="4"/>
      <c r="C181" s="54"/>
      <c r="D181" s="54"/>
      <c r="E181" s="54"/>
      <c r="F181" s="54"/>
      <c r="G181" s="54"/>
      <c r="H181" s="54"/>
      <c r="I181" s="57"/>
      <c r="J181" s="57"/>
      <c r="K181" s="57"/>
      <c r="L181" s="57"/>
      <c r="M181" s="57"/>
      <c r="N181" s="57"/>
      <c r="O181" s="57"/>
      <c r="P181" s="54"/>
      <c r="Q181" s="54"/>
      <c r="R181" s="57"/>
      <c r="S181" s="40"/>
      <c r="T181" s="40"/>
      <c r="U181" s="40"/>
    </row>
    <row r="182" spans="2:21" s="7" customFormat="1" x14ac:dyDescent="0.3">
      <c r="C182" s="62"/>
      <c r="D182" s="62"/>
      <c r="E182" s="62"/>
      <c r="F182" s="62"/>
      <c r="G182" s="62"/>
      <c r="H182" s="62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</row>
    <row r="183" spans="2:21" x14ac:dyDescent="0.3">
      <c r="B183" s="4"/>
      <c r="C183" s="54"/>
      <c r="D183" s="54"/>
      <c r="E183" s="54"/>
      <c r="F183" s="54"/>
      <c r="G183" s="54"/>
      <c r="H183" s="54"/>
      <c r="I183" s="57"/>
      <c r="J183" s="57"/>
      <c r="K183" s="57"/>
      <c r="L183" s="57"/>
      <c r="M183" s="57"/>
      <c r="N183" s="57"/>
      <c r="O183" s="57"/>
      <c r="P183" s="54"/>
      <c r="Q183" s="54"/>
      <c r="R183" s="57"/>
      <c r="S183" s="40"/>
      <c r="T183" s="40"/>
      <c r="U183" s="40"/>
    </row>
    <row r="184" spans="2:21" x14ac:dyDescent="0.3">
      <c r="B184" t="s">
        <v>21</v>
      </c>
      <c r="C184" s="27">
        <v>7618993</v>
      </c>
      <c r="D184" s="27">
        <v>8993958</v>
      </c>
      <c r="E184" s="27">
        <v>8875316</v>
      </c>
      <c r="F184" s="27">
        <v>8167170</v>
      </c>
      <c r="G184" s="27">
        <v>9638461</v>
      </c>
      <c r="H184" s="27">
        <v>12895587</v>
      </c>
      <c r="I184" s="57">
        <f>H184*(1+I192)</f>
        <v>16764263.100000001</v>
      </c>
      <c r="J184" s="57">
        <f t="shared" ref="J184:L184" si="35">I184*(1+J192)</f>
        <v>20117115.720000003</v>
      </c>
      <c r="K184" s="57">
        <f t="shared" si="35"/>
        <v>24140538.864000004</v>
      </c>
      <c r="L184" s="57">
        <f t="shared" si="35"/>
        <v>28968646.636800002</v>
      </c>
      <c r="M184" s="57"/>
      <c r="N184" s="57">
        <f>FS!P22/9*12</f>
        <v>16116592</v>
      </c>
      <c r="O184" s="57"/>
      <c r="P184" s="27">
        <v>7903941</v>
      </c>
      <c r="Q184" s="27">
        <v>6723078</v>
      </c>
      <c r="R184" s="57">
        <f>P184*2</f>
        <v>15807882</v>
      </c>
      <c r="S184" s="40"/>
      <c r="T184" s="40"/>
      <c r="U184" s="40"/>
    </row>
    <row r="185" spans="2:21" x14ac:dyDescent="0.3">
      <c r="C185" s="54"/>
      <c r="D185" s="54"/>
      <c r="E185" s="54"/>
      <c r="F185" s="54"/>
      <c r="G185" s="54"/>
      <c r="H185" s="54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</row>
    <row r="186" spans="2:21" x14ac:dyDescent="0.3">
      <c r="B186" t="s">
        <v>288</v>
      </c>
      <c r="C186" s="27">
        <v>2677614</v>
      </c>
      <c r="D186" s="27">
        <v>2900280</v>
      </c>
      <c r="E186" s="27">
        <v>1878292</v>
      </c>
      <c r="F186" s="27">
        <v>1644397</v>
      </c>
      <c r="G186" s="27">
        <v>1930171</v>
      </c>
      <c r="H186" s="27">
        <v>2369221</v>
      </c>
      <c r="I186" s="57"/>
      <c r="J186" s="57"/>
      <c r="K186" s="57"/>
      <c r="L186" s="57"/>
      <c r="M186" s="57"/>
      <c r="N186" s="57"/>
      <c r="O186" s="57"/>
      <c r="P186" s="54"/>
      <c r="Q186" s="54"/>
      <c r="R186" s="57"/>
      <c r="S186" s="40"/>
      <c r="T186" s="40"/>
      <c r="U186" s="40"/>
    </row>
    <row r="187" spans="2:21" x14ac:dyDescent="0.3">
      <c r="B187" t="s">
        <v>287</v>
      </c>
      <c r="C187" s="27">
        <v>1187143</v>
      </c>
      <c r="D187" s="27">
        <v>1297628</v>
      </c>
      <c r="E187" s="27">
        <v>1649310</v>
      </c>
      <c r="F187" s="27">
        <v>1797222</v>
      </c>
      <c r="G187" s="27">
        <v>2237536</v>
      </c>
      <c r="H187" s="27">
        <v>3177441</v>
      </c>
      <c r="I187" s="57"/>
      <c r="J187" s="57"/>
      <c r="K187" s="57"/>
      <c r="L187" s="57"/>
      <c r="M187" s="57"/>
      <c r="N187" s="57"/>
      <c r="O187" s="57"/>
      <c r="P187" s="54"/>
      <c r="Q187" s="54"/>
      <c r="R187" s="57"/>
      <c r="S187" s="40"/>
      <c r="T187" s="40"/>
      <c r="U187" s="40"/>
    </row>
    <row r="188" spans="2:21" x14ac:dyDescent="0.3">
      <c r="B188" t="s">
        <v>289</v>
      </c>
      <c r="C188" s="27">
        <v>2531679</v>
      </c>
      <c r="D188" s="27">
        <v>3274424</v>
      </c>
      <c r="E188" s="27">
        <v>3227608</v>
      </c>
      <c r="F188" s="27">
        <v>2648982</v>
      </c>
      <c r="G188" s="27">
        <v>2932620</v>
      </c>
      <c r="H188" s="27">
        <v>4312136</v>
      </c>
      <c r="I188" s="57"/>
      <c r="J188" s="57"/>
      <c r="K188" s="57"/>
      <c r="L188" s="57"/>
      <c r="M188" s="57"/>
      <c r="N188" s="57"/>
      <c r="O188" s="57"/>
      <c r="P188" s="54"/>
      <c r="Q188" s="54"/>
      <c r="R188" s="57"/>
      <c r="S188" s="40"/>
      <c r="T188" s="40"/>
      <c r="U188" s="40"/>
    </row>
    <row r="189" spans="2:21" x14ac:dyDescent="0.3">
      <c r="B189" t="s">
        <v>290</v>
      </c>
      <c r="C189" s="27">
        <v>682108</v>
      </c>
      <c r="D189" s="27">
        <v>774100</v>
      </c>
      <c r="E189" s="27">
        <v>839685</v>
      </c>
      <c r="F189" s="27">
        <v>977846</v>
      </c>
      <c r="G189" s="27">
        <v>1216151</v>
      </c>
      <c r="H189" s="27">
        <v>1529785</v>
      </c>
      <c r="I189" s="57"/>
      <c r="J189" s="57"/>
      <c r="K189" s="57"/>
      <c r="L189" s="57"/>
      <c r="M189" s="57"/>
      <c r="N189" s="57"/>
      <c r="O189" s="57"/>
      <c r="P189" s="54"/>
      <c r="Q189" s="54"/>
      <c r="R189" s="57"/>
      <c r="S189" s="40"/>
      <c r="T189" s="40"/>
      <c r="U189" s="40"/>
    </row>
    <row r="190" spans="2:21" x14ac:dyDescent="0.3">
      <c r="B190" t="s">
        <v>283</v>
      </c>
      <c r="C190" s="54">
        <f>C184-SUM(C186:C189)</f>
        <v>540449</v>
      </c>
      <c r="D190" s="54">
        <f t="shared" ref="D190" si="36">D184-SUM(D186:D189)</f>
        <v>747526</v>
      </c>
      <c r="E190" s="54">
        <f t="shared" ref="E190" si="37">E184-SUM(E186:E189)</f>
        <v>1280421</v>
      </c>
      <c r="F190" s="54">
        <f>F184-SUM(F186:F189)</f>
        <v>1098723</v>
      </c>
      <c r="G190" s="54">
        <f t="shared" ref="G190:H190" si="38">G184-SUM(G186:G189)</f>
        <v>1321983</v>
      </c>
      <c r="H190" s="54">
        <f t="shared" si="38"/>
        <v>1507004</v>
      </c>
      <c r="I190" s="57"/>
      <c r="J190" s="57"/>
      <c r="K190" s="57"/>
      <c r="L190" s="57"/>
      <c r="M190" s="57"/>
      <c r="N190" s="57"/>
      <c r="O190" s="57"/>
      <c r="P190" s="54"/>
      <c r="Q190" s="54"/>
      <c r="R190" s="57"/>
      <c r="S190" s="40"/>
      <c r="T190" s="40"/>
      <c r="U190" s="40"/>
    </row>
    <row r="191" spans="2:21" x14ac:dyDescent="0.3">
      <c r="C191" s="54"/>
      <c r="D191" s="54"/>
      <c r="E191" s="54"/>
      <c r="F191" s="54"/>
      <c r="G191" s="54"/>
      <c r="H191" s="54"/>
      <c r="I191" s="57"/>
      <c r="J191" s="57"/>
      <c r="K191" s="57"/>
      <c r="L191" s="57"/>
      <c r="M191" s="57"/>
      <c r="N191" s="57"/>
      <c r="O191" s="57"/>
      <c r="P191" s="54"/>
      <c r="Q191" s="54"/>
      <c r="R191" s="57"/>
      <c r="S191" s="40"/>
      <c r="T191" s="40"/>
      <c r="U191" s="40"/>
    </row>
    <row r="192" spans="2:21" x14ac:dyDescent="0.3">
      <c r="B192" t="s">
        <v>367</v>
      </c>
      <c r="C192" s="54"/>
      <c r="D192" s="68">
        <f t="shared" ref="D192:G192" si="39">D184/C184-1</f>
        <v>0.18046544996169445</v>
      </c>
      <c r="E192" s="68">
        <f t="shared" si="39"/>
        <v>-1.3191300203981404E-2</v>
      </c>
      <c r="F192" s="68">
        <f t="shared" si="39"/>
        <v>-7.9788257680064589E-2</v>
      </c>
      <c r="G192" s="68">
        <f t="shared" si="39"/>
        <v>0.18014697869641494</v>
      </c>
      <c r="H192" s="68">
        <f>H184/G184-1</f>
        <v>0.3379300907063898</v>
      </c>
      <c r="I192" s="68">
        <v>0.3</v>
      </c>
      <c r="J192" s="68">
        <v>0.2</v>
      </c>
      <c r="K192" s="68">
        <v>0.2</v>
      </c>
      <c r="L192" s="68">
        <v>0.2</v>
      </c>
      <c r="M192" s="57"/>
      <c r="N192" s="57"/>
      <c r="O192" s="57"/>
      <c r="P192" s="54"/>
      <c r="Q192" s="54"/>
      <c r="R192" s="57"/>
      <c r="S192" s="40"/>
      <c r="T192" s="40"/>
      <c r="U192" s="40"/>
    </row>
    <row r="193" spans="2:21" x14ac:dyDescent="0.3">
      <c r="C193" s="54"/>
      <c r="D193" s="54"/>
      <c r="E193" s="54"/>
      <c r="F193" s="54"/>
      <c r="G193" s="54"/>
      <c r="H193" s="54"/>
      <c r="I193" s="57"/>
      <c r="J193" s="57"/>
      <c r="K193" s="57"/>
      <c r="L193" s="57"/>
      <c r="M193" s="57"/>
      <c r="N193" s="57"/>
      <c r="O193" s="57"/>
      <c r="P193" s="54"/>
      <c r="Q193" s="54"/>
      <c r="R193" s="57"/>
      <c r="S193" s="40"/>
      <c r="T193" s="40"/>
      <c r="U193" s="40"/>
    </row>
    <row r="194" spans="2:21" s="7" customFormat="1" x14ac:dyDescent="0.3">
      <c r="C194" s="62"/>
      <c r="D194" s="62"/>
      <c r="E194" s="62"/>
      <c r="F194" s="62"/>
      <c r="G194" s="62"/>
      <c r="H194" s="62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</row>
    <row r="195" spans="2:21" x14ac:dyDescent="0.3">
      <c r="C195" s="54"/>
      <c r="D195" s="54"/>
      <c r="E195" s="54"/>
      <c r="F195" s="54"/>
      <c r="G195" s="54"/>
      <c r="H195" s="54"/>
      <c r="I195" s="57"/>
      <c r="J195" s="57"/>
      <c r="K195" s="57"/>
      <c r="L195" s="57"/>
      <c r="M195" s="57"/>
      <c r="N195" s="57"/>
      <c r="O195" s="57"/>
      <c r="P195" s="54"/>
      <c r="Q195" s="54"/>
      <c r="R195" s="57"/>
      <c r="S195" s="40"/>
      <c r="T195" s="40"/>
      <c r="U195" s="40"/>
    </row>
    <row r="196" spans="2:21" x14ac:dyDescent="0.3">
      <c r="B196" t="s">
        <v>291</v>
      </c>
      <c r="C196" s="27">
        <v>4896620</v>
      </c>
      <c r="D196" s="27">
        <v>6051861</v>
      </c>
      <c r="E196" s="27">
        <v>7255728</v>
      </c>
      <c r="F196" s="27">
        <v>4531381</v>
      </c>
      <c r="G196" s="27">
        <v>5845230</v>
      </c>
      <c r="H196" s="27">
        <v>3921381</v>
      </c>
      <c r="I196" s="57">
        <f>I202*FS!J7</f>
        <v>4893717.4441042198</v>
      </c>
      <c r="J196" s="57">
        <f>J202*FS!K7</f>
        <v>5902787.2165519306</v>
      </c>
      <c r="K196" s="57">
        <f>K202*FS!L7</f>
        <v>6756989.5396882221</v>
      </c>
      <c r="L196" s="57">
        <f>L202*FS!M7</f>
        <v>7635096.9508877387</v>
      </c>
      <c r="M196" s="57"/>
      <c r="N196" s="57">
        <f>FS!P25/9*12</f>
        <v>4886169.333333333</v>
      </c>
      <c r="O196" s="57"/>
      <c r="P196" s="27">
        <v>1933968</v>
      </c>
      <c r="Q196" s="27">
        <v>2602781</v>
      </c>
      <c r="R196" s="57">
        <f t="shared" ref="R196" si="40">P196*2</f>
        <v>3867936</v>
      </c>
      <c r="S196" s="40"/>
      <c r="T196" s="40"/>
      <c r="U196" s="40"/>
    </row>
    <row r="197" spans="2:21" x14ac:dyDescent="0.3">
      <c r="C197" s="54"/>
      <c r="D197" s="54"/>
      <c r="E197" s="54"/>
      <c r="F197" s="54"/>
      <c r="G197" s="54"/>
      <c r="H197" s="54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</row>
    <row r="198" spans="2:21" x14ac:dyDescent="0.3">
      <c r="B198" t="s">
        <v>292</v>
      </c>
      <c r="C198" s="27">
        <v>4319890</v>
      </c>
      <c r="D198" s="27">
        <v>4759005</v>
      </c>
      <c r="E198" s="27">
        <v>4233302</v>
      </c>
      <c r="F198" s="27">
        <v>4531381</v>
      </c>
      <c r="G198" s="27">
        <v>5845230</v>
      </c>
      <c r="H198" s="27">
        <v>3914152</v>
      </c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</row>
    <row r="199" spans="2:21" x14ac:dyDescent="0.3">
      <c r="B199" t="s">
        <v>293</v>
      </c>
      <c r="C199" s="27">
        <v>576730</v>
      </c>
      <c r="D199" s="27">
        <v>642858</v>
      </c>
      <c r="E199" s="27">
        <v>553802</v>
      </c>
      <c r="F199" s="54"/>
      <c r="G199" s="54"/>
      <c r="H199" s="27">
        <v>7229</v>
      </c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</row>
    <row r="200" spans="2:21" x14ac:dyDescent="0.3">
      <c r="B200" t="s">
        <v>294</v>
      </c>
      <c r="C200" s="27">
        <v>0</v>
      </c>
      <c r="D200" s="27">
        <v>649998</v>
      </c>
      <c r="E200" s="27">
        <v>2468624</v>
      </c>
      <c r="F200" s="54"/>
      <c r="G200" s="54"/>
      <c r="H200" s="54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</row>
    <row r="201" spans="2:21" x14ac:dyDescent="0.3">
      <c r="C201" s="54"/>
      <c r="D201" s="54"/>
      <c r="E201" s="54"/>
      <c r="F201" s="54"/>
      <c r="G201" s="54"/>
      <c r="H201" s="54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</row>
    <row r="202" spans="2:21" x14ac:dyDescent="0.3">
      <c r="B202" t="s">
        <v>413</v>
      </c>
      <c r="C202" s="69">
        <f>C196/FS!C7</f>
        <v>4.7060665646110042E-2</v>
      </c>
      <c r="D202" s="69">
        <f>D196/FS!D7</f>
        <v>5.1048483769958741E-2</v>
      </c>
      <c r="E202" s="69">
        <f>E196/FS!E7</f>
        <v>5.6120772407636507E-2</v>
      </c>
      <c r="F202" s="69">
        <f>F196/FS!F7</f>
        <v>3.6517563991206765E-2</v>
      </c>
      <c r="G202" s="69">
        <f>G196/FS!G7</f>
        <v>4.4009262045440797E-2</v>
      </c>
      <c r="H202" s="69">
        <f>H196/FS!I7</f>
        <v>1.7632657534275155E-2</v>
      </c>
      <c r="I202" s="94">
        <v>1.6E-2</v>
      </c>
      <c r="J202" s="94">
        <v>0.02</v>
      </c>
      <c r="K202" s="94">
        <v>0.02</v>
      </c>
      <c r="L202" s="94">
        <v>0.02</v>
      </c>
      <c r="M202" s="40"/>
      <c r="N202" s="40"/>
      <c r="O202" s="40"/>
      <c r="P202" s="40"/>
      <c r="Q202" s="40"/>
      <c r="R202" s="40"/>
      <c r="S202" s="40"/>
      <c r="T202" s="40"/>
      <c r="U202" s="40"/>
    </row>
    <row r="203" spans="2:21" x14ac:dyDescent="0.3">
      <c r="C203" s="54"/>
      <c r="D203" s="54"/>
      <c r="E203" s="54"/>
      <c r="F203" s="54"/>
      <c r="G203" s="54"/>
      <c r="H203" s="54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</row>
    <row r="204" spans="2:21" s="7" customFormat="1" x14ac:dyDescent="0.3">
      <c r="C204" s="62"/>
      <c r="D204" s="62"/>
      <c r="E204" s="62"/>
      <c r="F204" s="62"/>
      <c r="G204" s="62"/>
      <c r="H204" s="62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</row>
    <row r="205" spans="2:21" x14ac:dyDescent="0.3">
      <c r="C205" s="54"/>
      <c r="D205" s="54"/>
      <c r="E205" s="54"/>
      <c r="F205" s="54"/>
      <c r="G205" s="54"/>
      <c r="H205" s="54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</row>
    <row r="206" spans="2:21" x14ac:dyDescent="0.3">
      <c r="B206" t="s">
        <v>414</v>
      </c>
      <c r="C206" s="54">
        <f>FS!C29</f>
        <v>6653817</v>
      </c>
      <c r="D206" s="54">
        <f>FS!D29</f>
        <v>8235717</v>
      </c>
      <c r="E206" s="54">
        <f>FS!E29</f>
        <v>5563500</v>
      </c>
      <c r="F206" s="54">
        <f>FS!F29</f>
        <v>7433063</v>
      </c>
      <c r="G206" s="54">
        <f>FS!G29</f>
        <v>8667036</v>
      </c>
      <c r="H206" s="54">
        <f>FS!I29</f>
        <v>105566</v>
      </c>
      <c r="I206" s="57">
        <f>FS!J28*Drivers!I207</f>
        <v>14932977.585111324</v>
      </c>
      <c r="J206" s="57">
        <f>FS!K28*Drivers!J207</f>
        <v>11504728.498253813</v>
      </c>
      <c r="K206" s="57">
        <f>FS!L28*Drivers!K207</f>
        <v>12254115.016872127</v>
      </c>
      <c r="L206" s="57">
        <f>FS!M28*Drivers!L207</f>
        <v>12890542.927765377</v>
      </c>
      <c r="M206" s="40"/>
      <c r="N206" s="57">
        <f>FS!P29/9*12</f>
        <v>13689806.666666668</v>
      </c>
      <c r="O206" s="40"/>
      <c r="P206" s="40"/>
      <c r="Q206" s="40"/>
      <c r="R206" s="40"/>
      <c r="S206" s="40"/>
      <c r="T206" s="40"/>
      <c r="U206" s="40"/>
    </row>
    <row r="207" spans="2:21" x14ac:dyDescent="0.3">
      <c r="B207" t="s">
        <v>415</v>
      </c>
      <c r="C207" s="69">
        <f>C206/FS!C28</f>
        <v>0.28581290363484629</v>
      </c>
      <c r="D207" s="69">
        <f>D206/FS!D28</f>
        <v>0.31556226806180943</v>
      </c>
      <c r="E207" s="69">
        <f>E206/FS!E28</f>
        <v>0.24206078899765296</v>
      </c>
      <c r="F207" s="69">
        <f>F206/FS!F28</f>
        <v>0.30314459381089454</v>
      </c>
      <c r="G207" s="69">
        <f>G206/FS!G28</f>
        <v>0.26297754028816173</v>
      </c>
      <c r="H207" s="69">
        <f>H206/FS!I28</f>
        <v>4.3079304753577607E-3</v>
      </c>
      <c r="I207" s="93">
        <v>0.42</v>
      </c>
      <c r="J207" s="93">
        <v>0.3</v>
      </c>
      <c r="K207" s="93">
        <v>0.3</v>
      </c>
      <c r="L207" s="93">
        <v>0.3</v>
      </c>
      <c r="M207" s="40"/>
      <c r="N207" s="40"/>
      <c r="O207" s="40"/>
      <c r="P207" s="40"/>
      <c r="Q207" s="40"/>
      <c r="R207" s="40"/>
      <c r="S207" s="40"/>
      <c r="T207" s="40"/>
      <c r="U207" s="40"/>
    </row>
    <row r="208" spans="2:21" x14ac:dyDescent="0.3">
      <c r="C208" s="54"/>
      <c r="D208" s="54"/>
      <c r="E208" s="54"/>
      <c r="F208" s="54"/>
      <c r="G208" s="54"/>
      <c r="H208" s="54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</row>
    <row r="209" spans="2:21" x14ac:dyDescent="0.3">
      <c r="C209" s="54"/>
      <c r="D209" s="54"/>
      <c r="E209" s="54"/>
      <c r="F209" s="54"/>
      <c r="G209" s="54"/>
      <c r="H209" s="54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</row>
    <row r="210" spans="2:21" x14ac:dyDescent="0.3">
      <c r="C210" s="54"/>
      <c r="D210" s="54"/>
      <c r="E210" s="54"/>
      <c r="F210" s="54"/>
      <c r="G210" s="54"/>
      <c r="H210" s="54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</row>
    <row r="211" spans="2:21" x14ac:dyDescent="0.3">
      <c r="C211" s="54"/>
      <c r="D211" s="54"/>
      <c r="E211" s="54"/>
      <c r="F211" s="54"/>
      <c r="G211" s="54"/>
      <c r="H211" s="54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</row>
    <row r="212" spans="2:21" x14ac:dyDescent="0.3">
      <c r="C212" s="54"/>
      <c r="D212" s="54"/>
      <c r="E212" s="54"/>
      <c r="F212" s="54"/>
      <c r="G212" s="54"/>
      <c r="H212" s="54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</row>
    <row r="213" spans="2:21" s="8" customFormat="1" x14ac:dyDescent="0.3">
      <c r="B213" s="11" t="s">
        <v>121</v>
      </c>
      <c r="C213" s="65"/>
      <c r="D213" s="65"/>
      <c r="E213" s="65"/>
      <c r="F213" s="65"/>
      <c r="G213" s="65"/>
      <c r="H213" s="65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</row>
    <row r="214" spans="2:21" s="7" customFormat="1" x14ac:dyDescent="0.3">
      <c r="C214" s="62"/>
      <c r="D214" s="62"/>
      <c r="E214" s="62"/>
      <c r="F214" s="62"/>
      <c r="G214" s="62"/>
      <c r="H214" s="62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</row>
    <row r="215" spans="2:21" x14ac:dyDescent="0.3">
      <c r="C215" s="54"/>
      <c r="D215" s="54"/>
      <c r="E215" s="54"/>
      <c r="F215" s="54"/>
      <c r="G215" s="54"/>
      <c r="H215" s="54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</row>
    <row r="216" spans="2:21" x14ac:dyDescent="0.3">
      <c r="B216" s="4" t="s">
        <v>100</v>
      </c>
      <c r="C216" s="27">
        <v>34673424</v>
      </c>
      <c r="D216" s="27">
        <v>44355962</v>
      </c>
      <c r="E216" s="27">
        <v>53681118</v>
      </c>
      <c r="F216" s="27">
        <v>51255030</v>
      </c>
      <c r="G216" s="27">
        <v>69335379</v>
      </c>
      <c r="H216" s="27">
        <v>151109490</v>
      </c>
      <c r="I216" s="57"/>
      <c r="J216" s="57"/>
      <c r="K216" s="57"/>
      <c r="L216" s="57"/>
      <c r="M216" s="57"/>
      <c r="N216" s="38">
        <v>114518140</v>
      </c>
      <c r="P216" s="27">
        <v>112544293</v>
      </c>
      <c r="Q216" s="27">
        <v>151109490</v>
      </c>
      <c r="R216" s="40"/>
      <c r="S216" s="40"/>
      <c r="T216" s="40"/>
      <c r="U216" s="40"/>
    </row>
    <row r="217" spans="2:21" x14ac:dyDescent="0.3">
      <c r="C217" s="67"/>
      <c r="D217" s="67"/>
      <c r="E217" s="54"/>
      <c r="F217" s="54"/>
      <c r="G217" s="54"/>
      <c r="H217" s="54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</row>
    <row r="218" spans="2:21" x14ac:dyDescent="0.3">
      <c r="B218" t="s">
        <v>295</v>
      </c>
      <c r="C218" s="86">
        <v>23577061</v>
      </c>
      <c r="D218" s="86">
        <v>24585211</v>
      </c>
      <c r="E218" s="36">
        <v>26592518</v>
      </c>
      <c r="F218" s="36">
        <v>26681454</v>
      </c>
      <c r="G218" s="36">
        <v>30792774</v>
      </c>
      <c r="H218" s="36">
        <v>48162374</v>
      </c>
      <c r="I218" s="64"/>
      <c r="J218" s="64"/>
      <c r="K218" s="64"/>
      <c r="L218" s="64"/>
      <c r="M218" s="40"/>
      <c r="N218" s="40"/>
      <c r="O218" s="40"/>
      <c r="P218" s="40"/>
      <c r="Q218" s="40"/>
      <c r="R218" s="40"/>
      <c r="S218" s="40"/>
      <c r="T218" s="40"/>
      <c r="U218" s="40"/>
    </row>
    <row r="219" spans="2:21" x14ac:dyDescent="0.3">
      <c r="B219" s="24" t="s">
        <v>296</v>
      </c>
      <c r="C219" s="31">
        <v>20846435</v>
      </c>
      <c r="D219" s="31">
        <v>19489030</v>
      </c>
      <c r="E219" s="27">
        <v>22633898</v>
      </c>
      <c r="F219" s="27">
        <v>24502554</v>
      </c>
      <c r="G219" s="27">
        <v>27341234</v>
      </c>
      <c r="H219" s="27">
        <v>39514575</v>
      </c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</row>
    <row r="220" spans="2:21" x14ac:dyDescent="0.3">
      <c r="B220" s="24" t="s">
        <v>297</v>
      </c>
      <c r="C220" s="31">
        <v>2730626</v>
      </c>
      <c r="D220" s="31">
        <v>5096181</v>
      </c>
      <c r="E220" s="27">
        <v>3958620</v>
      </c>
      <c r="F220" s="27">
        <v>2178900</v>
      </c>
      <c r="G220" s="27">
        <v>3451540</v>
      </c>
      <c r="H220" s="27">
        <v>8647799</v>
      </c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</row>
    <row r="221" spans="2:21" x14ac:dyDescent="0.3">
      <c r="B221" t="s">
        <v>298</v>
      </c>
      <c r="C221" s="86">
        <v>6748718</v>
      </c>
      <c r="D221" s="86">
        <v>10892192</v>
      </c>
      <c r="E221" s="36">
        <v>9420183</v>
      </c>
      <c r="F221" s="36">
        <v>22759243</v>
      </c>
      <c r="G221" s="36">
        <v>25099804</v>
      </c>
      <c r="H221" s="36">
        <v>86403404</v>
      </c>
      <c r="I221" s="64"/>
      <c r="J221" s="64"/>
      <c r="K221" s="64"/>
      <c r="L221" s="64"/>
      <c r="M221" s="40"/>
      <c r="N221" s="40"/>
      <c r="O221" s="40"/>
      <c r="P221" s="40"/>
      <c r="Q221" s="40"/>
      <c r="R221" s="40"/>
      <c r="S221" s="40"/>
      <c r="T221" s="40"/>
      <c r="U221" s="40"/>
    </row>
    <row r="222" spans="2:21" x14ac:dyDescent="0.3">
      <c r="B222" s="24" t="s">
        <v>299</v>
      </c>
      <c r="C222" s="31">
        <v>0</v>
      </c>
      <c r="D222" s="31">
        <v>0</v>
      </c>
      <c r="E222" s="27">
        <v>172295</v>
      </c>
      <c r="F222" s="27">
        <v>173152</v>
      </c>
      <c r="G222" s="27">
        <v>189319</v>
      </c>
      <c r="H222" s="27">
        <v>57078</v>
      </c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</row>
    <row r="223" spans="2:21" x14ac:dyDescent="0.3">
      <c r="B223" s="24" t="s">
        <v>300</v>
      </c>
      <c r="C223" s="31">
        <v>6748718</v>
      </c>
      <c r="D223" s="31">
        <v>10892192</v>
      </c>
      <c r="E223" s="27">
        <v>9247888</v>
      </c>
      <c r="F223" s="27">
        <v>22586091</v>
      </c>
      <c r="G223" s="27">
        <v>24910485</v>
      </c>
      <c r="H223" s="27">
        <v>86346326</v>
      </c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</row>
    <row r="224" spans="2:21" x14ac:dyDescent="0.3">
      <c r="B224" t="s">
        <v>301</v>
      </c>
      <c r="C224" s="31">
        <v>4347645</v>
      </c>
      <c r="D224" s="31">
        <v>8882972</v>
      </c>
      <c r="E224" s="27">
        <v>17674124</v>
      </c>
      <c r="F224" s="27">
        <v>1817574</v>
      </c>
      <c r="G224" s="27">
        <v>13450414</v>
      </c>
      <c r="H224" s="27">
        <v>16557741</v>
      </c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</row>
    <row r="225" spans="2:21" x14ac:dyDescent="0.3">
      <c r="B225" t="s">
        <v>302</v>
      </c>
      <c r="C225" s="86">
        <v>34673424</v>
      </c>
      <c r="D225" s="86">
        <v>44360375</v>
      </c>
      <c r="E225" s="36">
        <v>53686825</v>
      </c>
      <c r="F225" s="36">
        <v>51258271</v>
      </c>
      <c r="G225" s="36">
        <v>69342992</v>
      </c>
      <c r="H225" s="36">
        <v>151123519</v>
      </c>
      <c r="I225" s="64"/>
      <c r="J225" s="64"/>
      <c r="K225" s="64"/>
      <c r="L225" s="64"/>
      <c r="M225" s="40"/>
      <c r="N225" s="40"/>
      <c r="O225" s="40"/>
      <c r="P225" s="40"/>
      <c r="Q225" s="40"/>
      <c r="R225" s="40"/>
      <c r="S225" s="40"/>
      <c r="T225" s="40"/>
      <c r="U225" s="40"/>
    </row>
    <row r="226" spans="2:21" x14ac:dyDescent="0.3">
      <c r="B226" t="s">
        <v>147</v>
      </c>
      <c r="C226" s="31">
        <v>0</v>
      </c>
      <c r="D226" s="31">
        <v>4413</v>
      </c>
      <c r="E226" s="27">
        <v>5707</v>
      </c>
      <c r="F226" s="27">
        <v>3241</v>
      </c>
      <c r="G226" s="27">
        <v>7613</v>
      </c>
      <c r="H226" s="27">
        <v>14029</v>
      </c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</row>
    <row r="227" spans="2:21" x14ac:dyDescent="0.3">
      <c r="C227" s="67"/>
      <c r="D227" s="67"/>
      <c r="E227" s="54"/>
      <c r="F227" s="54"/>
      <c r="G227" s="54"/>
      <c r="H227" s="54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</row>
    <row r="228" spans="2:21" s="33" customFormat="1" x14ac:dyDescent="0.3">
      <c r="B228" s="33" t="s">
        <v>179</v>
      </c>
      <c r="C228" s="54">
        <f t="shared" ref="C228:G228" si="41">C218+C221+C224-C226-C216</f>
        <v>0</v>
      </c>
      <c r="D228" s="54">
        <f t="shared" si="41"/>
        <v>0</v>
      </c>
      <c r="E228" s="54">
        <f t="shared" si="41"/>
        <v>0</v>
      </c>
      <c r="F228" s="54">
        <f t="shared" si="41"/>
        <v>0</v>
      </c>
      <c r="G228" s="54">
        <f t="shared" si="41"/>
        <v>0</v>
      </c>
      <c r="H228" s="54">
        <f>H218+H221+H224-H226-H216</f>
        <v>0</v>
      </c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</row>
    <row r="229" spans="2:21" x14ac:dyDescent="0.3">
      <c r="C229" s="67"/>
      <c r="D229" s="67"/>
      <c r="E229" s="54"/>
      <c r="F229" s="54"/>
      <c r="G229" s="54"/>
      <c r="H229" s="54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</row>
    <row r="230" spans="2:21" x14ac:dyDescent="0.3">
      <c r="B230" t="s">
        <v>388</v>
      </c>
      <c r="C230" s="69">
        <f t="shared" ref="C230:H230" si="42">C216/C501</f>
        <v>4.0446329357705577E-2</v>
      </c>
      <c r="D230" s="69">
        <f t="shared" si="42"/>
        <v>4.4607060720679291E-2</v>
      </c>
      <c r="E230" s="69">
        <f t="shared" si="42"/>
        <v>5.0217018174871356E-2</v>
      </c>
      <c r="F230" s="69">
        <f t="shared" si="42"/>
        <v>3.9837071904133256E-2</v>
      </c>
      <c r="G230" s="69">
        <f t="shared" si="42"/>
        <v>4.708235382065315E-2</v>
      </c>
      <c r="H230" s="69">
        <f t="shared" si="42"/>
        <v>7.6404992709517783E-2</v>
      </c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</row>
    <row r="231" spans="2:21" x14ac:dyDescent="0.3">
      <c r="C231" s="67"/>
      <c r="D231" s="67"/>
      <c r="E231" s="54"/>
      <c r="F231" s="54"/>
      <c r="G231" s="54"/>
      <c r="H231" s="54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</row>
    <row r="232" spans="2:21" s="76" customFormat="1" x14ac:dyDescent="0.3">
      <c r="C232" s="77"/>
      <c r="D232" s="77"/>
      <c r="E232" s="77"/>
      <c r="F232" s="77"/>
      <c r="G232" s="77"/>
      <c r="H232" s="77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</row>
    <row r="233" spans="2:21" x14ac:dyDescent="0.3">
      <c r="C233" s="67"/>
      <c r="D233" s="67"/>
      <c r="E233" s="54"/>
      <c r="F233" s="54"/>
      <c r="G233" s="54"/>
      <c r="H233" s="54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</row>
    <row r="234" spans="2:21" x14ac:dyDescent="0.3">
      <c r="B234" t="s">
        <v>34</v>
      </c>
      <c r="C234" s="27">
        <v>45546349</v>
      </c>
      <c r="D234" s="27">
        <v>55406535</v>
      </c>
      <c r="E234" s="27">
        <v>46101232</v>
      </c>
      <c r="F234" s="27">
        <v>115358732</v>
      </c>
      <c r="G234" s="27">
        <v>56777465</v>
      </c>
      <c r="H234" s="27">
        <v>78597120</v>
      </c>
      <c r="I234" s="57">
        <f>I305*I248</f>
        <v>52339149.030000001</v>
      </c>
      <c r="J234" s="57">
        <f t="shared" ref="J234:L234" si="43">J305*J248</f>
        <v>94799283.6805875</v>
      </c>
      <c r="K234" s="57">
        <f t="shared" si="43"/>
        <v>109019176.23267561</v>
      </c>
      <c r="L234" s="57">
        <f t="shared" si="43"/>
        <v>125372052.66757694</v>
      </c>
      <c r="M234" s="57"/>
      <c r="N234" s="38">
        <v>37516912</v>
      </c>
      <c r="O234" s="57"/>
      <c r="P234" s="27">
        <v>61871953</v>
      </c>
      <c r="Q234" s="27">
        <v>78597120</v>
      </c>
      <c r="R234" s="40"/>
      <c r="S234" s="40"/>
      <c r="T234" s="40"/>
      <c r="U234" s="40"/>
    </row>
    <row r="235" spans="2:21" x14ac:dyDescent="0.3">
      <c r="C235" s="67"/>
      <c r="D235" s="67"/>
      <c r="E235" s="54"/>
      <c r="F235" s="54"/>
      <c r="G235" s="54"/>
      <c r="H235" s="54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</row>
    <row r="236" spans="2:21" x14ac:dyDescent="0.3">
      <c r="B236" t="s">
        <v>303</v>
      </c>
      <c r="C236" s="79"/>
      <c r="D236" s="79"/>
      <c r="E236" s="56"/>
      <c r="F236" s="56"/>
      <c r="G236" s="56"/>
      <c r="H236" s="56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</row>
    <row r="237" spans="2:21" x14ac:dyDescent="0.3">
      <c r="B237" s="24" t="s">
        <v>304</v>
      </c>
      <c r="C237" s="31">
        <v>40199840</v>
      </c>
      <c r="D237" s="31">
        <v>39866912</v>
      </c>
      <c r="E237" s="27">
        <v>31213972</v>
      </c>
      <c r="F237" s="27">
        <v>11241860</v>
      </c>
      <c r="G237" s="27">
        <v>33393537</v>
      </c>
      <c r="H237" s="28">
        <v>35944930</v>
      </c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</row>
    <row r="238" spans="2:21" x14ac:dyDescent="0.3">
      <c r="B238" s="24" t="s">
        <v>305</v>
      </c>
      <c r="C238" s="31">
        <v>4601606</v>
      </c>
      <c r="D238" s="31">
        <v>14517678</v>
      </c>
      <c r="E238" s="27">
        <v>8247155</v>
      </c>
      <c r="F238" s="27">
        <v>5323929</v>
      </c>
      <c r="G238" s="27">
        <v>6398973</v>
      </c>
      <c r="H238" s="27">
        <v>30548569</v>
      </c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</row>
    <row r="239" spans="2:21" x14ac:dyDescent="0.3">
      <c r="B239" s="24" t="s">
        <v>306</v>
      </c>
      <c r="C239" s="31">
        <v>744903</v>
      </c>
      <c r="D239" s="31">
        <v>1021945</v>
      </c>
      <c r="E239" s="27">
        <v>1481327</v>
      </c>
      <c r="F239" s="27">
        <v>1275457</v>
      </c>
      <c r="G239" s="27">
        <v>1834097</v>
      </c>
      <c r="H239" s="27">
        <v>5773115</v>
      </c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</row>
    <row r="240" spans="2:21" x14ac:dyDescent="0.3">
      <c r="B240" t="s">
        <v>307</v>
      </c>
      <c r="C240" s="79"/>
      <c r="D240" s="79"/>
      <c r="E240" s="56"/>
      <c r="F240" s="56"/>
      <c r="G240" s="56"/>
      <c r="H240" s="56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</row>
    <row r="241" spans="2:21" x14ac:dyDescent="0.3">
      <c r="B241" s="24" t="s">
        <v>304</v>
      </c>
      <c r="C241" s="67"/>
      <c r="D241" s="67"/>
      <c r="E241" s="27">
        <v>0</v>
      </c>
      <c r="F241" s="27">
        <v>94405316</v>
      </c>
      <c r="G241" s="27">
        <v>13105398</v>
      </c>
      <c r="H241" s="27">
        <v>0</v>
      </c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</row>
    <row r="242" spans="2:21" x14ac:dyDescent="0.3">
      <c r="B242" s="24" t="s">
        <v>305</v>
      </c>
      <c r="C242" s="67"/>
      <c r="D242" s="67"/>
      <c r="E242" s="27">
        <v>0</v>
      </c>
      <c r="F242" s="27">
        <v>0</v>
      </c>
      <c r="G242" s="27">
        <v>0</v>
      </c>
      <c r="H242" s="27">
        <v>0</v>
      </c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</row>
    <row r="243" spans="2:21" x14ac:dyDescent="0.3">
      <c r="B243" s="24" t="s">
        <v>306</v>
      </c>
      <c r="C243" s="67"/>
      <c r="D243" s="67"/>
      <c r="E243" s="27">
        <v>5158778</v>
      </c>
      <c r="F243" s="27">
        <v>3112170</v>
      </c>
      <c r="G243" s="27">
        <v>2045460</v>
      </c>
      <c r="H243" s="27">
        <v>6330506</v>
      </c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</row>
    <row r="244" spans="2:21" x14ac:dyDescent="0.3">
      <c r="C244" s="67"/>
      <c r="D244" s="67"/>
      <c r="E244" s="54"/>
      <c r="F244" s="54"/>
      <c r="G244" s="54"/>
      <c r="H244" s="54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</row>
    <row r="245" spans="2:21" s="33" customFormat="1" x14ac:dyDescent="0.3">
      <c r="B245" s="80" t="s">
        <v>179</v>
      </c>
      <c r="C245" s="54">
        <f t="shared" ref="C245:G245" si="44">SUM(C237:C239)+SUM(C241:C243)-C234</f>
        <v>0</v>
      </c>
      <c r="D245" s="54">
        <f t="shared" si="44"/>
        <v>0</v>
      </c>
      <c r="E245" s="54">
        <f t="shared" si="44"/>
        <v>0</v>
      </c>
      <c r="F245" s="54">
        <f t="shared" si="44"/>
        <v>0</v>
      </c>
      <c r="G245" s="54">
        <f t="shared" si="44"/>
        <v>0</v>
      </c>
      <c r="H245" s="54">
        <f>SUM(H237:H239)+SUM(H241:H243)-H234</f>
        <v>0</v>
      </c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</row>
    <row r="246" spans="2:21" x14ac:dyDescent="0.3">
      <c r="C246" s="67"/>
      <c r="D246" s="67"/>
      <c r="E246" s="54"/>
      <c r="F246" s="54"/>
      <c r="G246" s="54"/>
      <c r="H246" s="54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</row>
    <row r="247" spans="2:21" x14ac:dyDescent="0.3">
      <c r="B247" t="s">
        <v>377</v>
      </c>
      <c r="C247" s="69">
        <f>C234/FS!C67</f>
        <v>5.3129527464463963E-2</v>
      </c>
      <c r="D247" s="69">
        <f>D234/FS!D67</f>
        <v>5.5720190919710914E-2</v>
      </c>
      <c r="E247" s="69">
        <f>E234/FS!E67</f>
        <v>4.312627030659013E-2</v>
      </c>
      <c r="F247" s="69">
        <f>F234/FS!F67</f>
        <v>8.9660548466241025E-2</v>
      </c>
      <c r="G247" s="69">
        <f>G234/FS!G67</f>
        <v>3.8554872486811539E-2</v>
      </c>
      <c r="H247" s="69">
        <f>H234/FS!I67</f>
        <v>3.9740802385006352E-2</v>
      </c>
      <c r="I247" s="94">
        <v>3.9E-2</v>
      </c>
      <c r="J247" s="94">
        <v>3.9E-2</v>
      </c>
      <c r="K247" s="94">
        <v>3.9E-2</v>
      </c>
      <c r="L247" s="94">
        <v>3.9E-2</v>
      </c>
      <c r="M247" s="40"/>
      <c r="N247" s="40"/>
      <c r="O247" s="40"/>
      <c r="P247" s="40"/>
      <c r="Q247" s="40"/>
      <c r="R247" s="40"/>
      <c r="S247" s="40"/>
      <c r="T247" s="40"/>
      <c r="U247" s="40"/>
    </row>
    <row r="248" spans="2:21" x14ac:dyDescent="0.3">
      <c r="B248" t="s">
        <v>381</v>
      </c>
      <c r="C248" s="69">
        <f t="shared" ref="C248:G248" si="45">C234/C305</f>
        <v>5.9893632978850628E-2</v>
      </c>
      <c r="D248" s="69">
        <f t="shared" si="45"/>
        <v>6.1702964941940192E-2</v>
      </c>
      <c r="E248" s="69">
        <f t="shared" si="45"/>
        <v>4.9531943645745292E-2</v>
      </c>
      <c r="F248" s="69">
        <f t="shared" si="45"/>
        <v>0.11993308566837332</v>
      </c>
      <c r="G248" s="69">
        <f t="shared" si="45"/>
        <v>5.1854839363275902E-2</v>
      </c>
      <c r="H248" s="69">
        <f>H234/H305</f>
        <v>6.3070934495092226E-2</v>
      </c>
      <c r="I248" s="94">
        <v>0.04</v>
      </c>
      <c r="J248" s="94">
        <v>6.3E-2</v>
      </c>
      <c r="K248" s="94">
        <v>6.3E-2</v>
      </c>
      <c r="L248" s="94">
        <v>6.3E-2</v>
      </c>
      <c r="M248" s="40"/>
      <c r="N248" s="40"/>
      <c r="O248" s="40"/>
      <c r="P248" s="40"/>
      <c r="Q248" s="40"/>
      <c r="R248" s="40"/>
      <c r="S248" s="40"/>
      <c r="T248" s="40"/>
      <c r="U248" s="40"/>
    </row>
    <row r="249" spans="2:21" x14ac:dyDescent="0.3">
      <c r="C249" s="67"/>
      <c r="D249" s="67"/>
      <c r="E249" s="54"/>
      <c r="F249" s="54"/>
      <c r="G249" s="54"/>
      <c r="H249" s="54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</row>
    <row r="250" spans="2:21" s="76" customFormat="1" x14ac:dyDescent="0.3">
      <c r="C250" s="77"/>
      <c r="D250" s="77"/>
      <c r="E250" s="77"/>
      <c r="F250" s="77"/>
      <c r="G250" s="77"/>
      <c r="H250" s="77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 spans="2:21" x14ac:dyDescent="0.3">
      <c r="C251" s="67"/>
      <c r="D251" s="67"/>
      <c r="E251" s="54"/>
      <c r="F251" s="54"/>
      <c r="G251" s="54"/>
      <c r="H251" s="54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</row>
    <row r="252" spans="2:21" x14ac:dyDescent="0.3">
      <c r="B252" t="s">
        <v>35</v>
      </c>
      <c r="C252" s="27">
        <v>17633269</v>
      </c>
      <c r="D252" s="27">
        <v>19898515</v>
      </c>
      <c r="E252" s="27">
        <v>24903809</v>
      </c>
      <c r="F252" s="27">
        <v>16421867</v>
      </c>
      <c r="G252" s="27">
        <v>12498709</v>
      </c>
      <c r="H252" s="27">
        <v>96082937</v>
      </c>
      <c r="I252" s="57">
        <f>H252*(1+I260)</f>
        <v>76866349.600000009</v>
      </c>
      <c r="J252" s="57">
        <f t="shared" ref="J252:L252" si="46">I252*(1+J260)</f>
        <v>80709667.080000013</v>
      </c>
      <c r="K252" s="57">
        <f t="shared" si="46"/>
        <v>84745150.434000015</v>
      </c>
      <c r="L252" s="57">
        <f t="shared" si="46"/>
        <v>88982407.955700025</v>
      </c>
      <c r="M252" s="57"/>
      <c r="N252" s="38">
        <v>66538167</v>
      </c>
      <c r="O252" s="57"/>
      <c r="P252" s="27">
        <v>53920816</v>
      </c>
      <c r="Q252" s="27">
        <v>96082937</v>
      </c>
      <c r="R252" s="40"/>
      <c r="S252" s="40"/>
      <c r="T252" s="40"/>
      <c r="U252" s="40"/>
    </row>
    <row r="253" spans="2:21" x14ac:dyDescent="0.3">
      <c r="C253" s="67"/>
      <c r="D253" s="67"/>
      <c r="E253" s="54"/>
      <c r="F253" s="54"/>
      <c r="G253" s="54"/>
      <c r="H253" s="54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</row>
    <row r="254" spans="2:21" x14ac:dyDescent="0.3">
      <c r="B254" t="s">
        <v>308</v>
      </c>
      <c r="C254" s="67"/>
      <c r="D254" s="67"/>
      <c r="E254" s="27">
        <v>14395454</v>
      </c>
      <c r="F254" s="27">
        <v>10759821</v>
      </c>
      <c r="G254" s="27">
        <v>10173165</v>
      </c>
      <c r="H254" s="54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</row>
    <row r="255" spans="2:21" x14ac:dyDescent="0.3">
      <c r="B255" t="s">
        <v>309</v>
      </c>
      <c r="C255" s="67"/>
      <c r="D255" s="67"/>
      <c r="E255" s="27">
        <v>10516976</v>
      </c>
      <c r="F255" s="27">
        <v>5665092</v>
      </c>
      <c r="G255" s="27">
        <v>2362769</v>
      </c>
      <c r="H255" s="27">
        <v>96117256</v>
      </c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</row>
    <row r="256" spans="2:21" x14ac:dyDescent="0.3">
      <c r="B256" t="s">
        <v>310</v>
      </c>
      <c r="C256" s="67"/>
      <c r="D256" s="67"/>
      <c r="E256" s="27">
        <v>8621</v>
      </c>
      <c r="F256" s="27">
        <v>3046</v>
      </c>
      <c r="G256" s="27">
        <v>37225</v>
      </c>
      <c r="H256" s="27">
        <v>34319</v>
      </c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</row>
    <row r="257" spans="2:21" x14ac:dyDescent="0.3">
      <c r="C257" s="67"/>
      <c r="D257" s="67"/>
      <c r="E257" s="54"/>
      <c r="F257" s="54"/>
      <c r="G257" s="54"/>
      <c r="H257" s="54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</row>
    <row r="258" spans="2:21" s="33" customFormat="1" x14ac:dyDescent="0.3">
      <c r="B258" s="33" t="s">
        <v>179</v>
      </c>
      <c r="C258" s="54">
        <f t="shared" ref="C258:G258" si="47">C254+C255-C256-C252</f>
        <v>-17633269</v>
      </c>
      <c r="D258" s="54">
        <f t="shared" si="47"/>
        <v>-19898515</v>
      </c>
      <c r="E258" s="54">
        <f t="shared" si="47"/>
        <v>0</v>
      </c>
      <c r="F258" s="54">
        <f t="shared" si="47"/>
        <v>0</v>
      </c>
      <c r="G258" s="54">
        <f t="shared" si="47"/>
        <v>0</v>
      </c>
      <c r="H258" s="54">
        <f>H254+H255-H256-H252</f>
        <v>0</v>
      </c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</row>
    <row r="259" spans="2:21" x14ac:dyDescent="0.3">
      <c r="C259" s="67"/>
      <c r="D259" s="67"/>
      <c r="E259" s="54"/>
      <c r="F259" s="54"/>
      <c r="G259" s="54"/>
      <c r="H259" s="54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</row>
    <row r="260" spans="2:21" x14ac:dyDescent="0.3">
      <c r="B260" t="s">
        <v>367</v>
      </c>
      <c r="C260" s="67"/>
      <c r="D260" s="68">
        <f t="shared" ref="D260:G260" si="48">D252/C252-1</f>
        <v>0.12846432502107241</v>
      </c>
      <c r="E260" s="68">
        <f t="shared" si="48"/>
        <v>0.25154108233704875</v>
      </c>
      <c r="F260" s="68">
        <f t="shared" si="48"/>
        <v>-0.34058814055311781</v>
      </c>
      <c r="G260" s="68">
        <f t="shared" si="48"/>
        <v>-0.23889841514366184</v>
      </c>
      <c r="H260" s="68">
        <f>H252/G252-1</f>
        <v>6.6874289176586155</v>
      </c>
      <c r="I260" s="93">
        <v>-0.2</v>
      </c>
      <c r="J260" s="93">
        <v>0.05</v>
      </c>
      <c r="K260" s="93">
        <v>0.05</v>
      </c>
      <c r="L260" s="93">
        <v>0.05</v>
      </c>
      <c r="M260" s="40"/>
      <c r="N260" s="40"/>
      <c r="O260" s="40"/>
      <c r="P260" s="40"/>
      <c r="Q260" s="40"/>
      <c r="R260" s="40"/>
      <c r="S260" s="40"/>
      <c r="T260" s="40"/>
      <c r="U260" s="40"/>
    </row>
    <row r="261" spans="2:21" x14ac:dyDescent="0.3">
      <c r="C261" s="67"/>
      <c r="D261" s="67"/>
      <c r="E261" s="54"/>
      <c r="F261" s="54"/>
      <c r="G261" s="54"/>
      <c r="H261" s="54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</row>
    <row r="262" spans="2:21" s="76" customFormat="1" x14ac:dyDescent="0.3">
      <c r="C262" s="77"/>
      <c r="D262" s="77"/>
      <c r="E262" s="77"/>
      <c r="F262" s="77"/>
      <c r="G262" s="77"/>
      <c r="H262" s="77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 spans="2:21" x14ac:dyDescent="0.3">
      <c r="C263" s="67"/>
      <c r="D263" s="67"/>
      <c r="E263" s="54"/>
      <c r="F263" s="54"/>
      <c r="G263" s="54"/>
      <c r="H263" s="54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</row>
    <row r="264" spans="2:21" x14ac:dyDescent="0.3">
      <c r="B264" t="s">
        <v>36</v>
      </c>
      <c r="C264" s="27">
        <v>0</v>
      </c>
      <c r="D264" s="27">
        <v>9513512</v>
      </c>
      <c r="E264" s="27">
        <v>13147534</v>
      </c>
      <c r="F264" s="27">
        <v>0</v>
      </c>
      <c r="G264" s="27">
        <v>3000490</v>
      </c>
      <c r="H264" s="27">
        <v>1517308</v>
      </c>
      <c r="I264" s="57">
        <f>H264*(1+I265)</f>
        <v>606923.20000000007</v>
      </c>
      <c r="J264" s="57">
        <f t="shared" ref="J264:L264" si="49">I264*(1+J265)</f>
        <v>637269.3600000001</v>
      </c>
      <c r="K264" s="57">
        <f t="shared" si="49"/>
        <v>669132.8280000001</v>
      </c>
      <c r="L264" s="57">
        <f t="shared" si="49"/>
        <v>702589.46940000018</v>
      </c>
      <c r="M264" s="57"/>
      <c r="N264" s="38">
        <v>549770</v>
      </c>
      <c r="O264" s="57"/>
      <c r="P264" s="27">
        <v>3378561</v>
      </c>
      <c r="Q264" s="27">
        <v>1517308</v>
      </c>
      <c r="R264" s="40"/>
      <c r="S264" s="40"/>
      <c r="T264" s="40"/>
      <c r="U264" s="40"/>
    </row>
    <row r="265" spans="2:21" x14ac:dyDescent="0.3">
      <c r="B265" t="s">
        <v>367</v>
      </c>
      <c r="C265" s="67"/>
      <c r="D265" s="68" t="e">
        <f t="shared" ref="D265" si="50">D264/C264-1</f>
        <v>#DIV/0!</v>
      </c>
      <c r="E265" s="68">
        <f>E264/D264-1</f>
        <v>0.3819853278158476</v>
      </c>
      <c r="F265" s="68">
        <f t="shared" ref="F265:G265" si="51">F264/E264-1</f>
        <v>-1</v>
      </c>
      <c r="G265" s="68" t="e">
        <f t="shared" si="51"/>
        <v>#DIV/0!</v>
      </c>
      <c r="H265" s="68">
        <f>H264/G264-1</f>
        <v>-0.49431326216717941</v>
      </c>
      <c r="I265" s="93">
        <v>-0.6</v>
      </c>
      <c r="J265" s="93">
        <v>0.05</v>
      </c>
      <c r="K265" s="93">
        <v>0.05</v>
      </c>
      <c r="L265" s="93">
        <v>0.05</v>
      </c>
      <c r="M265" s="40"/>
      <c r="N265" s="40"/>
      <c r="O265" s="40"/>
      <c r="P265" s="40"/>
      <c r="Q265" s="40"/>
      <c r="R265" s="40"/>
      <c r="S265" s="40"/>
      <c r="T265" s="40"/>
      <c r="U265" s="40"/>
    </row>
    <row r="266" spans="2:21" x14ac:dyDescent="0.3">
      <c r="B266" t="s">
        <v>37</v>
      </c>
      <c r="C266" s="31">
        <v>2334536</v>
      </c>
      <c r="D266" s="31">
        <v>7909962</v>
      </c>
      <c r="E266" s="27">
        <v>1830927</v>
      </c>
      <c r="F266" s="27">
        <v>2636717</v>
      </c>
      <c r="G266" s="27">
        <v>3245120</v>
      </c>
      <c r="H266" s="27">
        <v>8345091</v>
      </c>
      <c r="I266" s="57">
        <f>H266*(1+I267)</f>
        <v>5841563.6999999993</v>
      </c>
      <c r="J266" s="57">
        <f t="shared" ref="J266:L266" si="52">I266*(1+J267)</f>
        <v>6133641.8849999998</v>
      </c>
      <c r="K266" s="57">
        <f t="shared" si="52"/>
        <v>6440323.9792499999</v>
      </c>
      <c r="L266" s="57">
        <f t="shared" si="52"/>
        <v>6762340.1782125002</v>
      </c>
      <c r="M266" s="57"/>
      <c r="N266" s="38">
        <v>6091290</v>
      </c>
      <c r="O266" s="57"/>
      <c r="P266" s="27">
        <v>7032972</v>
      </c>
      <c r="Q266" s="27">
        <v>8345091</v>
      </c>
      <c r="R266" s="40"/>
      <c r="S266" s="40"/>
      <c r="T266" s="40"/>
      <c r="U266" s="40"/>
    </row>
    <row r="267" spans="2:21" x14ac:dyDescent="0.3">
      <c r="B267" t="s">
        <v>367</v>
      </c>
      <c r="C267" s="67"/>
      <c r="D267" s="68">
        <f t="shared" ref="D267" si="53">D266/C266-1</f>
        <v>2.3882373199642242</v>
      </c>
      <c r="E267" s="68">
        <f>E266/D266-1</f>
        <v>-0.76852897649824359</v>
      </c>
      <c r="F267" s="68">
        <f t="shared" ref="F267" si="54">F266/E266-1</f>
        <v>0.44009946873905958</v>
      </c>
      <c r="G267" s="68">
        <f t="shared" ref="G267" si="55">G266/F266-1</f>
        <v>0.23074262425584546</v>
      </c>
      <c r="H267" s="68">
        <f>H266/G266-1</f>
        <v>1.5715816364263882</v>
      </c>
      <c r="I267" s="93">
        <v>-0.3</v>
      </c>
      <c r="J267" s="93">
        <v>0.05</v>
      </c>
      <c r="K267" s="93">
        <v>0.05</v>
      </c>
      <c r="L267" s="93">
        <v>0.05</v>
      </c>
      <c r="M267" s="40"/>
      <c r="N267" s="40"/>
      <c r="O267" s="40"/>
      <c r="P267" s="40"/>
      <c r="Q267" s="40"/>
      <c r="R267" s="40"/>
      <c r="S267" s="40"/>
      <c r="T267" s="40"/>
      <c r="U267" s="40"/>
    </row>
    <row r="268" spans="2:21" x14ac:dyDescent="0.3">
      <c r="C268" s="67"/>
      <c r="D268" s="67"/>
      <c r="E268" s="54"/>
      <c r="F268" s="54"/>
      <c r="G268" s="54"/>
      <c r="H268" s="54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</row>
    <row r="269" spans="2:21" s="76" customFormat="1" x14ac:dyDescent="0.3">
      <c r="C269" s="77"/>
      <c r="D269" s="77"/>
      <c r="E269" s="77"/>
      <c r="F269" s="77"/>
      <c r="G269" s="77"/>
      <c r="H269" s="77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 spans="2:21" x14ac:dyDescent="0.3">
      <c r="C270" s="67"/>
      <c r="D270" s="67"/>
      <c r="E270" s="54"/>
      <c r="F270" s="54"/>
      <c r="G270" s="54"/>
      <c r="H270" s="54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</row>
    <row r="271" spans="2:21" x14ac:dyDescent="0.3">
      <c r="B271" t="s">
        <v>38</v>
      </c>
      <c r="C271" s="31">
        <v>4410913</v>
      </c>
      <c r="D271" s="31">
        <v>5520167</v>
      </c>
      <c r="E271" s="27">
        <v>21468033</v>
      </c>
      <c r="F271" s="27">
        <v>35189471</v>
      </c>
      <c r="G271" s="27">
        <v>23436123</v>
      </c>
      <c r="H271" s="27">
        <v>24873057</v>
      </c>
      <c r="I271" s="57">
        <f>I273+I276</f>
        <v>98932873</v>
      </c>
      <c r="J271" s="57">
        <f t="shared" ref="J271:L271" si="56">J273+J276</f>
        <v>155960062.40000001</v>
      </c>
      <c r="K271" s="57">
        <f t="shared" si="56"/>
        <v>171556068.64000002</v>
      </c>
      <c r="L271" s="57">
        <f t="shared" si="56"/>
        <v>188711675.50400004</v>
      </c>
      <c r="M271" s="57"/>
      <c r="N271" s="38">
        <v>98042540</v>
      </c>
      <c r="O271" s="57"/>
      <c r="P271" s="27">
        <v>50791983</v>
      </c>
      <c r="Q271" s="27">
        <v>24873057</v>
      </c>
      <c r="R271" s="40"/>
      <c r="S271" s="40"/>
      <c r="T271" s="40"/>
      <c r="U271" s="40"/>
    </row>
    <row r="272" spans="2:21" x14ac:dyDescent="0.3">
      <c r="C272" s="67"/>
      <c r="D272" s="67"/>
      <c r="E272" s="54"/>
      <c r="F272" s="54"/>
      <c r="G272" s="54"/>
      <c r="H272" s="54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</row>
    <row r="273" spans="2:21" x14ac:dyDescent="0.3">
      <c r="B273" t="s">
        <v>311</v>
      </c>
      <c r="C273" s="47">
        <f t="shared" ref="C273:G273" si="57">C274+C275</f>
        <v>4096168</v>
      </c>
      <c r="D273" s="47">
        <f t="shared" si="57"/>
        <v>4751360</v>
      </c>
      <c r="E273" s="47">
        <f t="shared" si="57"/>
        <v>20484895</v>
      </c>
      <c r="F273" s="47">
        <f t="shared" si="57"/>
        <v>33867593</v>
      </c>
      <c r="G273" s="47">
        <f t="shared" si="57"/>
        <v>21839251</v>
      </c>
      <c r="H273" s="47">
        <f>H274+H275</f>
        <v>22848251</v>
      </c>
      <c r="I273" s="47">
        <f>SUM(I274:I275)</f>
        <v>90833649</v>
      </c>
      <c r="J273" s="47">
        <f t="shared" ref="J273:L273" si="58">SUM(J274:J275)</f>
        <v>139761614.40000001</v>
      </c>
      <c r="K273" s="47">
        <f t="shared" si="58"/>
        <v>153737775.84</v>
      </c>
      <c r="L273" s="47">
        <f t="shared" si="58"/>
        <v>169111553.42400002</v>
      </c>
      <c r="M273" s="40"/>
      <c r="N273" s="40"/>
      <c r="O273" s="40"/>
      <c r="P273" s="40"/>
      <c r="Q273" s="40"/>
      <c r="R273" s="40"/>
      <c r="S273" s="40"/>
      <c r="T273" s="40"/>
      <c r="U273" s="40"/>
    </row>
    <row r="274" spans="2:21" x14ac:dyDescent="0.3">
      <c r="B274" s="24" t="s">
        <v>312</v>
      </c>
      <c r="C274" s="31">
        <v>933056</v>
      </c>
      <c r="D274" s="31">
        <v>3669706</v>
      </c>
      <c r="E274" s="27">
        <v>15715187</v>
      </c>
      <c r="F274" s="27">
        <v>7641631</v>
      </c>
      <c r="G274" s="27">
        <v>7565140</v>
      </c>
      <c r="H274" s="27">
        <v>11703803</v>
      </c>
      <c r="I274" s="57">
        <f>H274*(1+I280)</f>
        <v>35111409</v>
      </c>
      <c r="J274" s="57">
        <f t="shared" ref="J274:L274" si="59">I274*(1+J280)</f>
        <v>56178254.400000006</v>
      </c>
      <c r="K274" s="57">
        <f t="shared" si="59"/>
        <v>61796079.840000011</v>
      </c>
      <c r="L274" s="57">
        <f t="shared" si="59"/>
        <v>67975687.824000016</v>
      </c>
      <c r="M274" s="40"/>
      <c r="N274" s="40"/>
      <c r="O274" s="40"/>
      <c r="P274" s="40"/>
      <c r="Q274" s="40"/>
      <c r="R274" s="40"/>
      <c r="S274" s="40"/>
      <c r="T274" s="40"/>
      <c r="U274" s="40"/>
    </row>
    <row r="275" spans="2:21" x14ac:dyDescent="0.3">
      <c r="B275" s="24" t="s">
        <v>313</v>
      </c>
      <c r="C275" s="31">
        <v>3163112</v>
      </c>
      <c r="D275" s="31">
        <v>1081654</v>
      </c>
      <c r="E275" s="27">
        <v>4769708</v>
      </c>
      <c r="F275" s="27">
        <v>26225962</v>
      </c>
      <c r="G275" s="27">
        <v>14274111</v>
      </c>
      <c r="H275" s="27">
        <v>11144448</v>
      </c>
      <c r="I275" s="57">
        <f t="shared" ref="I275:L275" si="60">H275*(1+I281)</f>
        <v>55722240</v>
      </c>
      <c r="J275" s="57">
        <f t="shared" si="60"/>
        <v>83583360</v>
      </c>
      <c r="K275" s="57">
        <f t="shared" si="60"/>
        <v>91941696</v>
      </c>
      <c r="L275" s="57">
        <f t="shared" si="60"/>
        <v>101135865.60000001</v>
      </c>
      <c r="M275" s="40"/>
      <c r="N275" s="40"/>
      <c r="O275" s="40"/>
      <c r="P275" s="40"/>
      <c r="Q275" s="40"/>
      <c r="R275" s="40"/>
      <c r="S275" s="40"/>
      <c r="T275" s="40"/>
      <c r="U275" s="40"/>
    </row>
    <row r="276" spans="2:21" x14ac:dyDescent="0.3">
      <c r="B276" t="s">
        <v>206</v>
      </c>
      <c r="C276" s="31">
        <v>314745</v>
      </c>
      <c r="D276" s="31">
        <v>768807</v>
      </c>
      <c r="E276" s="27">
        <v>983138</v>
      </c>
      <c r="F276" s="27">
        <v>1321878</v>
      </c>
      <c r="G276" s="27">
        <v>1596872</v>
      </c>
      <c r="H276" s="27">
        <v>2024806</v>
      </c>
      <c r="I276" s="57">
        <f t="shared" ref="I276:L276" si="61">H276*(1+I282)</f>
        <v>8099224</v>
      </c>
      <c r="J276" s="57">
        <f t="shared" si="61"/>
        <v>16198448</v>
      </c>
      <c r="K276" s="57">
        <f t="shared" si="61"/>
        <v>17818292.800000001</v>
      </c>
      <c r="L276" s="57">
        <f t="shared" si="61"/>
        <v>19600122.080000002</v>
      </c>
      <c r="M276" s="40"/>
      <c r="N276" s="40"/>
      <c r="O276" s="40"/>
      <c r="P276" s="40"/>
      <c r="Q276" s="40"/>
      <c r="R276" s="40"/>
      <c r="S276" s="40"/>
      <c r="T276" s="40"/>
      <c r="U276" s="40"/>
    </row>
    <row r="277" spans="2:21" x14ac:dyDescent="0.3">
      <c r="C277" s="67"/>
      <c r="D277" s="67"/>
      <c r="E277" s="54"/>
      <c r="F277" s="54"/>
      <c r="G277" s="54"/>
      <c r="H277" s="54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</row>
    <row r="278" spans="2:21" s="33" customFormat="1" x14ac:dyDescent="0.3">
      <c r="B278" s="33" t="s">
        <v>179</v>
      </c>
      <c r="C278" s="54">
        <f t="shared" ref="C278:G278" si="62">SUM(C274:C276)-C271</f>
        <v>0</v>
      </c>
      <c r="D278" s="54">
        <f t="shared" si="62"/>
        <v>0</v>
      </c>
      <c r="E278" s="54">
        <f t="shared" si="62"/>
        <v>0</v>
      </c>
      <c r="F278" s="54">
        <f t="shared" si="62"/>
        <v>0</v>
      </c>
      <c r="G278" s="54">
        <f t="shared" si="62"/>
        <v>0</v>
      </c>
      <c r="H278" s="54">
        <f>SUM(H274:H276)-H271</f>
        <v>0</v>
      </c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</row>
    <row r="279" spans="2:21" x14ac:dyDescent="0.3">
      <c r="C279" s="67"/>
      <c r="D279" s="67"/>
      <c r="E279" s="54"/>
      <c r="F279" s="54"/>
      <c r="G279" s="54"/>
      <c r="H279" s="54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</row>
    <row r="280" spans="2:21" x14ac:dyDescent="0.3">
      <c r="B280" t="s">
        <v>375</v>
      </c>
      <c r="C280"/>
      <c r="D280" s="68">
        <f t="shared" ref="D280:G282" si="63">D274/C274-1</f>
        <v>2.9329965189656355</v>
      </c>
      <c r="E280" s="68">
        <f t="shared" si="63"/>
        <v>3.2824103620290019</v>
      </c>
      <c r="F280" s="68">
        <f t="shared" si="63"/>
        <v>-0.51374227999959532</v>
      </c>
      <c r="G280" s="68">
        <f t="shared" si="63"/>
        <v>-1.0009774091421009E-2</v>
      </c>
      <c r="H280" s="68">
        <f>H274/G274-1</f>
        <v>0.54707024589102127</v>
      </c>
      <c r="I280" s="93">
        <v>2</v>
      </c>
      <c r="J280" s="93">
        <v>0.6</v>
      </c>
      <c r="K280" s="93">
        <v>0.1</v>
      </c>
      <c r="L280" s="93">
        <v>0.1</v>
      </c>
      <c r="M280" s="40"/>
      <c r="N280" s="40"/>
      <c r="O280" s="40"/>
      <c r="P280" s="40"/>
      <c r="Q280" s="40"/>
      <c r="R280" s="40"/>
      <c r="S280" s="40"/>
      <c r="T280" s="40"/>
      <c r="U280" s="40"/>
    </row>
    <row r="281" spans="2:21" x14ac:dyDescent="0.3">
      <c r="B281" t="s">
        <v>376</v>
      </c>
      <c r="C281" s="67"/>
      <c r="D281" s="68">
        <f t="shared" si="63"/>
        <v>-0.658041194873909</v>
      </c>
      <c r="E281" s="68">
        <f t="shared" si="63"/>
        <v>3.4096430096870165</v>
      </c>
      <c r="F281" s="68">
        <f t="shared" si="63"/>
        <v>4.4984418333365479</v>
      </c>
      <c r="G281" s="68">
        <f t="shared" si="63"/>
        <v>-0.45572593295147767</v>
      </c>
      <c r="H281" s="68">
        <f t="shared" ref="H281:H282" si="64">H275/G275-1</f>
        <v>-0.21925449507853767</v>
      </c>
      <c r="I281" s="93">
        <v>4</v>
      </c>
      <c r="J281" s="93">
        <v>0.5</v>
      </c>
      <c r="K281" s="93">
        <v>0.1</v>
      </c>
      <c r="L281" s="93">
        <v>0.1</v>
      </c>
      <c r="M281" s="40"/>
      <c r="N281" s="40"/>
      <c r="O281" s="40"/>
      <c r="P281" s="40"/>
      <c r="Q281" s="40"/>
      <c r="R281" s="40"/>
      <c r="S281" s="40"/>
      <c r="T281" s="40"/>
      <c r="U281" s="40"/>
    </row>
    <row r="282" spans="2:21" x14ac:dyDescent="0.3">
      <c r="B282" t="s">
        <v>374</v>
      </c>
      <c r="C282" s="67"/>
      <c r="D282" s="68">
        <f t="shared" si="63"/>
        <v>1.4426345136539105</v>
      </c>
      <c r="E282" s="68">
        <f t="shared" si="63"/>
        <v>0.2787838820406161</v>
      </c>
      <c r="F282" s="68">
        <f t="shared" si="63"/>
        <v>0.34454979870577684</v>
      </c>
      <c r="G282" s="68">
        <f t="shared" si="63"/>
        <v>0.20803281392080053</v>
      </c>
      <c r="H282" s="68">
        <f t="shared" si="64"/>
        <v>0.26798265609266125</v>
      </c>
      <c r="I282" s="93">
        <v>3</v>
      </c>
      <c r="J282" s="93">
        <v>1</v>
      </c>
      <c r="K282" s="93">
        <v>0.1</v>
      </c>
      <c r="L282" s="93">
        <v>0.1</v>
      </c>
      <c r="M282" s="40"/>
      <c r="N282" s="40"/>
      <c r="O282" s="40"/>
      <c r="P282" s="40"/>
      <c r="Q282" s="40"/>
      <c r="R282" s="40"/>
      <c r="S282" s="40"/>
      <c r="T282" s="40"/>
      <c r="U282" s="40"/>
    </row>
    <row r="283" spans="2:21" x14ac:dyDescent="0.3">
      <c r="C283" s="67"/>
      <c r="D283" s="67"/>
      <c r="E283" s="54"/>
      <c r="F283" s="54"/>
      <c r="G283" s="54"/>
      <c r="H283" s="54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</row>
    <row r="284" spans="2:21" x14ac:dyDescent="0.3">
      <c r="C284" s="67"/>
      <c r="D284" s="67"/>
      <c r="E284" s="54"/>
      <c r="F284" s="54"/>
      <c r="G284" s="54"/>
      <c r="H284" s="54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</row>
    <row r="285" spans="2:21" x14ac:dyDescent="0.3">
      <c r="C285" s="67"/>
      <c r="D285" s="67"/>
      <c r="E285" s="54"/>
      <c r="F285" s="54"/>
      <c r="G285" s="54"/>
      <c r="H285" s="54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</row>
    <row r="286" spans="2:21" x14ac:dyDescent="0.3">
      <c r="C286" s="67"/>
      <c r="D286" s="67"/>
      <c r="E286" s="54"/>
      <c r="F286" s="54"/>
      <c r="G286" s="54"/>
      <c r="H286" s="54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</row>
    <row r="287" spans="2:21" s="76" customFormat="1" x14ac:dyDescent="0.3">
      <c r="C287" s="77"/>
      <c r="D287" s="77"/>
      <c r="E287" s="77"/>
      <c r="F287" s="77"/>
      <c r="G287" s="77"/>
      <c r="H287" s="77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 spans="2:21" x14ac:dyDescent="0.3">
      <c r="C288" s="67"/>
      <c r="D288" s="67"/>
      <c r="E288" s="54"/>
      <c r="F288" s="54"/>
      <c r="G288" s="54"/>
      <c r="H288" s="54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</row>
    <row r="289" spans="2:21" x14ac:dyDescent="0.3">
      <c r="B289" t="s">
        <v>39</v>
      </c>
      <c r="C289" s="31">
        <v>742444130</v>
      </c>
      <c r="D289" s="31">
        <v>867611976</v>
      </c>
      <c r="E289" s="27">
        <v>893919311</v>
      </c>
      <c r="F289" s="27">
        <v>909829172</v>
      </c>
      <c r="G289" s="27">
        <v>1029584075</v>
      </c>
      <c r="H289" s="27">
        <v>1155492527</v>
      </c>
      <c r="I289" s="57">
        <f>I320</f>
        <v>1214948666.4333899</v>
      </c>
      <c r="J289" s="57">
        <f>J320</f>
        <v>1426353031.7591887</v>
      </c>
      <c r="K289" s="57">
        <f>K320</f>
        <v>1651207904.1463344</v>
      </c>
      <c r="L289" s="57">
        <f>L320</f>
        <v>1908043239.6455996</v>
      </c>
      <c r="M289" s="40"/>
      <c r="N289" s="38">
        <v>1148276787</v>
      </c>
      <c r="O289" s="40"/>
      <c r="P289" s="40"/>
      <c r="Q289" s="40"/>
      <c r="R289" s="40"/>
      <c r="S289" s="40"/>
      <c r="T289" s="40"/>
      <c r="U289" s="40"/>
    </row>
    <row r="290" spans="2:21" s="33" customFormat="1" x14ac:dyDescent="0.3">
      <c r="B290" s="33" t="s">
        <v>179</v>
      </c>
      <c r="C290" s="54">
        <f t="shared" ref="C290:G290" si="65">SUM(C293:C301)-C315-C289</f>
        <v>0</v>
      </c>
      <c r="D290" s="54">
        <f t="shared" si="65"/>
        <v>0</v>
      </c>
      <c r="E290" s="54">
        <f t="shared" si="65"/>
        <v>0</v>
      </c>
      <c r="F290" s="54">
        <f t="shared" si="65"/>
        <v>0</v>
      </c>
      <c r="G290" s="54">
        <f t="shared" si="65"/>
        <v>0</v>
      </c>
      <c r="H290" s="54">
        <f>SUM(H293:H301)-H315-H289</f>
        <v>0</v>
      </c>
      <c r="I290" s="54">
        <f t="shared" ref="I290:L290" si="66">SUM(I293:I301)-I315-I289</f>
        <v>0</v>
      </c>
      <c r="J290" s="54">
        <f t="shared" si="66"/>
        <v>0</v>
      </c>
      <c r="K290" s="54">
        <f t="shared" si="66"/>
        <v>0</v>
      </c>
      <c r="L290" s="54">
        <f t="shared" si="66"/>
        <v>0</v>
      </c>
      <c r="M290" s="40"/>
      <c r="N290" s="40"/>
      <c r="O290" s="40"/>
      <c r="P290" s="40"/>
      <c r="Q290" s="40"/>
      <c r="R290" s="40"/>
      <c r="S290" s="40"/>
      <c r="T290" s="40"/>
      <c r="U290" s="40"/>
    </row>
    <row r="291" spans="2:21" x14ac:dyDescent="0.3">
      <c r="C291" s="67"/>
      <c r="D291" s="67"/>
      <c r="E291" s="54"/>
      <c r="F291" s="54"/>
      <c r="G291" s="54"/>
      <c r="H291" s="54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</row>
    <row r="292" spans="2:21" x14ac:dyDescent="0.3">
      <c r="B292" s="3" t="s">
        <v>142</v>
      </c>
      <c r="C292" s="67"/>
      <c r="D292" s="67"/>
      <c r="E292" s="54"/>
      <c r="F292" s="54"/>
      <c r="G292" s="54"/>
      <c r="H292" s="54"/>
      <c r="I292" s="40"/>
      <c r="J292" s="40"/>
      <c r="K292" s="40"/>
      <c r="L292" s="40"/>
      <c r="M292" s="40"/>
      <c r="N292" s="40"/>
      <c r="P292" s="40"/>
      <c r="Q292" s="88" t="s">
        <v>362</v>
      </c>
      <c r="R292" s="40"/>
      <c r="S292" s="40"/>
      <c r="T292" s="40"/>
      <c r="U292" s="40"/>
    </row>
    <row r="293" spans="2:21" x14ac:dyDescent="0.3">
      <c r="B293" t="s">
        <v>141</v>
      </c>
      <c r="C293" s="27">
        <v>118072316</v>
      </c>
      <c r="D293" s="27">
        <v>141993985</v>
      </c>
      <c r="E293" s="27">
        <v>137643817</v>
      </c>
      <c r="F293" s="27">
        <v>104436468</v>
      </c>
      <c r="G293" s="27">
        <v>115975321</v>
      </c>
      <c r="H293" s="27">
        <v>143318360</v>
      </c>
      <c r="I293" s="57">
        <f t="shared" ref="I293:L304" si="67">I$305*$Q293</f>
        <v>150484278</v>
      </c>
      <c r="J293" s="57">
        <f t="shared" si="67"/>
        <v>173056919.69999999</v>
      </c>
      <c r="K293" s="57">
        <f t="shared" si="67"/>
        <v>199015457.65499997</v>
      </c>
      <c r="L293" s="57">
        <f t="shared" si="67"/>
        <v>228867776.30324996</v>
      </c>
      <c r="M293" s="40"/>
      <c r="N293" s="57">
        <f>107483857+28849039</f>
        <v>136332896</v>
      </c>
      <c r="P293" s="70">
        <f>103067892+22830211</f>
        <v>125898103</v>
      </c>
      <c r="Q293" s="69">
        <f t="shared" ref="Q293:Q304" si="68">H293/$H$305</f>
        <v>0.11500704981943417</v>
      </c>
      <c r="R293" s="40"/>
      <c r="S293" s="40"/>
      <c r="T293" s="40"/>
      <c r="U293" s="40"/>
    </row>
    <row r="294" spans="2:21" x14ac:dyDescent="0.3">
      <c r="B294" t="s">
        <v>130</v>
      </c>
      <c r="C294" s="27">
        <v>58291188</v>
      </c>
      <c r="D294" s="27">
        <v>77680497</v>
      </c>
      <c r="E294" s="27">
        <v>72194299</v>
      </c>
      <c r="F294" s="27">
        <v>80580434</v>
      </c>
      <c r="G294" s="27">
        <v>93498752</v>
      </c>
      <c r="H294" s="27">
        <v>119167451</v>
      </c>
      <c r="I294" s="57">
        <f t="shared" si="67"/>
        <v>125125823.55000001</v>
      </c>
      <c r="J294" s="57">
        <f t="shared" si="67"/>
        <v>143894697.08250001</v>
      </c>
      <c r="K294" s="57">
        <f t="shared" si="67"/>
        <v>165478901.64487499</v>
      </c>
      <c r="L294" s="57">
        <f t="shared" si="67"/>
        <v>190300736.89160621</v>
      </c>
      <c r="M294" s="40"/>
      <c r="N294" s="57">
        <f>56884624+35744063</f>
        <v>92628687</v>
      </c>
      <c r="P294" s="70">
        <f>50945184+35163985</f>
        <v>86109169</v>
      </c>
      <c r="Q294" s="69">
        <f t="shared" si="68"/>
        <v>9.5626945312603226E-2</v>
      </c>
      <c r="R294" s="40"/>
      <c r="S294" s="40"/>
      <c r="T294" s="40"/>
      <c r="U294" s="40"/>
    </row>
    <row r="295" spans="2:21" x14ac:dyDescent="0.3">
      <c r="B295" t="s">
        <v>131</v>
      </c>
      <c r="C295" s="27">
        <v>40766415</v>
      </c>
      <c r="D295" s="27">
        <v>41233899</v>
      </c>
      <c r="E295" s="27">
        <v>36147829</v>
      </c>
      <c r="F295" s="27">
        <v>37237050</v>
      </c>
      <c r="G295" s="27">
        <v>38903168</v>
      </c>
      <c r="H295" s="27">
        <v>35722265</v>
      </c>
      <c r="I295" s="57">
        <f t="shared" si="67"/>
        <v>37508378.25</v>
      </c>
      <c r="J295" s="57">
        <f t="shared" si="67"/>
        <v>43134634.987499997</v>
      </c>
      <c r="K295" s="57">
        <f t="shared" si="67"/>
        <v>49604830.235624991</v>
      </c>
      <c r="L295" s="57">
        <f t="shared" si="67"/>
        <v>57045554.770968735</v>
      </c>
      <c r="M295" s="40"/>
      <c r="N295" s="57">
        <f>32434894+1637515</f>
        <v>34072409</v>
      </c>
      <c r="P295" s="70">
        <f>29613664+1667172</f>
        <v>31280836</v>
      </c>
      <c r="Q295" s="69">
        <f t="shared" si="68"/>
        <v>2.866563858613809E-2</v>
      </c>
      <c r="R295" s="40"/>
      <c r="S295" s="40"/>
      <c r="T295" s="40"/>
      <c r="U295" s="40"/>
    </row>
    <row r="296" spans="2:21" x14ac:dyDescent="0.3">
      <c r="B296" t="s">
        <v>132</v>
      </c>
      <c r="C296" s="27">
        <v>9639046</v>
      </c>
      <c r="D296" s="27">
        <v>12975517</v>
      </c>
      <c r="E296" s="27">
        <v>14975902</v>
      </c>
      <c r="F296" s="27">
        <v>14994861</v>
      </c>
      <c r="G296" s="27">
        <v>16397129</v>
      </c>
      <c r="H296" s="27">
        <v>17961272</v>
      </c>
      <c r="I296" s="57">
        <f t="shared" si="67"/>
        <v>18859335.599999998</v>
      </c>
      <c r="J296" s="57">
        <f t="shared" si="67"/>
        <v>21688235.939999998</v>
      </c>
      <c r="K296" s="57">
        <f t="shared" si="67"/>
        <v>24941471.330999993</v>
      </c>
      <c r="L296" s="57">
        <f t="shared" si="67"/>
        <v>28682692.030649994</v>
      </c>
      <c r="M296" s="40"/>
      <c r="N296" s="57">
        <f>17822411+485287</f>
        <v>18307698</v>
      </c>
      <c r="P296" s="70">
        <f>17630821+392727</f>
        <v>18023548</v>
      </c>
      <c r="Q296" s="69">
        <f t="shared" si="68"/>
        <v>1.4413177095554317E-2</v>
      </c>
      <c r="R296" s="40"/>
      <c r="S296" s="40"/>
      <c r="T296" s="40"/>
      <c r="U296" s="40"/>
    </row>
    <row r="297" spans="2:21" x14ac:dyDescent="0.3">
      <c r="B297" t="s">
        <v>133</v>
      </c>
      <c r="C297" s="27">
        <v>1339259</v>
      </c>
      <c r="D297" s="27">
        <v>1577472</v>
      </c>
      <c r="E297" s="27">
        <v>2973662</v>
      </c>
      <c r="F297" s="27">
        <v>4615697</v>
      </c>
      <c r="G297" s="27">
        <v>7649037</v>
      </c>
      <c r="H297" s="27">
        <v>16389557</v>
      </c>
      <c r="I297" s="57">
        <f t="shared" si="67"/>
        <v>17209034.849999998</v>
      </c>
      <c r="J297" s="57">
        <f t="shared" si="67"/>
        <v>19790390.077499997</v>
      </c>
      <c r="K297" s="57">
        <f t="shared" si="67"/>
        <v>22758948.589124996</v>
      </c>
      <c r="L297" s="57">
        <f t="shared" si="67"/>
        <v>26172790.877493743</v>
      </c>
      <c r="M297" s="40"/>
      <c r="N297" s="57">
        <f>30784432</f>
        <v>30784432</v>
      </c>
      <c r="P297" s="70">
        <f>25687874</f>
        <v>25687874</v>
      </c>
      <c r="Q297" s="69">
        <f t="shared" si="68"/>
        <v>1.3151940884737002E-2</v>
      </c>
      <c r="R297" s="40"/>
      <c r="S297" s="40"/>
      <c r="T297" s="40"/>
      <c r="U297" s="40"/>
    </row>
    <row r="298" spans="2:21" x14ac:dyDescent="0.3">
      <c r="B298" t="s">
        <v>134</v>
      </c>
      <c r="C298" s="27">
        <v>7980429</v>
      </c>
      <c r="D298" s="27">
        <v>9311033</v>
      </c>
      <c r="E298" s="27">
        <v>10624199</v>
      </c>
      <c r="F298" s="27">
        <v>11941045</v>
      </c>
      <c r="G298" s="27">
        <v>13097185</v>
      </c>
      <c r="H298" s="27">
        <v>13651705</v>
      </c>
      <c r="I298" s="57">
        <f t="shared" si="67"/>
        <v>14334290.25</v>
      </c>
      <c r="J298" s="57">
        <f t="shared" si="67"/>
        <v>16484433.787499998</v>
      </c>
      <c r="K298" s="57">
        <f t="shared" si="67"/>
        <v>18957098.855624996</v>
      </c>
      <c r="L298" s="57">
        <f t="shared" si="67"/>
        <v>21800663.683968745</v>
      </c>
      <c r="M298" s="40"/>
      <c r="N298" s="57">
        <f>12677170+480628</f>
        <v>13157798</v>
      </c>
      <c r="P298" s="70">
        <f>12824678+481345</f>
        <v>13306023</v>
      </c>
      <c r="Q298" s="69">
        <f t="shared" si="68"/>
        <v>1.0954928015190926E-2</v>
      </c>
      <c r="R298" s="40"/>
      <c r="S298" s="40"/>
      <c r="T298" s="40"/>
      <c r="U298" s="40"/>
    </row>
    <row r="299" spans="2:21" x14ac:dyDescent="0.3">
      <c r="B299" t="s">
        <v>135</v>
      </c>
      <c r="C299" s="27">
        <v>53628645</v>
      </c>
      <c r="D299" s="27">
        <v>62534866</v>
      </c>
      <c r="E299" s="27">
        <v>63569094</v>
      </c>
      <c r="F299" s="27">
        <v>67147827</v>
      </c>
      <c r="G299" s="27">
        <v>74664952</v>
      </c>
      <c r="H299" s="27">
        <v>76697598</v>
      </c>
      <c r="I299" s="57">
        <f t="shared" si="67"/>
        <v>80532477.899999991</v>
      </c>
      <c r="J299" s="57">
        <f t="shared" si="67"/>
        <v>92612349.584999993</v>
      </c>
      <c r="K299" s="57">
        <f t="shared" si="67"/>
        <v>106504202.02274998</v>
      </c>
      <c r="L299" s="57">
        <f t="shared" si="67"/>
        <v>122479832.32616247</v>
      </c>
      <c r="M299" s="40"/>
      <c r="N299" s="57">
        <f>64505651+5327900</f>
        <v>69833551</v>
      </c>
      <c r="P299" s="70">
        <f>64812001+5403992</f>
        <v>70215993</v>
      </c>
      <c r="Q299" s="69">
        <f t="shared" si="68"/>
        <v>6.1546646739586854E-2</v>
      </c>
      <c r="R299" s="40"/>
      <c r="S299" s="40"/>
      <c r="T299" s="40"/>
      <c r="U299" s="40"/>
    </row>
    <row r="300" spans="2:21" x14ac:dyDescent="0.3">
      <c r="B300" t="s">
        <v>136</v>
      </c>
      <c r="C300" s="27">
        <v>28401829</v>
      </c>
      <c r="D300" s="27">
        <v>36968592</v>
      </c>
      <c r="E300" s="27">
        <v>39742048</v>
      </c>
      <c r="F300" s="27">
        <v>51145421</v>
      </c>
      <c r="G300" s="27">
        <v>51358069</v>
      </c>
      <c r="H300" s="27">
        <v>44163456</v>
      </c>
      <c r="I300" s="57">
        <f t="shared" si="67"/>
        <v>46371628.800000004</v>
      </c>
      <c r="J300" s="57">
        <f t="shared" si="67"/>
        <v>53327373.119999997</v>
      </c>
      <c r="K300" s="57">
        <f t="shared" si="67"/>
        <v>61326479.087999992</v>
      </c>
      <c r="L300" s="57">
        <f t="shared" si="67"/>
        <v>70525450.951199993</v>
      </c>
      <c r="M300" s="40"/>
      <c r="N300" s="57">
        <f>36044869+1333460</f>
        <v>37378329</v>
      </c>
      <c r="P300" s="70">
        <f>37349905+1103035</f>
        <v>38452940</v>
      </c>
      <c r="Q300" s="69">
        <f t="shared" si="68"/>
        <v>3.5439344857074763E-2</v>
      </c>
      <c r="R300" s="40"/>
      <c r="S300" s="40"/>
      <c r="T300" s="40"/>
      <c r="U300" s="40"/>
    </row>
    <row r="301" spans="2:21" x14ac:dyDescent="0.3">
      <c r="B301" t="s">
        <v>137</v>
      </c>
      <c r="C301" s="47">
        <f t="shared" ref="C301:F301" si="69">SUM(C302:C304)</f>
        <v>442334810</v>
      </c>
      <c r="D301" s="47">
        <f t="shared" si="69"/>
        <v>513679935</v>
      </c>
      <c r="E301" s="47">
        <f t="shared" si="69"/>
        <v>552866541</v>
      </c>
      <c r="F301" s="47">
        <f t="shared" si="69"/>
        <v>589760315</v>
      </c>
      <c r="G301" s="47">
        <f>SUM(G302:G304)</f>
        <v>683387269</v>
      </c>
      <c r="H301" s="47">
        <f>SUM(H302:H304)</f>
        <v>779098551</v>
      </c>
      <c r="I301" s="47">
        <f t="shared" si="67"/>
        <v>818053478.54999995</v>
      </c>
      <c r="J301" s="47">
        <f t="shared" si="67"/>
        <v>940761500.33249986</v>
      </c>
      <c r="K301" s="47">
        <f t="shared" si="67"/>
        <v>1081875725.3823748</v>
      </c>
      <c r="L301" s="47">
        <f t="shared" si="67"/>
        <v>1244157084.1897309</v>
      </c>
      <c r="M301" s="40"/>
      <c r="N301" s="57">
        <f>495030175+267000382</f>
        <v>762030557</v>
      </c>
      <c r="P301" s="54">
        <f>476492053+252646689</f>
        <v>729138742</v>
      </c>
      <c r="Q301" s="89">
        <f t="shared" si="68"/>
        <v>0.62519432868968061</v>
      </c>
      <c r="R301" s="40"/>
      <c r="S301" s="40"/>
      <c r="T301" s="40"/>
      <c r="U301" s="40"/>
    </row>
    <row r="302" spans="2:21" x14ac:dyDescent="0.3">
      <c r="B302" s="24" t="s">
        <v>138</v>
      </c>
      <c r="C302" s="27">
        <v>88668616</v>
      </c>
      <c r="D302" s="27">
        <v>136652308</v>
      </c>
      <c r="E302" s="27">
        <v>150536419</v>
      </c>
      <c r="F302" s="27">
        <v>135165669</v>
      </c>
      <c r="G302" s="27">
        <v>180443934</v>
      </c>
      <c r="H302" s="27">
        <v>234491161</v>
      </c>
      <c r="I302" s="57">
        <f t="shared" si="67"/>
        <v>246215719.05000001</v>
      </c>
      <c r="J302" s="57">
        <f t="shared" si="67"/>
        <v>283148076.90749997</v>
      </c>
      <c r="K302" s="57">
        <f t="shared" si="67"/>
        <v>325620288.44362491</v>
      </c>
      <c r="L302" s="57">
        <f t="shared" si="67"/>
        <v>374463331.71016866</v>
      </c>
      <c r="M302" s="40"/>
      <c r="N302" s="57"/>
      <c r="P302" s="40"/>
      <c r="Q302" s="69">
        <f t="shared" si="68"/>
        <v>0.18816944762236995</v>
      </c>
      <c r="R302" s="40"/>
      <c r="S302" s="40"/>
      <c r="T302" s="40"/>
      <c r="U302" s="40"/>
    </row>
    <row r="303" spans="2:21" x14ac:dyDescent="0.3">
      <c r="B303" s="24" t="s">
        <v>139</v>
      </c>
      <c r="C303" s="27">
        <v>336559097</v>
      </c>
      <c r="D303" s="27">
        <v>352283284</v>
      </c>
      <c r="E303" s="27">
        <v>370852399</v>
      </c>
      <c r="F303" s="27">
        <v>418650469</v>
      </c>
      <c r="G303" s="27">
        <v>455982125</v>
      </c>
      <c r="H303" s="27">
        <v>512885849</v>
      </c>
      <c r="I303" s="57">
        <f t="shared" si="67"/>
        <v>538530141.45000005</v>
      </c>
      <c r="J303" s="57">
        <f t="shared" si="67"/>
        <v>619309662.66750002</v>
      </c>
      <c r="K303" s="57">
        <f t="shared" si="67"/>
        <v>712206112.06762493</v>
      </c>
      <c r="L303" s="57">
        <f t="shared" si="67"/>
        <v>819037028.87776864</v>
      </c>
      <c r="M303" s="40"/>
      <c r="N303" s="57"/>
      <c r="P303" s="40"/>
      <c r="Q303" s="69">
        <f t="shared" si="68"/>
        <v>0.41156965784164568</v>
      </c>
      <c r="R303" s="40"/>
      <c r="S303" s="40"/>
      <c r="T303" s="40"/>
      <c r="U303" s="40"/>
    </row>
    <row r="304" spans="2:21" x14ac:dyDescent="0.3">
      <c r="B304" s="24" t="s">
        <v>140</v>
      </c>
      <c r="C304" s="27">
        <v>17107097</v>
      </c>
      <c r="D304" s="27">
        <v>24744343</v>
      </c>
      <c r="E304" s="27">
        <v>31477723</v>
      </c>
      <c r="F304" s="27">
        <v>35944177</v>
      </c>
      <c r="G304" s="27">
        <v>46961210</v>
      </c>
      <c r="H304" s="27">
        <v>31721541</v>
      </c>
      <c r="I304" s="57">
        <f t="shared" si="67"/>
        <v>33307618.049999997</v>
      </c>
      <c r="J304" s="57">
        <f t="shared" si="67"/>
        <v>38303760.757499993</v>
      </c>
      <c r="K304" s="57">
        <f t="shared" si="67"/>
        <v>44049324.87112499</v>
      </c>
      <c r="L304" s="57">
        <f t="shared" si="67"/>
        <v>50656723.601793736</v>
      </c>
      <c r="M304" s="40"/>
      <c r="N304" s="57">
        <f>348028+44061006</f>
        <v>44409034</v>
      </c>
      <c r="P304" s="70">
        <f>334853+49082865</f>
        <v>49417718</v>
      </c>
      <c r="Q304" s="69">
        <f t="shared" si="68"/>
        <v>2.5455223225665041E-2</v>
      </c>
      <c r="R304" s="40"/>
      <c r="S304" s="40"/>
      <c r="T304" s="40"/>
      <c r="U304" s="40"/>
    </row>
    <row r="305" spans="2:21" x14ac:dyDescent="0.3">
      <c r="C305" s="47">
        <f t="shared" ref="C305:G305" si="70">SUM(C293:C301)</f>
        <v>760453937</v>
      </c>
      <c r="D305" s="47">
        <f t="shared" si="70"/>
        <v>897955796</v>
      </c>
      <c r="E305" s="47">
        <f t="shared" si="70"/>
        <v>930737391</v>
      </c>
      <c r="F305" s="47">
        <f t="shared" si="70"/>
        <v>961859118</v>
      </c>
      <c r="G305" s="47">
        <f t="shared" si="70"/>
        <v>1094930882</v>
      </c>
      <c r="H305" s="47">
        <f>SUM(H293:H301)</f>
        <v>1246170215</v>
      </c>
      <c r="I305" s="47">
        <f>H305*(1+I307)</f>
        <v>1308478725.75</v>
      </c>
      <c r="J305" s="47">
        <f>I305*(1+J307)</f>
        <v>1504750534.6125</v>
      </c>
      <c r="K305" s="47">
        <f>J305*(1+K307)</f>
        <v>1730463114.8043747</v>
      </c>
      <c r="L305" s="47">
        <f>K305*(1+L307)</f>
        <v>1990032582.0250309</v>
      </c>
      <c r="M305" s="40"/>
      <c r="N305" s="57">
        <f>SUM(N293:N304)</f>
        <v>1238935391</v>
      </c>
      <c r="P305" s="70">
        <f>SUM(P293:P304)</f>
        <v>1187530946</v>
      </c>
      <c r="Q305" s="40"/>
      <c r="R305" s="40"/>
      <c r="S305" s="40"/>
      <c r="T305" s="40"/>
      <c r="U305" s="40"/>
    </row>
    <row r="306" spans="2:21" x14ac:dyDescent="0.3"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40"/>
      <c r="N306" s="40"/>
      <c r="O306" s="40"/>
      <c r="P306" s="40"/>
      <c r="Q306" s="40"/>
      <c r="R306" s="40"/>
      <c r="S306" s="40"/>
      <c r="T306" s="40"/>
      <c r="U306" s="40"/>
    </row>
    <row r="307" spans="2:21" x14ac:dyDescent="0.3">
      <c r="B307" s="37" t="s">
        <v>184</v>
      </c>
      <c r="C307" s="68"/>
      <c r="D307" s="68">
        <f>D305/C305-1</f>
        <v>0.18081550020300563</v>
      </c>
      <c r="E307" s="68">
        <f>E305/D305-1</f>
        <v>3.6506913977311095E-2</v>
      </c>
      <c r="F307" s="68">
        <f>F305/E305-1</f>
        <v>3.3437710036084756E-2</v>
      </c>
      <c r="G307" s="68">
        <f>G305/F305-1</f>
        <v>0.13834849772667024</v>
      </c>
      <c r="H307" s="68">
        <f>H305/G305-1</f>
        <v>0.13812683109617518</v>
      </c>
      <c r="I307" s="73">
        <v>0.05</v>
      </c>
      <c r="J307" s="73">
        <v>0.15</v>
      </c>
      <c r="K307" s="73">
        <v>0.15</v>
      </c>
      <c r="L307" s="73">
        <v>0.15</v>
      </c>
      <c r="M307" s="40"/>
      <c r="N307" s="40"/>
      <c r="O307" s="40"/>
      <c r="P307" s="40"/>
      <c r="Q307" s="40"/>
      <c r="R307" s="40"/>
      <c r="S307" s="40"/>
      <c r="T307" s="40"/>
      <c r="U307" s="40"/>
    </row>
    <row r="308" spans="2:21" x14ac:dyDescent="0.3">
      <c r="C308" s="54"/>
      <c r="D308" s="54"/>
      <c r="E308" s="54"/>
      <c r="F308" s="54"/>
      <c r="G308" s="54"/>
      <c r="H308" s="54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</row>
    <row r="309" spans="2:21" x14ac:dyDescent="0.3">
      <c r="B309" t="s">
        <v>179</v>
      </c>
      <c r="C309" s="34">
        <f t="shared" ref="C309:G309" si="71">SUM(C293:C301)-C305+SUM(C302:C304)-C301</f>
        <v>0</v>
      </c>
      <c r="D309" s="34">
        <f t="shared" si="71"/>
        <v>0</v>
      </c>
      <c r="E309" s="34">
        <f t="shared" si="71"/>
        <v>0</v>
      </c>
      <c r="F309" s="34">
        <f t="shared" si="71"/>
        <v>0</v>
      </c>
      <c r="G309" s="34">
        <f t="shared" si="71"/>
        <v>0</v>
      </c>
      <c r="H309" s="34">
        <f>SUM(H293:H301)-H305+SUM(H302:H304)-H301</f>
        <v>0</v>
      </c>
      <c r="I309" s="34">
        <f t="shared" ref="I309:L309" si="72">SUM(I293:I301)-I305+SUM(I302:I304)-I301</f>
        <v>0</v>
      </c>
      <c r="J309" s="34">
        <f t="shared" si="72"/>
        <v>0</v>
      </c>
      <c r="K309" s="34">
        <f t="shared" si="72"/>
        <v>0</v>
      </c>
      <c r="L309" s="34">
        <f t="shared" si="72"/>
        <v>0</v>
      </c>
      <c r="M309" s="40"/>
      <c r="N309" s="40"/>
      <c r="O309" s="40"/>
      <c r="P309" s="40"/>
      <c r="Q309" s="40"/>
      <c r="R309" s="40"/>
      <c r="S309" s="40"/>
      <c r="T309" s="40"/>
      <c r="U309" s="40"/>
    </row>
    <row r="310" spans="2:21" x14ac:dyDescent="0.3">
      <c r="C310" s="54"/>
      <c r="D310" s="54"/>
      <c r="E310" s="54"/>
      <c r="F310" s="54"/>
      <c r="G310" s="54"/>
      <c r="H310" s="54"/>
      <c r="I310" s="40"/>
      <c r="J310" s="40"/>
      <c r="K310" s="40"/>
      <c r="L310" s="40"/>
      <c r="M310" s="40"/>
      <c r="N310" s="40"/>
      <c r="O310" s="57"/>
      <c r="P310" s="88"/>
      <c r="Q310" s="40"/>
      <c r="R310" s="40"/>
      <c r="S310" s="40"/>
      <c r="T310" s="40"/>
      <c r="U310" s="40"/>
    </row>
    <row r="311" spans="2:21" x14ac:dyDescent="0.3">
      <c r="B311" t="s">
        <v>143</v>
      </c>
      <c r="C311" s="36">
        <v>760453937</v>
      </c>
      <c r="D311" s="47">
        <f>SUM(D312:D314)</f>
        <v>897955796</v>
      </c>
      <c r="E311" s="47">
        <f t="shared" ref="E311:G311" si="73">SUM(E312:E314)</f>
        <v>930737391</v>
      </c>
      <c r="F311" s="47">
        <f t="shared" si="73"/>
        <v>961859118</v>
      </c>
      <c r="G311" s="47">
        <f t="shared" si="73"/>
        <v>1094930882</v>
      </c>
      <c r="H311" s="47">
        <f>SUM(H312:H314)</f>
        <v>1246170215</v>
      </c>
      <c r="I311" s="47">
        <f t="shared" ref="I311:L311" si="74">SUM(I312:I314)</f>
        <v>1308478725.75</v>
      </c>
      <c r="J311" s="47">
        <f t="shared" si="74"/>
        <v>1504750534.6125</v>
      </c>
      <c r="K311" s="47">
        <f t="shared" si="74"/>
        <v>1730463114.8043747</v>
      </c>
      <c r="L311" s="47">
        <f t="shared" si="74"/>
        <v>1990032582.0250309</v>
      </c>
      <c r="M311" s="40"/>
      <c r="N311" s="57">
        <f>SUM(N293:N304)</f>
        <v>1238935391</v>
      </c>
      <c r="P311" s="70">
        <f>P305</f>
        <v>1187530946</v>
      </c>
      <c r="Q311" s="40"/>
      <c r="R311" s="40"/>
      <c r="S311" s="40"/>
      <c r="T311" s="40"/>
      <c r="U311" s="40"/>
    </row>
    <row r="312" spans="2:21" x14ac:dyDescent="0.3">
      <c r="B312" s="24" t="s">
        <v>144</v>
      </c>
      <c r="C312" s="54"/>
      <c r="D312" s="27">
        <v>750597718</v>
      </c>
      <c r="E312" s="27">
        <v>726626174</v>
      </c>
      <c r="F312" s="27">
        <v>750494287</v>
      </c>
      <c r="G312" s="27">
        <v>857740593</v>
      </c>
      <c r="H312" s="27">
        <v>951723344</v>
      </c>
      <c r="I312" s="57">
        <f>I$305*I323</f>
        <v>1020613406.085</v>
      </c>
      <c r="J312" s="57">
        <f t="shared" ref="J312:L312" si="75">J$305*J323</f>
        <v>1233895438.3822501</v>
      </c>
      <c r="K312" s="57">
        <f t="shared" si="75"/>
        <v>1418979754.1395874</v>
      </c>
      <c r="L312" s="57">
        <f t="shared" si="75"/>
        <v>1671627368.901026</v>
      </c>
      <c r="M312" s="40"/>
      <c r="N312" s="40"/>
      <c r="P312" s="40"/>
      <c r="Q312" s="40"/>
      <c r="R312" s="40"/>
      <c r="S312" s="40"/>
      <c r="T312" s="40"/>
      <c r="U312" s="40"/>
    </row>
    <row r="313" spans="2:21" x14ac:dyDescent="0.3">
      <c r="B313" s="24" t="s">
        <v>145</v>
      </c>
      <c r="C313" s="54"/>
      <c r="D313" s="27">
        <v>92317199</v>
      </c>
      <c r="E313" s="27">
        <v>105913673</v>
      </c>
      <c r="F313" s="27">
        <v>106934723</v>
      </c>
      <c r="G313" s="27">
        <v>156082998</v>
      </c>
      <c r="H313" s="27">
        <v>176900079</v>
      </c>
      <c r="I313" s="57">
        <f t="shared" ref="I313:L314" si="76">I$305*I324</f>
        <v>170102234.3475</v>
      </c>
      <c r="J313" s="57">
        <f t="shared" si="76"/>
        <v>165522558.80737498</v>
      </c>
      <c r="K313" s="57">
        <f t="shared" si="76"/>
        <v>190350942.62848121</v>
      </c>
      <c r="L313" s="57">
        <f t="shared" si="76"/>
        <v>199003258.20250309</v>
      </c>
      <c r="M313" s="40"/>
      <c r="N313" s="40"/>
      <c r="P313" s="40"/>
      <c r="Q313" s="40"/>
      <c r="R313" s="40"/>
      <c r="S313" s="40"/>
      <c r="T313" s="40"/>
      <c r="U313" s="40"/>
    </row>
    <row r="314" spans="2:21" x14ac:dyDescent="0.3">
      <c r="B314" s="24" t="s">
        <v>146</v>
      </c>
      <c r="C314" s="54"/>
      <c r="D314" s="27">
        <v>55040879</v>
      </c>
      <c r="E314" s="27">
        <v>98197544</v>
      </c>
      <c r="F314" s="27">
        <v>104430108</v>
      </c>
      <c r="G314" s="27">
        <v>81107291</v>
      </c>
      <c r="H314" s="27">
        <v>117546792</v>
      </c>
      <c r="I314" s="57">
        <f t="shared" si="76"/>
        <v>117763085.3175</v>
      </c>
      <c r="J314" s="57">
        <f t="shared" si="76"/>
        <v>105332537.422875</v>
      </c>
      <c r="K314" s="57">
        <f t="shared" si="76"/>
        <v>121132418.03630625</v>
      </c>
      <c r="L314" s="57">
        <f t="shared" si="76"/>
        <v>119401954.92150185</v>
      </c>
      <c r="M314" s="40"/>
      <c r="N314" s="40"/>
      <c r="P314" s="40"/>
      <c r="Q314" s="40"/>
      <c r="R314" s="40"/>
      <c r="S314" s="40"/>
      <c r="T314" s="40"/>
      <c r="U314" s="40"/>
    </row>
    <row r="315" spans="2:21" x14ac:dyDescent="0.3">
      <c r="B315" t="s">
        <v>147</v>
      </c>
      <c r="C315" s="36">
        <v>18009807</v>
      </c>
      <c r="D315" s="47">
        <f t="shared" ref="D315:G315" si="77">SUM(D316:D318)</f>
        <v>30343820</v>
      </c>
      <c r="E315" s="47">
        <f t="shared" si="77"/>
        <v>36818080</v>
      </c>
      <c r="F315" s="47">
        <f t="shared" si="77"/>
        <v>52029946</v>
      </c>
      <c r="G315" s="47">
        <f t="shared" si="77"/>
        <v>65346807</v>
      </c>
      <c r="H315" s="47">
        <f>SUM(H316:H318)</f>
        <v>90677688</v>
      </c>
      <c r="I315" s="47">
        <f t="shared" ref="I315:N315" si="78">SUM(I316:I318)</f>
        <v>93530059.316610008</v>
      </c>
      <c r="J315" s="47">
        <f t="shared" si="78"/>
        <v>78397502.853311241</v>
      </c>
      <c r="K315" s="47">
        <f t="shared" si="78"/>
        <v>79255210.658040375</v>
      </c>
      <c r="L315" s="47">
        <f t="shared" si="78"/>
        <v>81989342.379431278</v>
      </c>
      <c r="M315" s="40"/>
      <c r="N315" s="47">
        <f t="shared" si="78"/>
        <v>90658604</v>
      </c>
      <c r="P315" s="47">
        <f>SUM(P316:P318)</f>
        <v>90704172</v>
      </c>
      <c r="Q315" s="40"/>
      <c r="R315" s="40"/>
      <c r="S315" s="40"/>
      <c r="T315" s="40"/>
      <c r="U315" s="40"/>
    </row>
    <row r="316" spans="2:21" x14ac:dyDescent="0.3">
      <c r="B316" s="24" t="s">
        <v>144</v>
      </c>
      <c r="C316" s="54"/>
      <c r="D316" s="27">
        <v>2814943</v>
      </c>
      <c r="E316" s="27">
        <v>2702070</v>
      </c>
      <c r="F316" s="27">
        <v>6567755</v>
      </c>
      <c r="G316" s="27">
        <v>10181101</v>
      </c>
      <c r="H316" s="27">
        <v>14799919</v>
      </c>
      <c r="I316" s="57">
        <f>I312*I328</f>
        <v>16329814.49736</v>
      </c>
      <c r="J316" s="57">
        <f t="shared" ref="J316:L316" si="79">J312*J328</f>
        <v>18508431.575733751</v>
      </c>
      <c r="K316" s="57">
        <f t="shared" si="79"/>
        <v>14189797.541395875</v>
      </c>
      <c r="L316" s="57">
        <f t="shared" si="79"/>
        <v>16716273.689010261</v>
      </c>
      <c r="M316" s="40"/>
      <c r="N316" s="38">
        <v>11132938</v>
      </c>
      <c r="P316" s="75">
        <v>8460758</v>
      </c>
      <c r="Q316" s="40"/>
      <c r="R316" s="40"/>
      <c r="S316" s="40"/>
      <c r="T316" s="40"/>
      <c r="U316" s="40"/>
    </row>
    <row r="317" spans="2:21" x14ac:dyDescent="0.3">
      <c r="B317" s="24" t="s">
        <v>145</v>
      </c>
      <c r="C317" s="54"/>
      <c r="D317" s="27">
        <v>5984306</v>
      </c>
      <c r="E317" s="27">
        <v>8494001</v>
      </c>
      <c r="F317" s="27">
        <v>12396301</v>
      </c>
      <c r="G317" s="27">
        <v>19165658</v>
      </c>
      <c r="H317" s="27">
        <v>28559919</v>
      </c>
      <c r="I317" s="57">
        <f t="shared" ref="I317:L318" si="80">I313*I329</f>
        <v>28917379.839075003</v>
      </c>
      <c r="J317" s="57">
        <f t="shared" si="80"/>
        <v>19862707.056884997</v>
      </c>
      <c r="K317" s="57">
        <f t="shared" si="80"/>
        <v>19035094.26284812</v>
      </c>
      <c r="L317" s="57">
        <f t="shared" si="80"/>
        <v>19900325.82025031</v>
      </c>
      <c r="M317" s="40"/>
      <c r="N317" s="38">
        <v>24036094</v>
      </c>
      <c r="P317" s="75">
        <v>27174375</v>
      </c>
      <c r="Q317" s="40"/>
      <c r="R317" s="40"/>
      <c r="S317" s="40"/>
      <c r="T317" s="40"/>
      <c r="U317" s="40"/>
    </row>
    <row r="318" spans="2:21" x14ac:dyDescent="0.3">
      <c r="B318" s="24" t="s">
        <v>148</v>
      </c>
      <c r="C318" s="54"/>
      <c r="D318" s="27">
        <v>21544571</v>
      </c>
      <c r="E318" s="27">
        <v>25622009</v>
      </c>
      <c r="F318" s="27">
        <v>33065890</v>
      </c>
      <c r="G318" s="27">
        <v>36000048</v>
      </c>
      <c r="H318" s="27">
        <v>47317850</v>
      </c>
      <c r="I318" s="57">
        <f t="shared" si="80"/>
        <v>48282864.980174996</v>
      </c>
      <c r="J318" s="57">
        <f t="shared" si="80"/>
        <v>40026364.2206925</v>
      </c>
      <c r="K318" s="57">
        <f t="shared" si="80"/>
        <v>46030318.853796378</v>
      </c>
      <c r="L318" s="57">
        <f t="shared" si="80"/>
        <v>45372742.870170705</v>
      </c>
      <c r="M318" s="40"/>
      <c r="N318" s="38">
        <v>55489572</v>
      </c>
      <c r="P318" s="75">
        <v>55069039</v>
      </c>
      <c r="Q318" s="40"/>
      <c r="R318" s="40"/>
      <c r="S318" s="40"/>
      <c r="T318" s="40"/>
      <c r="U318" s="40"/>
    </row>
    <row r="319" spans="2:21" x14ac:dyDescent="0.3">
      <c r="C319" s="54"/>
      <c r="D319" s="54"/>
      <c r="E319" s="54"/>
      <c r="F319" s="54"/>
      <c r="G319" s="54"/>
      <c r="H319" s="54"/>
      <c r="I319" s="40"/>
      <c r="J319" s="40"/>
      <c r="K319" s="40"/>
      <c r="L319" s="40"/>
      <c r="M319" s="40"/>
      <c r="N319" s="40"/>
      <c r="P319" s="40"/>
      <c r="Q319" s="40"/>
      <c r="R319" s="40"/>
      <c r="S319" s="40"/>
      <c r="T319" s="40"/>
      <c r="U319" s="40"/>
    </row>
    <row r="320" spans="2:21" x14ac:dyDescent="0.3">
      <c r="B320" s="37" t="s">
        <v>149</v>
      </c>
      <c r="C320" s="47">
        <f t="shared" ref="C320:G320" si="81">C311-C315</f>
        <v>742444130</v>
      </c>
      <c r="D320" s="47">
        <f t="shared" si="81"/>
        <v>867611976</v>
      </c>
      <c r="E320" s="47">
        <f t="shared" si="81"/>
        <v>893919311</v>
      </c>
      <c r="F320" s="47">
        <f t="shared" si="81"/>
        <v>909829172</v>
      </c>
      <c r="G320" s="47">
        <f t="shared" si="81"/>
        <v>1029584075</v>
      </c>
      <c r="H320" s="47">
        <f>H311-H315</f>
        <v>1155492527</v>
      </c>
      <c r="I320" s="47">
        <f t="shared" ref="I320:N320" si="82">I311-I315</f>
        <v>1214948666.4333899</v>
      </c>
      <c r="J320" s="47">
        <f t="shared" si="82"/>
        <v>1426353031.7591887</v>
      </c>
      <c r="K320" s="47">
        <f t="shared" si="82"/>
        <v>1651207904.1463344</v>
      </c>
      <c r="L320" s="47">
        <f t="shared" si="82"/>
        <v>1908043239.6455996</v>
      </c>
      <c r="M320" s="40"/>
      <c r="N320" s="47">
        <f t="shared" si="82"/>
        <v>1148276787</v>
      </c>
      <c r="P320" s="47">
        <f>P311-P315</f>
        <v>1096826774</v>
      </c>
      <c r="Q320" s="40"/>
      <c r="R320" s="40"/>
      <c r="S320" s="40"/>
      <c r="T320" s="40"/>
      <c r="U320" s="40"/>
    </row>
    <row r="321" spans="2:21" x14ac:dyDescent="0.3">
      <c r="C321" s="54"/>
      <c r="D321" s="54"/>
      <c r="E321" s="54"/>
      <c r="F321" s="54"/>
      <c r="G321" s="54"/>
      <c r="H321" s="54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</row>
    <row r="322" spans="2:21" x14ac:dyDescent="0.3">
      <c r="B322" s="37" t="s">
        <v>363</v>
      </c>
      <c r="C322" s="54"/>
      <c r="D322" s="54"/>
      <c r="E322" s="54"/>
      <c r="F322" s="54"/>
      <c r="G322" s="54"/>
      <c r="H322" s="54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</row>
    <row r="323" spans="2:21" x14ac:dyDescent="0.3">
      <c r="B323" s="24" t="s">
        <v>144</v>
      </c>
      <c r="C323" s="54"/>
      <c r="D323" s="68">
        <f t="shared" ref="D323:G325" si="83">D312/D$311</f>
        <v>0.83589606675917039</v>
      </c>
      <c r="E323" s="68">
        <f t="shared" si="83"/>
        <v>0.78069945510548422</v>
      </c>
      <c r="F323" s="68">
        <f t="shared" si="83"/>
        <v>0.78025385730137664</v>
      </c>
      <c r="G323" s="68">
        <f t="shared" si="83"/>
        <v>0.78337419018929455</v>
      </c>
      <c r="H323" s="68">
        <f>H312/H$311</f>
        <v>0.76371857756205475</v>
      </c>
      <c r="I323" s="94">
        <f>1-I324-I325</f>
        <v>0.78</v>
      </c>
      <c r="J323" s="94">
        <f t="shared" ref="J323" si="84">1-J324-J325</f>
        <v>0.82000000000000006</v>
      </c>
      <c r="K323" s="94">
        <f t="shared" ref="K323" si="85">1-K324-K325</f>
        <v>0.82000000000000006</v>
      </c>
      <c r="L323" s="94">
        <f t="shared" ref="L323" si="86">1-L324-L325</f>
        <v>0.84000000000000008</v>
      </c>
      <c r="M323" s="40"/>
      <c r="N323" s="40"/>
      <c r="O323" s="40"/>
      <c r="P323" s="40"/>
      <c r="Q323" s="40"/>
      <c r="R323" s="40"/>
      <c r="S323" s="40"/>
      <c r="T323" s="40"/>
      <c r="U323" s="40"/>
    </row>
    <row r="324" spans="2:21" x14ac:dyDescent="0.3">
      <c r="B324" s="24" t="s">
        <v>145</v>
      </c>
      <c r="C324" s="54"/>
      <c r="D324" s="68">
        <f t="shared" si="83"/>
        <v>0.10280817765332403</v>
      </c>
      <c r="E324" s="68">
        <f t="shared" si="83"/>
        <v>0.11379544222050063</v>
      </c>
      <c r="F324" s="68">
        <f t="shared" si="83"/>
        <v>0.11117503696627638</v>
      </c>
      <c r="G324" s="68">
        <f t="shared" si="83"/>
        <v>0.14255054868385747</v>
      </c>
      <c r="H324" s="68">
        <f t="shared" ref="H324:H325" si="87">H313/H$311</f>
        <v>0.14195498886963848</v>
      </c>
      <c r="I324" s="94">
        <v>0.13</v>
      </c>
      <c r="J324" s="94">
        <v>0.11</v>
      </c>
      <c r="K324" s="94">
        <v>0.11</v>
      </c>
      <c r="L324" s="94">
        <v>0.1</v>
      </c>
      <c r="M324" s="40"/>
      <c r="N324" s="40"/>
      <c r="O324" s="40"/>
      <c r="P324" s="40"/>
      <c r="Q324" s="40"/>
      <c r="R324" s="40"/>
      <c r="S324" s="40"/>
      <c r="T324" s="40"/>
      <c r="U324" s="40"/>
    </row>
    <row r="325" spans="2:21" x14ac:dyDescent="0.3">
      <c r="B325" s="24" t="s">
        <v>148</v>
      </c>
      <c r="C325" s="54"/>
      <c r="D325" s="68">
        <f t="shared" si="83"/>
        <v>6.1295755587505558E-2</v>
      </c>
      <c r="E325" s="68">
        <f t="shared" si="83"/>
        <v>0.10550510267401517</v>
      </c>
      <c r="F325" s="68">
        <f t="shared" si="83"/>
        <v>0.10857110573234698</v>
      </c>
      <c r="G325" s="68">
        <f t="shared" si="83"/>
        <v>7.4075261126848008E-2</v>
      </c>
      <c r="H325" s="68">
        <f t="shared" si="87"/>
        <v>9.4326433568306722E-2</v>
      </c>
      <c r="I325" s="94">
        <v>0.09</v>
      </c>
      <c r="J325" s="94">
        <v>7.0000000000000007E-2</v>
      </c>
      <c r="K325" s="94">
        <v>7.0000000000000007E-2</v>
      </c>
      <c r="L325" s="94">
        <v>0.06</v>
      </c>
      <c r="M325" s="40"/>
      <c r="N325" s="40"/>
      <c r="O325" s="40"/>
      <c r="P325" s="40"/>
      <c r="Q325" s="40"/>
      <c r="R325" s="40"/>
      <c r="S325" s="40"/>
      <c r="T325" s="40"/>
      <c r="U325" s="40"/>
    </row>
    <row r="326" spans="2:21" x14ac:dyDescent="0.3">
      <c r="C326" s="54"/>
      <c r="D326" s="54"/>
      <c r="E326" s="54"/>
      <c r="F326" s="54"/>
      <c r="G326" s="54"/>
      <c r="H326" s="54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</row>
    <row r="327" spans="2:21" x14ac:dyDescent="0.3">
      <c r="B327" s="37" t="s">
        <v>180</v>
      </c>
      <c r="C327" s="54"/>
      <c r="D327" s="54"/>
      <c r="E327" s="54"/>
      <c r="F327" s="54"/>
      <c r="G327" s="54"/>
      <c r="H327" s="54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</row>
    <row r="328" spans="2:21" x14ac:dyDescent="0.3">
      <c r="B328" s="24" t="s">
        <v>144</v>
      </c>
      <c r="C328" s="68"/>
      <c r="D328" s="69">
        <f t="shared" ref="D328:H330" si="88">D316/D312</f>
        <v>3.7502685293269171E-3</v>
      </c>
      <c r="E328" s="69">
        <f t="shared" si="88"/>
        <v>3.718652171756202E-3</v>
      </c>
      <c r="F328" s="69">
        <f t="shared" si="88"/>
        <v>8.7512391683269401E-3</v>
      </c>
      <c r="G328" s="69">
        <f t="shared" si="88"/>
        <v>1.1869673748785723E-2</v>
      </c>
      <c r="H328" s="69">
        <f t="shared" si="88"/>
        <v>1.5550652501384899E-2</v>
      </c>
      <c r="I328" s="94">
        <v>1.6E-2</v>
      </c>
      <c r="J328" s="94">
        <v>1.4999999999999999E-2</v>
      </c>
      <c r="K328" s="94">
        <v>0.01</v>
      </c>
      <c r="L328" s="94">
        <v>0.01</v>
      </c>
      <c r="M328" s="40"/>
      <c r="N328" s="69"/>
      <c r="O328" s="40"/>
      <c r="P328" s="40"/>
      <c r="Q328" s="40"/>
      <c r="R328" s="40"/>
      <c r="S328" s="40"/>
      <c r="T328" s="40"/>
      <c r="U328" s="40"/>
    </row>
    <row r="329" spans="2:21" x14ac:dyDescent="0.3">
      <c r="B329" s="24" t="s">
        <v>145</v>
      </c>
      <c r="C329" s="68"/>
      <c r="D329" s="69">
        <f t="shared" si="88"/>
        <v>6.4823305568445594E-2</v>
      </c>
      <c r="E329" s="69">
        <f t="shared" si="88"/>
        <v>8.0197398120637364E-2</v>
      </c>
      <c r="F329" s="69">
        <f t="shared" si="88"/>
        <v>0.11592400159862012</v>
      </c>
      <c r="G329" s="69">
        <f t="shared" si="88"/>
        <v>0.1227914522759231</v>
      </c>
      <c r="H329" s="69">
        <f t="shared" si="88"/>
        <v>0.16144661529518028</v>
      </c>
      <c r="I329" s="94">
        <v>0.17</v>
      </c>
      <c r="J329" s="94">
        <v>0.12</v>
      </c>
      <c r="K329" s="94">
        <v>0.1</v>
      </c>
      <c r="L329" s="94">
        <v>0.1</v>
      </c>
      <c r="M329" s="40"/>
      <c r="N329" s="40"/>
      <c r="O329" s="40"/>
      <c r="P329" s="40"/>
      <c r="Q329" s="40"/>
      <c r="R329" s="40"/>
      <c r="S329" s="40"/>
      <c r="T329" s="40"/>
      <c r="U329" s="40"/>
    </row>
    <row r="330" spans="2:21" x14ac:dyDescent="0.3">
      <c r="B330" s="24" t="s">
        <v>148</v>
      </c>
      <c r="C330" s="68"/>
      <c r="D330" s="69">
        <f t="shared" si="88"/>
        <v>0.39142854168444513</v>
      </c>
      <c r="E330" s="69">
        <f t="shared" si="88"/>
        <v>0.26092311432962112</v>
      </c>
      <c r="F330" s="69">
        <f t="shared" si="88"/>
        <v>0.31663177060010317</v>
      </c>
      <c r="G330" s="69">
        <f t="shared" si="88"/>
        <v>0.4438571126731381</v>
      </c>
      <c r="H330" s="69">
        <f t="shared" si="88"/>
        <v>0.4025448010525034</v>
      </c>
      <c r="I330" s="94">
        <v>0.41</v>
      </c>
      <c r="J330" s="94">
        <v>0.38</v>
      </c>
      <c r="K330" s="94">
        <v>0.38</v>
      </c>
      <c r="L330" s="94">
        <v>0.38</v>
      </c>
      <c r="M330" s="40"/>
      <c r="N330" s="40"/>
      <c r="P330" s="87">
        <v>0.39700000000000002</v>
      </c>
      <c r="Q330" s="40"/>
      <c r="R330" s="40"/>
      <c r="S330" s="40"/>
      <c r="T330" s="40"/>
      <c r="U330" s="40"/>
    </row>
    <row r="331" spans="2:21" x14ac:dyDescent="0.3">
      <c r="C331" s="54"/>
      <c r="D331" s="54"/>
      <c r="E331" s="54"/>
      <c r="F331" s="54"/>
      <c r="G331" s="54"/>
      <c r="H331" s="54"/>
      <c r="I331" s="40"/>
      <c r="J331" s="40"/>
      <c r="K331" s="40"/>
      <c r="L331" s="40"/>
      <c r="M331" s="40"/>
      <c r="N331" s="40"/>
      <c r="P331" s="40"/>
      <c r="Q331" s="40"/>
      <c r="R331" s="40"/>
      <c r="S331" s="40"/>
      <c r="T331" s="40"/>
      <c r="U331" s="40"/>
    </row>
    <row r="332" spans="2:21" x14ac:dyDescent="0.3">
      <c r="B332" s="37"/>
      <c r="C332" s="54"/>
      <c r="D332" s="54"/>
      <c r="E332" s="54"/>
      <c r="F332" s="54"/>
      <c r="G332" s="54"/>
      <c r="H332" s="54"/>
      <c r="I332" s="40"/>
      <c r="J332" s="40"/>
      <c r="K332" s="40"/>
      <c r="L332" s="40"/>
      <c r="M332" s="40"/>
      <c r="N332" s="40"/>
      <c r="P332" s="40"/>
      <c r="Q332" s="40"/>
      <c r="R332" s="40"/>
      <c r="S332" s="40"/>
      <c r="T332" s="40"/>
      <c r="U332" s="40"/>
    </row>
    <row r="333" spans="2:21" x14ac:dyDescent="0.3">
      <c r="B333" s="37" t="s">
        <v>181</v>
      </c>
      <c r="C333" s="54"/>
      <c r="D333" s="54">
        <f t="shared" ref="D333:G333" si="89">D314-C314</f>
        <v>55040879</v>
      </c>
      <c r="E333" s="54">
        <f t="shared" si="89"/>
        <v>43156665</v>
      </c>
      <c r="F333" s="54">
        <f t="shared" si="89"/>
        <v>6232564</v>
      </c>
      <c r="G333" s="54">
        <f t="shared" si="89"/>
        <v>-23322817</v>
      </c>
      <c r="H333" s="54">
        <f>H314-G314</f>
        <v>36439501</v>
      </c>
      <c r="I333" s="54">
        <f t="shared" ref="I333:L333" si="90">I314-H314</f>
        <v>216293.31749999523</v>
      </c>
      <c r="J333" s="54">
        <f t="shared" si="90"/>
        <v>-12430547.894624993</v>
      </c>
      <c r="K333" s="54">
        <f t="shared" si="90"/>
        <v>15799880.613431245</v>
      </c>
      <c r="L333" s="54">
        <f t="shared" si="90"/>
        <v>-1730463.114804402</v>
      </c>
      <c r="M333" s="40"/>
      <c r="N333" s="40"/>
      <c r="P333" s="40"/>
      <c r="Q333" s="40"/>
      <c r="R333" s="40"/>
      <c r="S333" s="40"/>
      <c r="T333" s="40"/>
      <c r="U333" s="40"/>
    </row>
    <row r="334" spans="2:21" x14ac:dyDescent="0.3">
      <c r="B334" s="37" t="s">
        <v>182</v>
      </c>
      <c r="C334" s="54"/>
      <c r="D334" s="69"/>
      <c r="E334" s="69">
        <f t="shared" ref="E334:G334" si="91">E333/D313</f>
        <v>0.46748239187802915</v>
      </c>
      <c r="F334" s="69">
        <f t="shared" si="91"/>
        <v>5.8845697854327077E-2</v>
      </c>
      <c r="G334" s="69">
        <f t="shared" si="91"/>
        <v>-0.2181033096237599</v>
      </c>
      <c r="H334" s="69">
        <f>H333/G313</f>
        <v>0.23346233393082313</v>
      </c>
      <c r="I334" s="69">
        <f t="shared" ref="I334:L334" si="92">I333/H313</f>
        <v>1.2226863816154386E-3</v>
      </c>
      <c r="J334" s="69">
        <f t="shared" si="92"/>
        <v>-7.3076923076923039E-2</v>
      </c>
      <c r="K334" s="69">
        <f t="shared" si="92"/>
        <v>9.5454545454545431E-2</v>
      </c>
      <c r="L334" s="69">
        <f t="shared" si="92"/>
        <v>-9.0909090909092344E-3</v>
      </c>
      <c r="M334" s="40"/>
      <c r="N334" s="40"/>
      <c r="P334" s="40"/>
      <c r="Q334" s="40"/>
      <c r="R334" s="40"/>
      <c r="S334" s="40"/>
      <c r="T334" s="40"/>
      <c r="U334" s="40"/>
    </row>
    <row r="335" spans="2:21" x14ac:dyDescent="0.3">
      <c r="B335" s="37" t="s">
        <v>183</v>
      </c>
      <c r="C335" s="54"/>
      <c r="D335" s="69">
        <f t="shared" ref="D335:G335" si="93">D314/D311</f>
        <v>6.1295755587505558E-2</v>
      </c>
      <c r="E335" s="69">
        <f t="shared" si="93"/>
        <v>0.10550510267401517</v>
      </c>
      <c r="F335" s="69">
        <f t="shared" si="93"/>
        <v>0.10857110573234698</v>
      </c>
      <c r="G335" s="69">
        <f t="shared" si="93"/>
        <v>7.4075261126848008E-2</v>
      </c>
      <c r="H335" s="69">
        <f>H314/H311</f>
        <v>9.4326433568306722E-2</v>
      </c>
      <c r="I335" s="69">
        <f t="shared" ref="I335:L335" si="94">I314/I311</f>
        <v>0.09</v>
      </c>
      <c r="J335" s="69">
        <f t="shared" si="94"/>
        <v>7.0000000000000007E-2</v>
      </c>
      <c r="K335" s="69">
        <f t="shared" si="94"/>
        <v>7.0000000000000007E-2</v>
      </c>
      <c r="L335" s="69">
        <f t="shared" si="94"/>
        <v>0.06</v>
      </c>
      <c r="M335" s="40"/>
      <c r="N335" s="40"/>
      <c r="P335" s="87">
        <v>6.2799999999999995E-2</v>
      </c>
      <c r="Q335" s="40"/>
      <c r="R335" s="40"/>
      <c r="S335" s="40"/>
      <c r="T335" s="40"/>
      <c r="U335" s="40"/>
    </row>
    <row r="336" spans="2:21" x14ac:dyDescent="0.3">
      <c r="B336" s="37"/>
      <c r="C336" s="54"/>
      <c r="D336" s="54"/>
      <c r="E336" s="54"/>
      <c r="F336" s="54"/>
      <c r="G336" s="54"/>
      <c r="H336" s="54"/>
      <c r="I336" s="40"/>
      <c r="J336" s="40"/>
      <c r="K336" s="40"/>
      <c r="L336" s="40"/>
      <c r="M336" s="40"/>
      <c r="N336" s="40"/>
      <c r="P336" s="40"/>
      <c r="Q336" s="40"/>
      <c r="R336" s="40"/>
      <c r="S336" s="40"/>
      <c r="T336" s="40"/>
      <c r="U336" s="40"/>
    </row>
    <row r="337" spans="2:21" x14ac:dyDescent="0.3">
      <c r="B337" s="37" t="s">
        <v>533</v>
      </c>
      <c r="C337" s="69">
        <f t="shared" ref="C337:G337" si="95">C315/C311</f>
        <v>2.3682968979092812E-2</v>
      </c>
      <c r="D337" s="69">
        <f t="shared" si="95"/>
        <v>3.379210884897501E-2</v>
      </c>
      <c r="E337" s="69">
        <f t="shared" si="95"/>
        <v>3.9557968075658839E-2</v>
      </c>
      <c r="F337" s="69">
        <f t="shared" si="95"/>
        <v>5.4093104724303294E-2</v>
      </c>
      <c r="G337" s="69">
        <f t="shared" si="95"/>
        <v>5.9681216480658182E-2</v>
      </c>
      <c r="H337" s="69">
        <f>H315/H311</f>
        <v>7.276509012053381E-2</v>
      </c>
      <c r="I337" s="69">
        <f>I315/I311</f>
        <v>7.1480000000000002E-2</v>
      </c>
      <c r="J337" s="69">
        <f>J315/J311</f>
        <v>5.2099999999999994E-2</v>
      </c>
      <c r="K337" s="69">
        <f>K315/K311</f>
        <v>4.5800000000000007E-2</v>
      </c>
      <c r="L337" s="69">
        <f>L315/L311</f>
        <v>4.1200000000000001E-2</v>
      </c>
      <c r="M337" s="40"/>
      <c r="N337" s="40"/>
      <c r="P337" s="40"/>
      <c r="Q337" s="40"/>
      <c r="R337" s="40"/>
      <c r="S337" s="40"/>
      <c r="T337" s="40"/>
      <c r="U337" s="40"/>
    </row>
    <row r="338" spans="2:21" x14ac:dyDescent="0.3">
      <c r="B338" s="37"/>
      <c r="C338" s="54"/>
      <c r="D338" s="54"/>
      <c r="E338" s="54"/>
      <c r="F338" s="54"/>
      <c r="G338" s="54"/>
      <c r="H338" s="54"/>
      <c r="I338" s="40"/>
      <c r="J338" s="40"/>
      <c r="K338" s="40"/>
      <c r="L338" s="40"/>
      <c r="M338" s="40"/>
      <c r="N338" s="40"/>
      <c r="P338" s="40"/>
      <c r="Q338" s="40"/>
      <c r="R338" s="40"/>
      <c r="S338" s="40"/>
      <c r="T338" s="40"/>
      <c r="U338" s="40"/>
    </row>
    <row r="339" spans="2:21" s="7" customFormat="1" x14ac:dyDescent="0.3">
      <c r="C339" s="62"/>
      <c r="D339" s="62"/>
      <c r="E339" s="62"/>
      <c r="F339" s="62"/>
      <c r="G339" s="62"/>
      <c r="H339" s="62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</row>
    <row r="340" spans="2:21" x14ac:dyDescent="0.3">
      <c r="C340" s="54"/>
      <c r="D340" s="54"/>
      <c r="E340" s="54"/>
      <c r="F340" s="54"/>
      <c r="G340" s="54"/>
      <c r="H340" s="54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</row>
    <row r="341" spans="2:21" x14ac:dyDescent="0.3">
      <c r="B341" t="s">
        <v>40</v>
      </c>
      <c r="C341" s="27">
        <v>118078273</v>
      </c>
      <c r="D341" s="27">
        <v>89274413</v>
      </c>
      <c r="E341" s="27">
        <v>107059021</v>
      </c>
      <c r="F341" s="27">
        <v>302059529</v>
      </c>
      <c r="G341" s="27">
        <v>385390598</v>
      </c>
      <c r="H341" s="27">
        <v>761650234</v>
      </c>
      <c r="I341" s="54">
        <f>I358</f>
        <v>709291118.42399991</v>
      </c>
      <c r="J341" s="54">
        <f t="shared" ref="J341:L341" si="96">J358</f>
        <v>668358324.86000013</v>
      </c>
      <c r="K341" s="54">
        <f t="shared" si="96"/>
        <v>737754178.87780023</v>
      </c>
      <c r="L341" s="54">
        <f t="shared" si="96"/>
        <v>791175567.27385437</v>
      </c>
      <c r="M341" s="40"/>
      <c r="N341" s="38">
        <v>706747778</v>
      </c>
      <c r="O341" s="40"/>
      <c r="P341" s="40"/>
      <c r="Q341" s="40"/>
      <c r="R341" s="40"/>
      <c r="S341" s="40"/>
      <c r="T341" s="40"/>
      <c r="U341" s="40"/>
    </row>
    <row r="342" spans="2:21" x14ac:dyDescent="0.3">
      <c r="C342" s="54"/>
      <c r="D342" s="54"/>
      <c r="E342" s="54"/>
      <c r="F342" s="54"/>
      <c r="G342" s="54"/>
      <c r="H342" s="54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</row>
    <row r="343" spans="2:21" x14ac:dyDescent="0.3">
      <c r="B343" s="40" t="s">
        <v>195</v>
      </c>
      <c r="C343" s="36">
        <v>94122004</v>
      </c>
      <c r="D343" s="36">
        <v>68228143</v>
      </c>
      <c r="E343" s="74">
        <v>83350413</v>
      </c>
      <c r="F343" s="36">
        <v>282664666</v>
      </c>
      <c r="G343" s="36">
        <v>346865782</v>
      </c>
      <c r="H343" s="36">
        <v>761687245</v>
      </c>
      <c r="I343" s="58">
        <f>H343*(1+I363)</f>
        <v>670284775.60000002</v>
      </c>
      <c r="J343" s="58">
        <f t="shared" ref="J343:L343" si="97">I343*(1+J363)</f>
        <v>603256298.04000008</v>
      </c>
      <c r="K343" s="58">
        <f t="shared" si="97"/>
        <v>633419112.94200015</v>
      </c>
      <c r="L343" s="58">
        <f t="shared" si="97"/>
        <v>665090068.58910024</v>
      </c>
      <c r="M343" s="40"/>
      <c r="N343" s="40"/>
      <c r="O343" s="40"/>
      <c r="P343" s="40"/>
      <c r="Q343" s="40"/>
      <c r="R343" s="40"/>
      <c r="S343" s="40"/>
      <c r="T343" s="40"/>
      <c r="U343" s="40"/>
    </row>
    <row r="344" spans="2:21" x14ac:dyDescent="0.3">
      <c r="B344" s="39" t="s">
        <v>185</v>
      </c>
      <c r="C344" s="27">
        <v>38675911</v>
      </c>
      <c r="D344" s="27">
        <v>32982542</v>
      </c>
      <c r="E344" s="75">
        <v>47278715</v>
      </c>
      <c r="F344" s="27">
        <v>186530856</v>
      </c>
      <c r="G344" s="27">
        <v>262947127</v>
      </c>
      <c r="H344" s="27">
        <v>536463694</v>
      </c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</row>
    <row r="345" spans="2:21" x14ac:dyDescent="0.3">
      <c r="B345" s="39" t="s">
        <v>186</v>
      </c>
      <c r="C345" s="27">
        <v>14879391</v>
      </c>
      <c r="D345" s="27">
        <v>35245601</v>
      </c>
      <c r="E345" s="75">
        <v>36071698</v>
      </c>
      <c r="F345" s="27">
        <v>96133810</v>
      </c>
      <c r="G345" s="27">
        <v>83526929</v>
      </c>
      <c r="H345" s="27">
        <v>196888787</v>
      </c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</row>
    <row r="346" spans="2:21" x14ac:dyDescent="0.3">
      <c r="B346" s="41" t="s">
        <v>196</v>
      </c>
      <c r="C346" s="27">
        <v>40566702</v>
      </c>
      <c r="D346" s="54"/>
      <c r="E346" s="70"/>
      <c r="F346" s="54"/>
      <c r="G346" s="27">
        <v>391726</v>
      </c>
      <c r="H346" s="27">
        <v>28334764</v>
      </c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</row>
    <row r="347" spans="2:21" x14ac:dyDescent="0.3">
      <c r="B347" s="40" t="s">
        <v>197</v>
      </c>
      <c r="C347" s="36">
        <v>10007450</v>
      </c>
      <c r="D347" s="36">
        <v>9539364</v>
      </c>
      <c r="E347" s="74">
        <v>15284770</v>
      </c>
      <c r="F347" s="36">
        <v>11254899</v>
      </c>
      <c r="G347" s="36">
        <v>21778691</v>
      </c>
      <c r="H347" s="36">
        <v>27951009</v>
      </c>
      <c r="I347" s="58">
        <f>H347*(1+I364)</f>
        <v>33541210.799999997</v>
      </c>
      <c r="J347" s="58">
        <f t="shared" ref="J347:L347" si="98">I347*(1+J364)</f>
        <v>40249452.959999993</v>
      </c>
      <c r="K347" s="58">
        <f t="shared" si="98"/>
        <v>48299343.551999994</v>
      </c>
      <c r="L347" s="58">
        <f t="shared" si="98"/>
        <v>57959212.262399994</v>
      </c>
      <c r="M347" s="40"/>
      <c r="N347" s="40"/>
      <c r="O347" s="40"/>
      <c r="P347" s="40"/>
      <c r="Q347" s="40"/>
      <c r="R347" s="40"/>
      <c r="S347" s="40"/>
      <c r="T347" s="40"/>
      <c r="U347" s="40"/>
    </row>
    <row r="348" spans="2:21" x14ac:dyDescent="0.3">
      <c r="B348" s="39" t="s">
        <v>187</v>
      </c>
      <c r="C348" s="27">
        <v>1197755</v>
      </c>
      <c r="D348" s="27">
        <v>4368976</v>
      </c>
      <c r="E348" s="75">
        <v>4080152</v>
      </c>
      <c r="F348" s="54"/>
      <c r="G348" s="27">
        <v>4664885</v>
      </c>
      <c r="H348" s="27">
        <v>11163594</v>
      </c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</row>
    <row r="349" spans="2:21" x14ac:dyDescent="0.3">
      <c r="B349" s="39" t="s">
        <v>188</v>
      </c>
      <c r="C349" s="27">
        <v>8809695</v>
      </c>
      <c r="D349" s="27">
        <v>5170388</v>
      </c>
      <c r="E349" s="75">
        <v>11204618</v>
      </c>
      <c r="F349" s="27">
        <v>11254899</v>
      </c>
      <c r="G349" s="27">
        <v>17113806</v>
      </c>
      <c r="H349" s="27">
        <v>16787415</v>
      </c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</row>
    <row r="350" spans="2:21" x14ac:dyDescent="0.3">
      <c r="B350" t="s">
        <v>189</v>
      </c>
      <c r="C350" s="36">
        <v>5803044</v>
      </c>
      <c r="D350" s="36">
        <v>5140927</v>
      </c>
      <c r="E350" s="74">
        <v>5553077</v>
      </c>
      <c r="F350" s="36">
        <v>8969091</v>
      </c>
      <c r="G350" s="36">
        <v>15605634</v>
      </c>
      <c r="H350" s="36">
        <v>35136594</v>
      </c>
      <c r="I350" s="58">
        <f>H350*(1+I365)</f>
        <v>42163912.799999997</v>
      </c>
      <c r="J350" s="58">
        <f t="shared" ref="J350:L350" si="99">I350*(1+J365)</f>
        <v>50596695.359999992</v>
      </c>
      <c r="K350" s="58">
        <f t="shared" si="99"/>
        <v>60716034.431999989</v>
      </c>
      <c r="L350" s="58">
        <f t="shared" si="99"/>
        <v>72859241.318399981</v>
      </c>
      <c r="M350" s="40"/>
      <c r="N350" s="40"/>
      <c r="O350" s="40"/>
      <c r="P350" s="40"/>
      <c r="Q350" s="40"/>
      <c r="R350" s="40"/>
      <c r="S350" s="40"/>
      <c r="T350" s="40"/>
      <c r="U350" s="40"/>
    </row>
    <row r="351" spans="2:21" x14ac:dyDescent="0.3">
      <c r="B351" s="39" t="s">
        <v>187</v>
      </c>
      <c r="C351" s="27">
        <v>5803044</v>
      </c>
      <c r="D351" s="27">
        <v>5140927</v>
      </c>
      <c r="E351" s="75">
        <v>5553077</v>
      </c>
      <c r="F351" s="27">
        <v>8969091</v>
      </c>
      <c r="G351" s="27">
        <v>15605634</v>
      </c>
      <c r="H351" s="27">
        <v>35136594</v>
      </c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</row>
    <row r="352" spans="2:21" x14ac:dyDescent="0.3">
      <c r="B352" t="s">
        <v>190</v>
      </c>
      <c r="C352" s="36">
        <v>8145775</v>
      </c>
      <c r="D352" s="36">
        <v>6634319</v>
      </c>
      <c r="E352" s="74">
        <v>3300536</v>
      </c>
      <c r="F352" s="36">
        <v>1286715</v>
      </c>
      <c r="G352" s="36">
        <v>6832912</v>
      </c>
      <c r="H352" s="36">
        <v>7795564</v>
      </c>
      <c r="I352" s="58">
        <f>H352*(1+I366)</f>
        <v>8575120.4000000004</v>
      </c>
      <c r="J352" s="58">
        <f t="shared" ref="J352:L352" si="100">I352*(1+J366)</f>
        <v>9432632.4400000013</v>
      </c>
      <c r="K352" s="58">
        <f t="shared" si="100"/>
        <v>10375895.684000002</v>
      </c>
      <c r="L352" s="58">
        <f t="shared" si="100"/>
        <v>11413485.252400003</v>
      </c>
      <c r="M352" s="40"/>
      <c r="N352" s="40"/>
      <c r="O352" s="40"/>
      <c r="P352" s="40"/>
      <c r="Q352" s="40"/>
      <c r="R352" s="40"/>
      <c r="S352" s="40"/>
      <c r="T352" s="40"/>
      <c r="U352" s="40"/>
    </row>
    <row r="353" spans="2:21" x14ac:dyDescent="0.3">
      <c r="B353" s="39" t="s">
        <v>191</v>
      </c>
      <c r="C353" s="27">
        <v>8045593</v>
      </c>
      <c r="D353" s="27">
        <v>5952635</v>
      </c>
      <c r="E353" s="75">
        <v>2520350</v>
      </c>
      <c r="F353" s="27">
        <v>561716</v>
      </c>
      <c r="G353" s="27">
        <v>6521553</v>
      </c>
      <c r="H353" s="27">
        <v>6521553</v>
      </c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</row>
    <row r="354" spans="2:21" x14ac:dyDescent="0.3">
      <c r="B354" s="39" t="s">
        <v>192</v>
      </c>
      <c r="C354" s="27">
        <v>98087</v>
      </c>
      <c r="D354" s="27">
        <v>680203</v>
      </c>
      <c r="E354" s="75">
        <v>777994</v>
      </c>
      <c r="F354" s="27">
        <v>724589</v>
      </c>
      <c r="G354" s="27">
        <v>309749</v>
      </c>
      <c r="H354" s="27">
        <v>1273485</v>
      </c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</row>
    <row r="355" spans="2:21" x14ac:dyDescent="0.3">
      <c r="B355" s="39" t="s">
        <v>193</v>
      </c>
      <c r="C355" s="27">
        <v>2095</v>
      </c>
      <c r="D355" s="27">
        <v>1481</v>
      </c>
      <c r="E355" s="75">
        <v>2192</v>
      </c>
      <c r="F355" s="27">
        <v>410</v>
      </c>
      <c r="G355" s="27">
        <v>1610</v>
      </c>
      <c r="H355" s="27">
        <v>526</v>
      </c>
      <c r="I355" s="40"/>
      <c r="J355" s="40"/>
      <c r="K355" s="70"/>
      <c r="L355" s="40"/>
      <c r="M355" s="40"/>
      <c r="N355" s="40"/>
      <c r="O355" s="40"/>
      <c r="P355" s="40"/>
      <c r="Q355" s="40"/>
      <c r="R355" s="40"/>
      <c r="S355" s="40"/>
      <c r="T355" s="40"/>
      <c r="U355" s="40"/>
    </row>
    <row r="356" spans="2:21" x14ac:dyDescent="0.3">
      <c r="B356" s="37" t="s">
        <v>198</v>
      </c>
      <c r="C356" s="47">
        <f t="shared" ref="C356:G356" si="101">C343+C347+C350+C352</f>
        <v>118078273</v>
      </c>
      <c r="D356" s="47">
        <f t="shared" si="101"/>
        <v>89542753</v>
      </c>
      <c r="E356" s="47">
        <f t="shared" si="101"/>
        <v>107488796</v>
      </c>
      <c r="F356" s="47">
        <f t="shared" si="101"/>
        <v>304175371</v>
      </c>
      <c r="G356" s="47">
        <f t="shared" si="101"/>
        <v>391083019</v>
      </c>
      <c r="H356" s="47">
        <f>H343+H347+H350+H352</f>
        <v>832570412</v>
      </c>
      <c r="I356" s="47">
        <f t="shared" ref="I356:L356" si="102">I343+I347+I350+I352</f>
        <v>754565019.5999999</v>
      </c>
      <c r="J356" s="47">
        <f t="shared" si="102"/>
        <v>703535078.80000019</v>
      </c>
      <c r="K356" s="47">
        <f t="shared" si="102"/>
        <v>752810386.61000025</v>
      </c>
      <c r="L356" s="47">
        <f t="shared" si="102"/>
        <v>807322007.42230034</v>
      </c>
      <c r="M356" s="40"/>
      <c r="N356" s="40"/>
      <c r="O356" s="40"/>
      <c r="P356" s="40"/>
      <c r="Q356" s="40"/>
      <c r="R356" s="40"/>
      <c r="S356" s="40"/>
      <c r="T356" s="40"/>
      <c r="U356" s="40"/>
    </row>
    <row r="357" spans="2:21" x14ac:dyDescent="0.3">
      <c r="B357" t="s">
        <v>194</v>
      </c>
      <c r="C357" s="54"/>
      <c r="D357" s="27">
        <v>268340</v>
      </c>
      <c r="E357" s="27">
        <v>429775</v>
      </c>
      <c r="F357" s="27">
        <v>2115842</v>
      </c>
      <c r="G357" s="27">
        <v>5692421</v>
      </c>
      <c r="H357" s="27">
        <v>70920178</v>
      </c>
      <c r="I357" s="57">
        <f>I373</f>
        <v>45273901.175999992</v>
      </c>
      <c r="J357" s="57">
        <f t="shared" ref="J357:L357" si="103">J373</f>
        <v>35176753.940000013</v>
      </c>
      <c r="K357" s="57">
        <f t="shared" si="103"/>
        <v>15056207.732200006</v>
      </c>
      <c r="L357" s="57">
        <f t="shared" si="103"/>
        <v>16146440.148446007</v>
      </c>
      <c r="M357" s="40"/>
      <c r="N357" s="40"/>
      <c r="O357" s="40"/>
      <c r="P357" s="40"/>
      <c r="Q357" s="40"/>
      <c r="R357" s="40"/>
      <c r="S357" s="40"/>
      <c r="T357" s="40"/>
      <c r="U357" s="40"/>
    </row>
    <row r="358" spans="2:21" x14ac:dyDescent="0.3">
      <c r="B358" t="s">
        <v>40</v>
      </c>
      <c r="C358" s="47">
        <f t="shared" ref="C358:G358" si="104">C356-C357</f>
        <v>118078273</v>
      </c>
      <c r="D358" s="47">
        <f t="shared" ref="D358" si="105">D356-D357</f>
        <v>89274413</v>
      </c>
      <c r="E358" s="47">
        <f t="shared" ref="E358" si="106">E356-E357</f>
        <v>107059021</v>
      </c>
      <c r="F358" s="47">
        <f t="shared" ref="F358" si="107">F356-F357</f>
        <v>302059529</v>
      </c>
      <c r="G358" s="47">
        <f t="shared" si="104"/>
        <v>385390598</v>
      </c>
      <c r="H358" s="47">
        <f>H356-H357</f>
        <v>761650234</v>
      </c>
      <c r="I358" s="47">
        <f t="shared" ref="I358:L358" si="108">I356-I357</f>
        <v>709291118.42399991</v>
      </c>
      <c r="J358" s="47">
        <f t="shared" si="108"/>
        <v>668358324.86000013</v>
      </c>
      <c r="K358" s="47">
        <f t="shared" si="108"/>
        <v>737754178.87780023</v>
      </c>
      <c r="L358" s="47">
        <f t="shared" si="108"/>
        <v>791175567.27385437</v>
      </c>
      <c r="M358" s="40"/>
      <c r="N358" s="40"/>
      <c r="O358" s="40"/>
      <c r="P358" s="40"/>
      <c r="Q358" s="40"/>
      <c r="R358" s="40"/>
      <c r="S358" s="40"/>
      <c r="T358" s="40"/>
      <c r="U358" s="40"/>
    </row>
    <row r="359" spans="2:21" x14ac:dyDescent="0.3">
      <c r="C359" s="54"/>
      <c r="D359" s="54"/>
      <c r="E359" s="54"/>
      <c r="F359" s="54"/>
      <c r="G359" s="54"/>
      <c r="H359" s="54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</row>
    <row r="360" spans="2:21" s="33" customFormat="1" x14ac:dyDescent="0.3">
      <c r="B360" s="33" t="s">
        <v>179</v>
      </c>
      <c r="C360" s="54">
        <f t="shared" ref="C360:G360" si="109">C358-C341</f>
        <v>0</v>
      </c>
      <c r="D360" s="54">
        <f t="shared" si="109"/>
        <v>0</v>
      </c>
      <c r="E360" s="54">
        <f t="shared" si="109"/>
        <v>0</v>
      </c>
      <c r="F360" s="54">
        <f t="shared" si="109"/>
        <v>0</v>
      </c>
      <c r="G360" s="54">
        <f t="shared" si="109"/>
        <v>0</v>
      </c>
      <c r="H360" s="54">
        <f>H358-H341</f>
        <v>0</v>
      </c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</row>
    <row r="361" spans="2:21" x14ac:dyDescent="0.3">
      <c r="C361" s="54"/>
      <c r="D361" s="54"/>
      <c r="E361" s="54"/>
      <c r="F361" s="54"/>
      <c r="G361" s="54"/>
      <c r="H361" s="54"/>
      <c r="I361" s="57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</row>
    <row r="362" spans="2:21" x14ac:dyDescent="0.3">
      <c r="B362" t="s">
        <v>367</v>
      </c>
      <c r="C362" s="54"/>
      <c r="I362" s="57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</row>
    <row r="363" spans="2:21" x14ac:dyDescent="0.3">
      <c r="B363" t="s">
        <v>368</v>
      </c>
      <c r="C363" s="54"/>
      <c r="D363" s="68">
        <f>D343/C343-1</f>
        <v>-0.27510953761672985</v>
      </c>
      <c r="E363" s="68">
        <f>E343/D343-1</f>
        <v>0.22164270248422269</v>
      </c>
      <c r="F363" s="68">
        <f>F343/E343-1</f>
        <v>2.3912809286259926</v>
      </c>
      <c r="G363" s="68">
        <f>G343/F343-1</f>
        <v>0.22712819719745236</v>
      </c>
      <c r="H363" s="68">
        <f>H343/G343-1</f>
        <v>1.1959134758354457</v>
      </c>
      <c r="I363" s="68">
        <v>-0.12</v>
      </c>
      <c r="J363" s="68">
        <v>-0.1</v>
      </c>
      <c r="K363" s="68">
        <v>0.05</v>
      </c>
      <c r="L363" s="68">
        <v>0.05</v>
      </c>
      <c r="M363" s="40"/>
      <c r="N363" s="40"/>
      <c r="O363" s="40"/>
      <c r="P363" s="40"/>
      <c r="Q363" s="40"/>
      <c r="R363" s="40"/>
      <c r="S363" s="40"/>
      <c r="T363" s="40"/>
      <c r="U363" s="40"/>
    </row>
    <row r="364" spans="2:21" x14ac:dyDescent="0.3">
      <c r="B364" t="s">
        <v>370</v>
      </c>
      <c r="C364" s="54"/>
      <c r="D364" s="68">
        <f t="shared" ref="D364:G364" si="110">D347/C347-1</f>
        <v>-4.6773753553602582E-2</v>
      </c>
      <c r="E364" s="68">
        <f t="shared" si="110"/>
        <v>0.6022839677781453</v>
      </c>
      <c r="F364" s="68">
        <f t="shared" si="110"/>
        <v>-0.26365270789158102</v>
      </c>
      <c r="G364" s="68">
        <f t="shared" si="110"/>
        <v>0.93504099859092471</v>
      </c>
      <c r="H364" s="68">
        <f>H347/G347-1</f>
        <v>0.28341088084678745</v>
      </c>
      <c r="I364" s="68">
        <v>0.2</v>
      </c>
      <c r="J364" s="68">
        <v>0.2</v>
      </c>
      <c r="K364" s="68">
        <v>0.2</v>
      </c>
      <c r="L364" s="68">
        <v>0.2</v>
      </c>
      <c r="M364" s="40"/>
      <c r="N364" s="40"/>
      <c r="O364" s="40"/>
      <c r="P364" s="40"/>
      <c r="Q364" s="40"/>
      <c r="R364" s="40"/>
      <c r="S364" s="40"/>
      <c r="T364" s="40"/>
      <c r="U364" s="40"/>
    </row>
    <row r="365" spans="2:21" x14ac:dyDescent="0.3">
      <c r="B365" t="s">
        <v>369</v>
      </c>
      <c r="C365" s="54"/>
      <c r="D365" s="68">
        <f t="shared" ref="D365:G365" si="111">D350/C350-1</f>
        <v>-0.11409822155406713</v>
      </c>
      <c r="E365" s="68">
        <f t="shared" si="111"/>
        <v>8.0170366161589124E-2</v>
      </c>
      <c r="F365" s="68">
        <f t="shared" si="111"/>
        <v>0.61515696612886872</v>
      </c>
      <c r="G365" s="68">
        <f t="shared" si="111"/>
        <v>0.7399348495850917</v>
      </c>
      <c r="H365" s="68">
        <f>H350/G350-1</f>
        <v>1.2515326195654723</v>
      </c>
      <c r="I365" s="68">
        <v>0.2</v>
      </c>
      <c r="J365" s="68">
        <v>0.2</v>
      </c>
      <c r="K365" s="68">
        <v>0.2</v>
      </c>
      <c r="L365" s="68">
        <v>0.2</v>
      </c>
      <c r="M365" s="40"/>
      <c r="N365" s="40"/>
      <c r="O365" s="40"/>
      <c r="P365" s="40"/>
      <c r="Q365" s="40"/>
      <c r="R365" s="40"/>
      <c r="S365" s="40"/>
      <c r="T365" s="40"/>
      <c r="U365" s="40"/>
    </row>
    <row r="366" spans="2:21" x14ac:dyDescent="0.3">
      <c r="B366" t="s">
        <v>371</v>
      </c>
      <c r="C366" s="54"/>
      <c r="D366" s="68">
        <f t="shared" ref="D366:G366" si="112">D352/C352-1</f>
        <v>-0.18555091443110083</v>
      </c>
      <c r="E366" s="68">
        <f t="shared" si="112"/>
        <v>-0.50250568294952358</v>
      </c>
      <c r="F366" s="68">
        <f t="shared" si="112"/>
        <v>-0.61014968477847242</v>
      </c>
      <c r="G366" s="68">
        <f t="shared" si="112"/>
        <v>4.3103538856700983</v>
      </c>
      <c r="H366" s="68">
        <f>H352/G352-1</f>
        <v>0.14088458917662039</v>
      </c>
      <c r="I366" s="68">
        <v>0.1</v>
      </c>
      <c r="J366" s="68">
        <v>0.1</v>
      </c>
      <c r="K366" s="68">
        <v>0.1</v>
      </c>
      <c r="L366" s="68">
        <v>0.1</v>
      </c>
      <c r="M366" s="40"/>
      <c r="N366" s="40"/>
      <c r="O366" s="40"/>
      <c r="P366" s="40"/>
      <c r="Q366" s="40"/>
      <c r="R366" s="40"/>
      <c r="S366" s="40"/>
      <c r="T366" s="40"/>
      <c r="U366" s="40"/>
    </row>
    <row r="367" spans="2:21" x14ac:dyDescent="0.3">
      <c r="C367" s="54"/>
      <c r="D367" s="54"/>
      <c r="E367" s="54"/>
      <c r="F367" s="54"/>
      <c r="G367" s="54"/>
      <c r="H367" s="54"/>
      <c r="I367" s="57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</row>
    <row r="368" spans="2:21" x14ac:dyDescent="0.3">
      <c r="C368" s="54"/>
      <c r="D368" s="54"/>
      <c r="E368" s="54"/>
      <c r="F368" s="54"/>
      <c r="G368" s="54"/>
      <c r="H368" s="54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</row>
    <row r="369" spans="2:21" x14ac:dyDescent="0.3">
      <c r="B369" t="s">
        <v>204</v>
      </c>
      <c r="C369" s="54"/>
      <c r="D369" s="54"/>
      <c r="E369" s="54"/>
      <c r="F369" s="54"/>
      <c r="G369" s="54"/>
      <c r="H369" s="54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</row>
    <row r="370" spans="2:21" x14ac:dyDescent="0.3">
      <c r="B370" t="s">
        <v>144</v>
      </c>
      <c r="C370" s="54"/>
      <c r="D370" s="54"/>
      <c r="E370" s="27">
        <v>276905</v>
      </c>
      <c r="F370" s="27">
        <v>1962972</v>
      </c>
      <c r="G370" s="27">
        <v>5539551</v>
      </c>
      <c r="H370" s="27">
        <v>236544</v>
      </c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</row>
    <row r="371" spans="2:21" x14ac:dyDescent="0.3">
      <c r="B371" t="s">
        <v>145</v>
      </c>
      <c r="C371" s="54"/>
      <c r="D371" s="54"/>
      <c r="E371" s="27">
        <v>0</v>
      </c>
      <c r="F371" s="27">
        <v>0</v>
      </c>
      <c r="G371" s="27">
        <v>0</v>
      </c>
      <c r="H371" s="27">
        <v>70530764</v>
      </c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</row>
    <row r="372" spans="2:21" x14ac:dyDescent="0.3">
      <c r="B372" t="s">
        <v>148</v>
      </c>
      <c r="C372" s="54"/>
      <c r="D372" s="54"/>
      <c r="E372" s="27">
        <v>152870</v>
      </c>
      <c r="F372" s="27">
        <v>152870</v>
      </c>
      <c r="G372" s="27">
        <v>152870</v>
      </c>
      <c r="H372" s="27">
        <v>152870</v>
      </c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</row>
    <row r="373" spans="2:21" x14ac:dyDescent="0.3">
      <c r="C373" s="47">
        <f t="shared" ref="C373:G373" si="113">SUM(C370:C372)</f>
        <v>0</v>
      </c>
      <c r="D373" s="47">
        <f t="shared" si="113"/>
        <v>0</v>
      </c>
      <c r="E373" s="47">
        <f t="shared" si="113"/>
        <v>429775</v>
      </c>
      <c r="F373" s="47">
        <f t="shared" si="113"/>
        <v>2115842</v>
      </c>
      <c r="G373" s="47">
        <f t="shared" si="113"/>
        <v>5692421</v>
      </c>
      <c r="H373" s="47">
        <f>SUM(H370:H372)</f>
        <v>70920178</v>
      </c>
      <c r="I373" s="58">
        <f>I356*I375</f>
        <v>45273901.175999992</v>
      </c>
      <c r="J373" s="58">
        <f t="shared" ref="J373:L373" si="114">J356*J375</f>
        <v>35176753.940000013</v>
      </c>
      <c r="K373" s="58">
        <f t="shared" si="114"/>
        <v>15056207.732200006</v>
      </c>
      <c r="L373" s="58">
        <f t="shared" si="114"/>
        <v>16146440.148446007</v>
      </c>
      <c r="M373" s="40"/>
      <c r="N373" s="40"/>
      <c r="O373" s="40"/>
      <c r="P373" s="40"/>
      <c r="Q373" s="40"/>
      <c r="R373" s="40"/>
      <c r="S373" s="40"/>
      <c r="T373" s="40"/>
      <c r="U373" s="40"/>
    </row>
    <row r="374" spans="2:21" x14ac:dyDescent="0.3">
      <c r="C374" s="54"/>
      <c r="D374" s="54"/>
      <c r="E374" s="54"/>
      <c r="F374" s="54"/>
      <c r="G374" s="54"/>
      <c r="H374" s="54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</row>
    <row r="375" spans="2:21" x14ac:dyDescent="0.3">
      <c r="B375" t="s">
        <v>372</v>
      </c>
      <c r="C375" s="69">
        <f t="shared" ref="C375:G375" si="115">C373/C356</f>
        <v>0</v>
      </c>
      <c r="D375" s="69">
        <f t="shared" si="115"/>
        <v>0</v>
      </c>
      <c r="E375" s="69">
        <f t="shared" si="115"/>
        <v>3.9983236950574827E-3</v>
      </c>
      <c r="F375" s="69">
        <f t="shared" si="115"/>
        <v>6.9559938171325515E-3</v>
      </c>
      <c r="G375" s="69">
        <f t="shared" si="115"/>
        <v>1.4555530983051965E-2</v>
      </c>
      <c r="H375" s="69">
        <f>H373/H356</f>
        <v>8.5182198379636864E-2</v>
      </c>
      <c r="I375" s="94">
        <v>0.06</v>
      </c>
      <c r="J375" s="94">
        <v>0.05</v>
      </c>
      <c r="K375" s="94">
        <v>0.02</v>
      </c>
      <c r="L375" s="94">
        <v>0.02</v>
      </c>
      <c r="M375" s="40"/>
      <c r="N375" s="40"/>
      <c r="O375" s="40"/>
      <c r="P375" s="40"/>
      <c r="Q375" s="40"/>
      <c r="R375" s="40"/>
      <c r="S375" s="40"/>
      <c r="T375" s="40"/>
      <c r="U375" s="40"/>
    </row>
    <row r="376" spans="2:21" x14ac:dyDescent="0.3">
      <c r="C376" s="54"/>
      <c r="D376" s="54"/>
      <c r="E376" s="54"/>
      <c r="F376" s="54"/>
      <c r="G376" s="54"/>
      <c r="H376" s="54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</row>
    <row r="377" spans="2:21" s="33" customFormat="1" x14ac:dyDescent="0.3">
      <c r="B377" s="33" t="s">
        <v>179</v>
      </c>
      <c r="C377" s="54">
        <f t="shared" ref="C377:G377" si="116">C373-C357</f>
        <v>0</v>
      </c>
      <c r="D377" s="54">
        <f t="shared" si="116"/>
        <v>-268340</v>
      </c>
      <c r="E377" s="54">
        <f t="shared" si="116"/>
        <v>0</v>
      </c>
      <c r="F377" s="54">
        <f t="shared" si="116"/>
        <v>0</v>
      </c>
      <c r="G377" s="54">
        <f t="shared" si="116"/>
        <v>0</v>
      </c>
      <c r="H377" s="54">
        <f>H373-H357</f>
        <v>0</v>
      </c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</row>
    <row r="378" spans="2:21" x14ac:dyDescent="0.3">
      <c r="C378" s="54"/>
      <c r="D378" s="54"/>
      <c r="E378" s="54"/>
      <c r="F378" s="54"/>
      <c r="G378" s="54"/>
      <c r="H378" s="54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</row>
    <row r="379" spans="2:21" x14ac:dyDescent="0.3">
      <c r="B379" t="s">
        <v>365</v>
      </c>
      <c r="C379" s="68">
        <f>C341/FS!C62</f>
        <v>0.10215968401935187</v>
      </c>
      <c r="D379" s="68">
        <f>D341/FS!D62</f>
        <v>6.7636628025291953E-2</v>
      </c>
      <c r="E379" s="68">
        <f>E341/FS!E62</f>
        <v>7.5985433875038907E-2</v>
      </c>
      <c r="F379" s="68">
        <f>F341/FS!F62</f>
        <v>0.1713816671235594</v>
      </c>
      <c r="G379" s="68">
        <f>G341/FS!G62</f>
        <v>0.19429912715556849</v>
      </c>
      <c r="H379" s="68">
        <f>H341/FS!I62</f>
        <v>0.30471446636183447</v>
      </c>
      <c r="I379" s="68">
        <f>I341/FS!J62</f>
        <v>0.26641819161642594</v>
      </c>
      <c r="J379" s="68">
        <f>J341/FS!K62</f>
        <v>0.22632663151578231</v>
      </c>
      <c r="K379" s="68">
        <f>K341/FS!L62</f>
        <v>0.21898942245406738</v>
      </c>
      <c r="L379" s="68">
        <f>L341/FS!M62</f>
        <v>0.21011309047715665</v>
      </c>
      <c r="M379" s="40"/>
      <c r="N379" s="68">
        <f>N341/2525511650</f>
        <v>0.27984340440480643</v>
      </c>
      <c r="O379" s="40"/>
      <c r="P379" s="40"/>
      <c r="Q379" s="40"/>
      <c r="R379" s="40"/>
      <c r="S379" s="40"/>
      <c r="T379" s="40"/>
      <c r="U379" s="40"/>
    </row>
    <row r="380" spans="2:21" x14ac:dyDescent="0.3">
      <c r="B380" t="s">
        <v>366</v>
      </c>
      <c r="C380" s="68">
        <f t="shared" ref="C380:L380" si="117">C341/C289</f>
        <v>0.15903994419081743</v>
      </c>
      <c r="D380" s="68">
        <f t="shared" si="117"/>
        <v>0.10289670436729886</v>
      </c>
      <c r="E380" s="68">
        <f t="shared" si="117"/>
        <v>0.11976362931486106</v>
      </c>
      <c r="F380" s="68">
        <f t="shared" si="117"/>
        <v>0.33199587163819805</v>
      </c>
      <c r="G380" s="68">
        <f t="shared" si="117"/>
        <v>0.37431678224044013</v>
      </c>
      <c r="H380" s="68">
        <f t="shared" si="117"/>
        <v>0.65915634779349808</v>
      </c>
      <c r="I380" s="68">
        <f t="shared" si="117"/>
        <v>0.58380336389536436</v>
      </c>
      <c r="J380" s="68">
        <f t="shared" si="117"/>
        <v>0.46857847249476675</v>
      </c>
      <c r="K380" s="68">
        <f t="shared" si="117"/>
        <v>0.44679666141691293</v>
      </c>
      <c r="L380" s="68">
        <f t="shared" si="117"/>
        <v>0.41465285001654756</v>
      </c>
      <c r="M380" s="40"/>
      <c r="N380" s="68">
        <f>N341/N289</f>
        <v>0.6154855571420691</v>
      </c>
      <c r="O380" s="40"/>
      <c r="P380" s="40"/>
      <c r="Q380" s="40"/>
      <c r="R380" s="40"/>
      <c r="S380" s="40"/>
      <c r="T380" s="40"/>
      <c r="U380" s="40"/>
    </row>
    <row r="381" spans="2:21" x14ac:dyDescent="0.3">
      <c r="C381" s="54"/>
      <c r="D381" s="54"/>
      <c r="E381" s="54"/>
      <c r="F381" s="54"/>
      <c r="G381" s="54"/>
      <c r="H381" s="54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</row>
    <row r="382" spans="2:21" s="7" customFormat="1" x14ac:dyDescent="0.3">
      <c r="C382" s="62"/>
      <c r="D382" s="62"/>
      <c r="E382" s="62"/>
      <c r="F382" s="62"/>
      <c r="G382" s="62"/>
      <c r="H382" s="62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</row>
    <row r="383" spans="2:21" x14ac:dyDescent="0.3">
      <c r="C383" s="54"/>
      <c r="D383" s="54"/>
      <c r="E383" s="54"/>
      <c r="F383" s="54"/>
      <c r="G383" s="54"/>
      <c r="H383" s="54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</row>
    <row r="384" spans="2:21" x14ac:dyDescent="0.3">
      <c r="B384" t="s">
        <v>41</v>
      </c>
      <c r="C384" s="27">
        <v>154913643</v>
      </c>
      <c r="D384" s="27">
        <v>176760611</v>
      </c>
      <c r="E384" s="27">
        <v>197825017</v>
      </c>
      <c r="F384" s="27">
        <v>278716794</v>
      </c>
      <c r="G384" s="27">
        <v>335953802</v>
      </c>
      <c r="H384" s="27">
        <v>118652257</v>
      </c>
      <c r="I384" s="57">
        <f>I386+I387</f>
        <v>296954728</v>
      </c>
      <c r="J384" s="57">
        <f t="shared" ref="J384:L384" si="118">J386+J387</f>
        <v>326650200.80000001</v>
      </c>
      <c r="K384" s="57">
        <f t="shared" si="118"/>
        <v>359315220.88</v>
      </c>
      <c r="L384" s="57">
        <f t="shared" si="118"/>
        <v>395246742.96800005</v>
      </c>
      <c r="M384" s="40"/>
      <c r="N384" s="38">
        <v>246477855</v>
      </c>
      <c r="O384" s="40"/>
      <c r="P384" s="40"/>
      <c r="Q384" s="40"/>
      <c r="R384" s="40"/>
      <c r="S384" s="40"/>
      <c r="T384" s="40"/>
      <c r="U384" s="40"/>
    </row>
    <row r="385" spans="2:21" x14ac:dyDescent="0.3">
      <c r="C385" s="54"/>
      <c r="D385" s="54"/>
      <c r="E385" s="54"/>
      <c r="F385" s="54"/>
      <c r="G385" s="54"/>
      <c r="H385" s="54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</row>
    <row r="386" spans="2:21" x14ac:dyDescent="0.3">
      <c r="B386" t="s">
        <v>207</v>
      </c>
      <c r="C386" s="27">
        <v>154366556</v>
      </c>
      <c r="D386" s="27">
        <v>176516118</v>
      </c>
      <c r="E386" s="27">
        <v>197604294</v>
      </c>
      <c r="F386" s="27">
        <v>278424725</v>
      </c>
      <c r="G386" s="27">
        <v>335503946</v>
      </c>
      <c r="H386" s="27">
        <v>118436200</v>
      </c>
      <c r="I386" s="57">
        <f>H386*(1+I391)</f>
        <v>296090500</v>
      </c>
      <c r="J386" s="57">
        <f t="shared" ref="J386:L386" si="119">I386*(1+J391)</f>
        <v>325699550</v>
      </c>
      <c r="K386" s="57">
        <f t="shared" si="119"/>
        <v>358269505</v>
      </c>
      <c r="L386" s="57">
        <f t="shared" si="119"/>
        <v>394096455.50000006</v>
      </c>
      <c r="M386" s="40"/>
      <c r="N386" s="40"/>
      <c r="O386" s="40"/>
      <c r="P386" s="40"/>
      <c r="Q386" s="40"/>
      <c r="R386" s="40"/>
      <c r="S386" s="40"/>
      <c r="T386" s="40"/>
      <c r="U386" s="40"/>
    </row>
    <row r="387" spans="2:21" x14ac:dyDescent="0.3">
      <c r="B387" t="s">
        <v>206</v>
      </c>
      <c r="C387" s="27">
        <v>547087</v>
      </c>
      <c r="D387" s="27">
        <v>244493</v>
      </c>
      <c r="E387" s="27">
        <v>220723</v>
      </c>
      <c r="F387" s="27">
        <v>292069</v>
      </c>
      <c r="G387" s="27">
        <v>449856</v>
      </c>
      <c r="H387" s="27">
        <v>216057</v>
      </c>
      <c r="I387" s="57">
        <f>H387*(1+I392)</f>
        <v>864228</v>
      </c>
      <c r="J387" s="57">
        <f t="shared" ref="J387:L387" si="120">I387*(1+J392)</f>
        <v>950650.8</v>
      </c>
      <c r="K387" s="57">
        <f t="shared" si="120"/>
        <v>1045715.8800000001</v>
      </c>
      <c r="L387" s="57">
        <f t="shared" si="120"/>
        <v>1150287.4680000001</v>
      </c>
      <c r="M387" s="40"/>
      <c r="N387" s="40"/>
      <c r="O387" s="40"/>
      <c r="P387" s="40"/>
      <c r="Q387" s="40"/>
      <c r="R387" s="40"/>
      <c r="S387" s="40"/>
      <c r="T387" s="40"/>
      <c r="U387" s="40"/>
    </row>
    <row r="388" spans="2:21" x14ac:dyDescent="0.3">
      <c r="C388" s="54"/>
      <c r="D388" s="54"/>
      <c r="E388" s="54"/>
      <c r="F388" s="54"/>
      <c r="G388" s="54"/>
      <c r="H388" s="54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</row>
    <row r="389" spans="2:21" s="33" customFormat="1" x14ac:dyDescent="0.3">
      <c r="B389" s="33" t="s">
        <v>179</v>
      </c>
      <c r="C389" s="54">
        <f t="shared" ref="C389:G389" si="121">SUM(C386:C387)-C384</f>
        <v>0</v>
      </c>
      <c r="D389" s="54">
        <f t="shared" si="121"/>
        <v>0</v>
      </c>
      <c r="E389" s="54">
        <f t="shared" si="121"/>
        <v>0</v>
      </c>
      <c r="F389" s="54">
        <f t="shared" si="121"/>
        <v>0</v>
      </c>
      <c r="G389" s="54">
        <f t="shared" si="121"/>
        <v>0</v>
      </c>
      <c r="H389" s="54">
        <f>SUM(H386:H387)-H384</f>
        <v>0</v>
      </c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</row>
    <row r="390" spans="2:21" s="33" customFormat="1" x14ac:dyDescent="0.3">
      <c r="C390" s="54"/>
      <c r="D390" s="54"/>
      <c r="E390" s="54"/>
      <c r="F390" s="54"/>
      <c r="G390" s="54"/>
      <c r="H390" s="54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</row>
    <row r="391" spans="2:21" x14ac:dyDescent="0.3">
      <c r="B391" t="s">
        <v>373</v>
      </c>
      <c r="C391" s="68"/>
      <c r="D391" s="68">
        <f t="shared" ref="D391:G391" si="122">D386/C386-1</f>
        <v>0.14348679256664898</v>
      </c>
      <c r="E391" s="68">
        <f t="shared" si="122"/>
        <v>0.11946884080013587</v>
      </c>
      <c r="F391" s="68">
        <f t="shared" si="122"/>
        <v>0.40900139042525052</v>
      </c>
      <c r="G391" s="68">
        <f t="shared" si="122"/>
        <v>0.20500773054548227</v>
      </c>
      <c r="H391" s="68">
        <f>H386/G386-1</f>
        <v>-0.64699014300117952</v>
      </c>
      <c r="I391" s="68">
        <v>1.5</v>
      </c>
      <c r="J391" s="68">
        <v>0.1</v>
      </c>
      <c r="K391" s="68">
        <v>0.1</v>
      </c>
      <c r="L391" s="68">
        <v>0.1</v>
      </c>
      <c r="M391" s="40"/>
      <c r="N391" s="68"/>
      <c r="O391" s="40"/>
      <c r="P391" s="40"/>
      <c r="Q391" s="40"/>
      <c r="R391" s="40"/>
      <c r="S391" s="40"/>
      <c r="T391" s="40"/>
      <c r="U391" s="40"/>
    </row>
    <row r="392" spans="2:21" x14ac:dyDescent="0.3">
      <c r="B392" t="s">
        <v>374</v>
      </c>
      <c r="C392" s="68"/>
      <c r="D392" s="68">
        <f t="shared" ref="D392:G392" si="123">D387/C387-1</f>
        <v>-0.55310032956367083</v>
      </c>
      <c r="E392" s="68">
        <f t="shared" si="123"/>
        <v>-9.7221597346345279E-2</v>
      </c>
      <c r="F392" s="68">
        <f t="shared" si="123"/>
        <v>0.32323772330024503</v>
      </c>
      <c r="G392" s="68">
        <f t="shared" si="123"/>
        <v>0.540238779192588</v>
      </c>
      <c r="H392" s="68">
        <f>H387/G387-1</f>
        <v>-0.51971964361929146</v>
      </c>
      <c r="I392" s="68">
        <v>3</v>
      </c>
      <c r="J392" s="68">
        <v>0.1</v>
      </c>
      <c r="K392" s="68">
        <v>0.1</v>
      </c>
      <c r="L392" s="68">
        <v>0.1</v>
      </c>
      <c r="M392" s="40"/>
      <c r="N392" s="68"/>
      <c r="O392" s="40"/>
      <c r="P392" s="40"/>
      <c r="Q392" s="40"/>
      <c r="R392" s="40"/>
      <c r="S392" s="40"/>
      <c r="T392" s="40"/>
      <c r="U392" s="40"/>
    </row>
    <row r="393" spans="2:21" x14ac:dyDescent="0.3"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40"/>
      <c r="N393" s="68"/>
      <c r="O393" s="40"/>
      <c r="P393" s="40"/>
      <c r="Q393" s="40"/>
      <c r="R393" s="40"/>
      <c r="S393" s="40"/>
      <c r="T393" s="40"/>
      <c r="U393" s="40"/>
    </row>
    <row r="394" spans="2:21" s="76" customFormat="1" x14ac:dyDescent="0.3">
      <c r="C394" s="77"/>
      <c r="D394" s="77"/>
      <c r="E394" s="77"/>
      <c r="F394" s="77"/>
      <c r="G394" s="77"/>
      <c r="H394" s="77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</row>
    <row r="395" spans="2:21" x14ac:dyDescent="0.3">
      <c r="C395" s="54"/>
      <c r="D395" s="54"/>
      <c r="E395" s="54"/>
      <c r="F395" s="54"/>
      <c r="G395" s="54"/>
      <c r="H395" s="54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</row>
    <row r="396" spans="2:21" x14ac:dyDescent="0.3">
      <c r="B396" t="s">
        <v>43</v>
      </c>
      <c r="C396" s="27">
        <v>109844</v>
      </c>
      <c r="D396" s="27">
        <v>105320</v>
      </c>
      <c r="E396" s="27">
        <v>56821</v>
      </c>
      <c r="F396" s="27">
        <v>64155</v>
      </c>
      <c r="G396" s="27">
        <v>60428</v>
      </c>
      <c r="H396" s="27">
        <v>55302</v>
      </c>
      <c r="I396" s="57">
        <f>H396</f>
        <v>55302</v>
      </c>
      <c r="J396" s="57">
        <f t="shared" ref="J396:L396" si="124">I396</f>
        <v>55302</v>
      </c>
      <c r="K396" s="57">
        <f t="shared" si="124"/>
        <v>55302</v>
      </c>
      <c r="L396" s="57">
        <f t="shared" si="124"/>
        <v>55302</v>
      </c>
      <c r="M396" s="57"/>
      <c r="N396" s="38">
        <v>59475</v>
      </c>
      <c r="O396" s="57"/>
      <c r="P396" s="27">
        <v>57856</v>
      </c>
      <c r="Q396" s="27">
        <v>55302</v>
      </c>
      <c r="R396" s="40"/>
      <c r="S396" s="40"/>
      <c r="T396" s="40"/>
      <c r="U396" s="40"/>
    </row>
    <row r="397" spans="2:21" x14ac:dyDescent="0.3">
      <c r="C397" s="54"/>
      <c r="D397" s="54"/>
      <c r="E397" s="54"/>
      <c r="F397" s="54"/>
      <c r="G397" s="54"/>
      <c r="H397" s="54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</row>
    <row r="398" spans="2:21" x14ac:dyDescent="0.3">
      <c r="C398" s="54"/>
      <c r="D398" s="54"/>
      <c r="E398" s="54"/>
      <c r="F398" s="54"/>
      <c r="G398" s="54"/>
      <c r="H398" s="54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</row>
    <row r="399" spans="2:21" s="76" customFormat="1" x14ac:dyDescent="0.3">
      <c r="C399" s="77"/>
      <c r="D399" s="77"/>
      <c r="E399" s="77"/>
      <c r="F399" s="77"/>
      <c r="G399" s="77"/>
      <c r="H399" s="77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</row>
    <row r="400" spans="2:21" x14ac:dyDescent="0.3">
      <c r="C400" s="54"/>
      <c r="D400" s="54"/>
      <c r="E400" s="54"/>
      <c r="F400" s="54"/>
      <c r="G400" s="54"/>
      <c r="H400" s="54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</row>
    <row r="401" spans="2:21" x14ac:dyDescent="0.3">
      <c r="B401" t="s">
        <v>44</v>
      </c>
      <c r="C401" s="27">
        <v>16317044</v>
      </c>
      <c r="D401" s="27">
        <v>17015236</v>
      </c>
      <c r="E401" s="27">
        <v>22524658</v>
      </c>
      <c r="F401" s="27">
        <v>25386630</v>
      </c>
      <c r="G401" s="27">
        <v>24744634</v>
      </c>
      <c r="H401" s="27">
        <v>27446607</v>
      </c>
      <c r="I401" s="57">
        <f>I419</f>
        <v>28268181.5</v>
      </c>
      <c r="J401" s="57">
        <f t="shared" ref="J401:L401" si="125">J419</f>
        <v>29212223</v>
      </c>
      <c r="K401" s="57">
        <f t="shared" si="125"/>
        <v>30197343.225000001</v>
      </c>
      <c r="L401" s="57">
        <f t="shared" si="125"/>
        <v>31229665.525000002</v>
      </c>
      <c r="M401" s="57"/>
      <c r="N401" s="38">
        <v>26538514</v>
      </c>
      <c r="O401" s="57"/>
      <c r="P401" s="27">
        <v>26649043</v>
      </c>
      <c r="Q401" s="27">
        <v>27446607</v>
      </c>
      <c r="R401" s="40"/>
      <c r="S401" s="40"/>
      <c r="T401" s="40"/>
      <c r="U401" s="40"/>
    </row>
    <row r="402" spans="2:21" x14ac:dyDescent="0.3">
      <c r="C402" s="54"/>
      <c r="D402" s="54"/>
      <c r="E402" s="54"/>
      <c r="F402" s="54"/>
      <c r="G402" s="54"/>
      <c r="H402" s="54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</row>
    <row r="403" spans="2:21" x14ac:dyDescent="0.3">
      <c r="B403" t="s">
        <v>320</v>
      </c>
      <c r="C403" s="54"/>
      <c r="D403" s="54"/>
      <c r="E403" s="54"/>
      <c r="F403" s="54"/>
      <c r="G403" s="54"/>
      <c r="H403" s="54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</row>
    <row r="404" spans="2:21" x14ac:dyDescent="0.3">
      <c r="B404" t="s">
        <v>314</v>
      </c>
      <c r="C404" s="27">
        <v>18861131</v>
      </c>
      <c r="D404" s="27">
        <v>24218194</v>
      </c>
      <c r="E404" s="27">
        <v>26133242</v>
      </c>
      <c r="F404" s="27">
        <v>34132719</v>
      </c>
      <c r="G404" s="27">
        <v>38993957</v>
      </c>
      <c r="H404" s="27">
        <v>41078725</v>
      </c>
      <c r="I404" s="57">
        <f>H409</f>
        <v>47202075</v>
      </c>
      <c r="J404" s="57">
        <f t="shared" ref="J404:L404" si="126">I409</f>
        <v>49256011.25</v>
      </c>
      <c r="K404" s="57">
        <f t="shared" si="126"/>
        <v>51616115</v>
      </c>
      <c r="L404" s="57">
        <f t="shared" si="126"/>
        <v>54078915.5625</v>
      </c>
      <c r="M404" s="40"/>
      <c r="N404" s="40"/>
      <c r="O404" s="40"/>
      <c r="P404" s="40"/>
      <c r="Q404" s="40"/>
      <c r="R404" s="40"/>
      <c r="S404" s="40"/>
      <c r="T404" s="40"/>
      <c r="U404" s="40"/>
    </row>
    <row r="405" spans="2:21" x14ac:dyDescent="0.3">
      <c r="B405" t="s">
        <v>315</v>
      </c>
      <c r="C405" s="27">
        <v>2163733</v>
      </c>
      <c r="D405" s="27">
        <v>2081002</v>
      </c>
      <c r="E405" s="27">
        <v>2673746</v>
      </c>
      <c r="F405" s="27">
        <v>1948928</v>
      </c>
      <c r="G405" s="27">
        <v>2188054</v>
      </c>
      <c r="H405" s="27">
        <v>4748991</v>
      </c>
      <c r="I405" s="57">
        <f>H404*I423</f>
        <v>2053936.25</v>
      </c>
      <c r="J405" s="57">
        <f t="shared" ref="J405:L405" si="127">I404*J423</f>
        <v>2360103.75</v>
      </c>
      <c r="K405" s="57">
        <f t="shared" si="127"/>
        <v>2462800.5625</v>
      </c>
      <c r="L405" s="57">
        <f t="shared" si="127"/>
        <v>2580805.75</v>
      </c>
      <c r="M405" s="40"/>
      <c r="N405" s="40"/>
      <c r="O405" s="40"/>
      <c r="P405" s="40"/>
      <c r="Q405" s="40"/>
      <c r="R405" s="40"/>
      <c r="S405" s="40"/>
      <c r="T405" s="40"/>
      <c r="U405" s="40"/>
    </row>
    <row r="406" spans="2:21" x14ac:dyDescent="0.3">
      <c r="B406" t="s">
        <v>316</v>
      </c>
      <c r="C406" s="27">
        <v>-284381</v>
      </c>
      <c r="D406" s="27">
        <v>-296116</v>
      </c>
      <c r="E406" s="27">
        <v>-142690</v>
      </c>
      <c r="F406" s="27">
        <v>-186877</v>
      </c>
      <c r="G406" s="27">
        <v>-244889</v>
      </c>
      <c r="H406" s="27">
        <v>-281155</v>
      </c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</row>
    <row r="407" spans="2:21" x14ac:dyDescent="0.3">
      <c r="B407" t="s">
        <v>317</v>
      </c>
      <c r="C407" s="27">
        <v>-11367</v>
      </c>
      <c r="D407" s="27">
        <v>131362</v>
      </c>
      <c r="E407" s="27">
        <v>-60358</v>
      </c>
      <c r="F407" s="27">
        <v>84726</v>
      </c>
      <c r="G407" s="27">
        <v>144327</v>
      </c>
      <c r="H407" s="27">
        <v>1656960</v>
      </c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</row>
    <row r="408" spans="2:21" x14ac:dyDescent="0.3">
      <c r="B408" t="s">
        <v>318</v>
      </c>
      <c r="C408" s="54">
        <f>-356903+3845981</f>
        <v>3489078</v>
      </c>
      <c r="D408" s="27">
        <v>-1200</v>
      </c>
      <c r="E408" s="54">
        <f>5076844+525137-73202</f>
        <v>5528779</v>
      </c>
      <c r="F408" s="54">
        <f>-629302+3684535-39872-900</f>
        <v>3014461</v>
      </c>
      <c r="G408" s="27">
        <v>-2724</v>
      </c>
      <c r="H408" s="27">
        <v>-1446</v>
      </c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</row>
    <row r="409" spans="2:21" x14ac:dyDescent="0.3">
      <c r="B409" t="s">
        <v>319</v>
      </c>
      <c r="C409" s="36">
        <v>24218194</v>
      </c>
      <c r="D409" s="36">
        <v>26133242</v>
      </c>
      <c r="E409" s="36">
        <v>34132719</v>
      </c>
      <c r="F409" s="36">
        <v>38993957</v>
      </c>
      <c r="G409" s="36">
        <v>41078725</v>
      </c>
      <c r="H409" s="36">
        <v>47202075</v>
      </c>
      <c r="I409" s="58">
        <f>I404+I405-I406+I407+I408</f>
        <v>49256011.25</v>
      </c>
      <c r="J409" s="58">
        <f t="shared" ref="J409:L409" si="128">J404+J405-J406+J407+J408</f>
        <v>51616115</v>
      </c>
      <c r="K409" s="58">
        <f t="shared" si="128"/>
        <v>54078915.5625</v>
      </c>
      <c r="L409" s="58">
        <f t="shared" si="128"/>
        <v>56659721.3125</v>
      </c>
      <c r="M409" s="40"/>
      <c r="N409" s="40"/>
      <c r="O409" s="40"/>
      <c r="P409" s="40"/>
      <c r="Q409" s="40"/>
      <c r="R409" s="40"/>
      <c r="S409" s="40"/>
      <c r="T409" s="40"/>
      <c r="U409" s="40"/>
    </row>
    <row r="410" spans="2:21" x14ac:dyDescent="0.3">
      <c r="C410" s="54"/>
      <c r="D410" s="54"/>
      <c r="E410" s="54"/>
      <c r="F410" s="54"/>
      <c r="G410" s="54"/>
      <c r="H410" s="54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</row>
    <row r="411" spans="2:21" x14ac:dyDescent="0.3">
      <c r="B411" t="s">
        <v>321</v>
      </c>
      <c r="C411" s="54"/>
      <c r="D411" s="54"/>
      <c r="E411" s="54"/>
      <c r="F411" s="54"/>
      <c r="G411" s="54"/>
      <c r="H411" s="54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</row>
    <row r="412" spans="2:21" x14ac:dyDescent="0.3">
      <c r="B412" t="s">
        <v>314</v>
      </c>
      <c r="C412" s="27">
        <v>7291465</v>
      </c>
      <c r="D412" s="27">
        <v>7901150</v>
      </c>
      <c r="E412" s="27">
        <v>9118006</v>
      </c>
      <c r="F412" s="27">
        <v>11608061</v>
      </c>
      <c r="G412" s="27">
        <v>13607327</v>
      </c>
      <c r="H412" s="27">
        <v>16334091</v>
      </c>
      <c r="I412" s="57">
        <f>H417</f>
        <v>19755468</v>
      </c>
      <c r="J412" s="57">
        <f t="shared" ref="J412:L412" si="129">I417</f>
        <v>20987829.75</v>
      </c>
      <c r="K412" s="57">
        <f t="shared" si="129"/>
        <v>22403892</v>
      </c>
      <c r="L412" s="57">
        <f t="shared" si="129"/>
        <v>23881572.337499999</v>
      </c>
      <c r="M412" s="40"/>
      <c r="N412" s="40"/>
      <c r="O412" s="40"/>
      <c r="P412" s="40"/>
      <c r="Q412" s="40"/>
      <c r="R412" s="40"/>
      <c r="S412" s="40"/>
      <c r="T412" s="40"/>
      <c r="U412" s="40"/>
    </row>
    <row r="413" spans="2:21" x14ac:dyDescent="0.3">
      <c r="B413" t="s">
        <v>322</v>
      </c>
      <c r="C413" s="27">
        <v>1185698</v>
      </c>
      <c r="D413" s="27">
        <v>1383581</v>
      </c>
      <c r="E413" s="27">
        <v>2588863</v>
      </c>
      <c r="F413" s="27">
        <v>2791740</v>
      </c>
      <c r="G413" s="27">
        <v>2903408</v>
      </c>
      <c r="H413" s="27">
        <v>3131250</v>
      </c>
      <c r="I413" s="57">
        <f>H404*I424</f>
        <v>1232361.75</v>
      </c>
      <c r="J413" s="57">
        <f t="shared" ref="J413:L413" si="130">I404*J424</f>
        <v>1416062.25</v>
      </c>
      <c r="K413" s="57">
        <f t="shared" si="130"/>
        <v>1477680.3374999999</v>
      </c>
      <c r="L413" s="57">
        <f t="shared" si="130"/>
        <v>1548483.45</v>
      </c>
      <c r="M413" s="40"/>
      <c r="N413" s="40"/>
      <c r="O413" s="40"/>
      <c r="P413" s="40"/>
      <c r="Q413" s="40"/>
      <c r="R413" s="40"/>
      <c r="S413" s="40"/>
      <c r="T413" s="40"/>
      <c r="U413" s="40"/>
    </row>
    <row r="414" spans="2:21" x14ac:dyDescent="0.3">
      <c r="B414" t="s">
        <v>316</v>
      </c>
      <c r="C414" s="27">
        <v>-207575</v>
      </c>
      <c r="D414" s="27">
        <v>-265704</v>
      </c>
      <c r="E414" s="27">
        <v>-138232</v>
      </c>
      <c r="F414" s="27">
        <v>-183796</v>
      </c>
      <c r="G414" s="27">
        <v>-217004</v>
      </c>
      <c r="H414" s="27">
        <v>-253417</v>
      </c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</row>
    <row r="415" spans="2:21" x14ac:dyDescent="0.3">
      <c r="B415" t="s">
        <v>317</v>
      </c>
      <c r="C415" s="27">
        <v>-11535</v>
      </c>
      <c r="D415" s="27">
        <v>99052</v>
      </c>
      <c r="E415" s="27">
        <v>-9441</v>
      </c>
      <c r="F415" s="27">
        <v>20624</v>
      </c>
      <c r="G415" s="27">
        <v>40441</v>
      </c>
      <c r="H415" s="27">
        <v>543541</v>
      </c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</row>
    <row r="416" spans="2:21" x14ac:dyDescent="0.3">
      <c r="B416" t="s">
        <v>318</v>
      </c>
      <c r="C416" s="27">
        <v>-356903</v>
      </c>
      <c r="D416" s="27">
        <v>-73</v>
      </c>
      <c r="E416" s="54">
        <f>-66480+25636+89709</f>
        <v>48865</v>
      </c>
      <c r="F416" s="54">
        <f>-629302</f>
        <v>-629302</v>
      </c>
      <c r="G416" s="27">
        <v>-81</v>
      </c>
      <c r="H416" s="27">
        <v>3</v>
      </c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</row>
    <row r="417" spans="2:21" x14ac:dyDescent="0.3">
      <c r="B417" t="s">
        <v>319</v>
      </c>
      <c r="C417" s="36">
        <v>7901150</v>
      </c>
      <c r="D417" s="36">
        <v>9118006</v>
      </c>
      <c r="E417" s="36">
        <v>11608061</v>
      </c>
      <c r="F417" s="36">
        <v>13607327</v>
      </c>
      <c r="G417" s="36">
        <v>16334091</v>
      </c>
      <c r="H417" s="36">
        <v>19755468</v>
      </c>
      <c r="I417" s="58">
        <f>I412+I413</f>
        <v>20987829.75</v>
      </c>
      <c r="J417" s="58">
        <f t="shared" ref="J417:L417" si="131">J412+J413</f>
        <v>22403892</v>
      </c>
      <c r="K417" s="58">
        <f t="shared" si="131"/>
        <v>23881572.337499999</v>
      </c>
      <c r="L417" s="58">
        <f t="shared" si="131"/>
        <v>25430055.787499998</v>
      </c>
      <c r="M417" s="40"/>
      <c r="N417" s="40"/>
      <c r="O417" s="40"/>
      <c r="P417" s="40"/>
      <c r="Q417" s="40"/>
      <c r="R417" s="40"/>
      <c r="S417" s="40"/>
      <c r="T417" s="40"/>
      <c r="U417" s="40"/>
    </row>
    <row r="418" spans="2:21" x14ac:dyDescent="0.3">
      <c r="C418" s="54"/>
      <c r="D418" s="54"/>
      <c r="E418" s="54"/>
      <c r="F418" s="54"/>
      <c r="G418" s="54"/>
      <c r="H418" s="54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</row>
    <row r="419" spans="2:21" ht="15" thickBot="1" x14ac:dyDescent="0.35">
      <c r="B419" t="s">
        <v>323</v>
      </c>
      <c r="C419" s="84">
        <f t="shared" ref="C419:G419" si="132">C409-C417</f>
        <v>16317044</v>
      </c>
      <c r="D419" s="84">
        <f t="shared" si="132"/>
        <v>17015236</v>
      </c>
      <c r="E419" s="84">
        <f t="shared" si="132"/>
        <v>22524658</v>
      </c>
      <c r="F419" s="84">
        <f t="shared" si="132"/>
        <v>25386630</v>
      </c>
      <c r="G419" s="84">
        <f t="shared" si="132"/>
        <v>24744634</v>
      </c>
      <c r="H419" s="84">
        <f>H409-H417</f>
        <v>27446607</v>
      </c>
      <c r="I419" s="84">
        <f t="shared" ref="I419:L419" si="133">I409-I417</f>
        <v>28268181.5</v>
      </c>
      <c r="J419" s="84">
        <f t="shared" si="133"/>
        <v>29212223</v>
      </c>
      <c r="K419" s="84">
        <f t="shared" si="133"/>
        <v>30197343.225000001</v>
      </c>
      <c r="L419" s="84">
        <f t="shared" si="133"/>
        <v>31229665.525000002</v>
      </c>
      <c r="M419" s="40"/>
      <c r="N419" s="40"/>
      <c r="O419" s="40"/>
      <c r="P419" s="40"/>
      <c r="Q419" s="40"/>
      <c r="R419" s="40"/>
      <c r="S419" s="40"/>
      <c r="T419" s="40"/>
      <c r="U419" s="40"/>
    </row>
    <row r="420" spans="2:21" ht="15" thickTop="1" x14ac:dyDescent="0.3">
      <c r="C420" s="54"/>
      <c r="D420" s="54"/>
      <c r="E420" s="54"/>
      <c r="F420" s="54"/>
      <c r="G420" s="54"/>
      <c r="H420" s="54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</row>
    <row r="421" spans="2:21" s="33" customFormat="1" x14ac:dyDescent="0.3">
      <c r="B421" s="33" t="s">
        <v>179</v>
      </c>
      <c r="C421" s="54">
        <f t="shared" ref="C421:G421" si="134">SUM(C404:C408)-C409+SUM(C412:C416)-C417+C419-C401</f>
        <v>0</v>
      </c>
      <c r="D421" s="54">
        <f t="shared" si="134"/>
        <v>0</v>
      </c>
      <c r="E421" s="54">
        <f t="shared" si="134"/>
        <v>0</v>
      </c>
      <c r="F421" s="54">
        <f t="shared" si="134"/>
        <v>0</v>
      </c>
      <c r="G421" s="54">
        <f t="shared" si="134"/>
        <v>0</v>
      </c>
      <c r="H421" s="54">
        <f>SUM(H404:H408)-H409+SUM(H412:H416)-H417+H419-H401</f>
        <v>0</v>
      </c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</row>
    <row r="422" spans="2:21" x14ac:dyDescent="0.3">
      <c r="C422" s="54"/>
      <c r="D422" s="54"/>
      <c r="E422" s="54"/>
      <c r="F422" s="54"/>
      <c r="G422" s="54"/>
      <c r="H422" s="54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</row>
    <row r="423" spans="2:21" x14ac:dyDescent="0.3">
      <c r="B423" t="s">
        <v>384</v>
      </c>
      <c r="C423" s="54"/>
      <c r="D423" s="68">
        <f t="shared" ref="D423:G423" si="135">D405/D404</f>
        <v>8.5927216538111806E-2</v>
      </c>
      <c r="E423" s="68">
        <f t="shared" si="135"/>
        <v>0.10231206675390676</v>
      </c>
      <c r="F423" s="68">
        <f t="shared" si="135"/>
        <v>5.7098527661977351E-2</v>
      </c>
      <c r="G423" s="68">
        <f t="shared" si="135"/>
        <v>5.6112643300088777E-2</v>
      </c>
      <c r="H423" s="68">
        <f>H405/H404</f>
        <v>0.11560706910937474</v>
      </c>
      <c r="I423" s="93">
        <v>0.05</v>
      </c>
      <c r="J423" s="93">
        <v>0.05</v>
      </c>
      <c r="K423" s="93">
        <v>0.05</v>
      </c>
      <c r="L423" s="93">
        <v>0.05</v>
      </c>
      <c r="M423" s="40"/>
      <c r="N423" s="40"/>
      <c r="O423" s="40"/>
      <c r="P423" s="40"/>
      <c r="Q423" s="40"/>
      <c r="R423" s="40"/>
      <c r="S423" s="40"/>
      <c r="T423" s="40"/>
      <c r="U423" s="40"/>
    </row>
    <row r="424" spans="2:21" x14ac:dyDescent="0.3">
      <c r="B424" t="s">
        <v>385</v>
      </c>
      <c r="C424" s="54"/>
      <c r="D424" s="68">
        <f t="shared" ref="D424:G424" si="136">D413/D404</f>
        <v>5.7129817359626404E-2</v>
      </c>
      <c r="E424" s="68">
        <f t="shared" si="136"/>
        <v>9.906398142258814E-2</v>
      </c>
      <c r="F424" s="68">
        <f t="shared" si="136"/>
        <v>8.1790729885890423E-2</v>
      </c>
      <c r="G424" s="68">
        <f t="shared" si="136"/>
        <v>7.4457896129905457E-2</v>
      </c>
      <c r="H424" s="68">
        <f>H413/H404</f>
        <v>7.622558879322569E-2</v>
      </c>
      <c r="I424" s="93">
        <v>0.03</v>
      </c>
      <c r="J424" s="93">
        <v>0.03</v>
      </c>
      <c r="K424" s="93">
        <v>0.03</v>
      </c>
      <c r="L424" s="93">
        <v>0.03</v>
      </c>
      <c r="M424" s="40"/>
      <c r="N424" s="40"/>
      <c r="O424" s="40"/>
      <c r="P424" s="40"/>
      <c r="Q424" s="40"/>
      <c r="R424" s="40"/>
      <c r="S424" s="40"/>
      <c r="T424" s="40"/>
      <c r="U424" s="40"/>
    </row>
    <row r="425" spans="2:21" x14ac:dyDescent="0.3">
      <c r="C425" s="54"/>
      <c r="D425" s="54"/>
      <c r="E425" s="54"/>
      <c r="F425" s="54"/>
      <c r="G425" s="54"/>
      <c r="H425" s="54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</row>
    <row r="426" spans="2:21" x14ac:dyDescent="0.3">
      <c r="C426" s="54"/>
      <c r="D426" s="54"/>
      <c r="E426" s="54"/>
      <c r="F426" s="54"/>
      <c r="G426" s="54"/>
      <c r="H426" s="54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</row>
    <row r="427" spans="2:21" x14ac:dyDescent="0.3">
      <c r="C427" s="54"/>
      <c r="D427" s="54"/>
      <c r="E427" s="54"/>
      <c r="F427" s="54"/>
      <c r="G427" s="54"/>
      <c r="H427" s="54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</row>
    <row r="428" spans="2:21" s="7" customFormat="1" x14ac:dyDescent="0.3">
      <c r="C428" s="62"/>
      <c r="D428" s="62"/>
      <c r="E428" s="62"/>
      <c r="F428" s="62"/>
      <c r="G428" s="62"/>
      <c r="H428" s="62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</row>
    <row r="429" spans="2:21" x14ac:dyDescent="0.3">
      <c r="C429" s="54"/>
      <c r="D429" s="54"/>
      <c r="E429" s="54"/>
      <c r="F429" s="54"/>
      <c r="G429" s="54"/>
      <c r="H429" s="54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</row>
    <row r="430" spans="2:21" x14ac:dyDescent="0.3">
      <c r="B430" t="s">
        <v>45</v>
      </c>
      <c r="C430" s="27">
        <v>104516</v>
      </c>
      <c r="D430" s="27">
        <v>103064</v>
      </c>
      <c r="E430" s="27">
        <v>46350</v>
      </c>
      <c r="F430" s="27">
        <v>67116</v>
      </c>
      <c r="G430" s="27">
        <v>72400</v>
      </c>
      <c r="H430" s="27">
        <v>80350</v>
      </c>
      <c r="I430" s="57">
        <f>H430*(1+I431)</f>
        <v>642800</v>
      </c>
      <c r="J430" s="57">
        <f t="shared" ref="J430:L430" si="137">I430*(1+J431)</f>
        <v>707080</v>
      </c>
      <c r="K430" s="57">
        <f t="shared" si="137"/>
        <v>777788.00000000012</v>
      </c>
      <c r="L430" s="57">
        <f t="shared" si="137"/>
        <v>855566.80000000016</v>
      </c>
      <c r="M430" s="57"/>
      <c r="N430" s="38">
        <v>545850</v>
      </c>
      <c r="O430" s="57"/>
      <c r="P430" s="27">
        <v>424550</v>
      </c>
      <c r="Q430" s="27">
        <v>80350</v>
      </c>
      <c r="R430" s="40"/>
      <c r="S430" s="40"/>
      <c r="T430" s="40"/>
      <c r="U430" s="40"/>
    </row>
    <row r="431" spans="2:21" x14ac:dyDescent="0.3">
      <c r="B431" t="s">
        <v>367</v>
      </c>
      <c r="C431" s="54"/>
      <c r="D431" s="68">
        <f t="shared" ref="D431:G431" si="138">D430/C430-1</f>
        <v>-1.3892609743962669E-2</v>
      </c>
      <c r="E431" s="68">
        <f t="shared" si="138"/>
        <v>-0.55027943801909496</v>
      </c>
      <c r="F431" s="68">
        <f t="shared" si="138"/>
        <v>0.44802588996763748</v>
      </c>
      <c r="G431" s="68">
        <f t="shared" si="138"/>
        <v>7.8729364086060016E-2</v>
      </c>
      <c r="H431" s="68">
        <f>H430/G430-1</f>
        <v>0.10980662983425415</v>
      </c>
      <c r="I431" s="93">
        <v>7</v>
      </c>
      <c r="J431" s="93">
        <v>0.1</v>
      </c>
      <c r="K431" s="93">
        <v>0.1</v>
      </c>
      <c r="L431" s="93">
        <v>0.1</v>
      </c>
      <c r="M431" s="40"/>
      <c r="N431" s="40"/>
      <c r="O431" s="40"/>
      <c r="P431" s="40"/>
      <c r="Q431" s="40"/>
      <c r="R431" s="40"/>
      <c r="S431" s="40"/>
      <c r="T431" s="40"/>
      <c r="U431" s="40"/>
    </row>
    <row r="432" spans="2:21" x14ac:dyDescent="0.3">
      <c r="C432" s="54"/>
      <c r="D432" s="54"/>
      <c r="E432" s="54"/>
      <c r="F432" s="54"/>
      <c r="G432" s="54"/>
      <c r="H432" s="54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</row>
    <row r="433" spans="2:21" s="7" customFormat="1" x14ac:dyDescent="0.3">
      <c r="C433" s="62"/>
      <c r="D433" s="62"/>
      <c r="E433" s="62"/>
      <c r="F433" s="62"/>
      <c r="G433" s="62"/>
      <c r="H433" s="62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</row>
    <row r="434" spans="2:21" x14ac:dyDescent="0.3">
      <c r="C434" s="54"/>
      <c r="D434" s="54"/>
      <c r="E434" s="54"/>
      <c r="F434" s="54"/>
      <c r="G434" s="54"/>
      <c r="H434" s="54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</row>
    <row r="435" spans="2:21" x14ac:dyDescent="0.3">
      <c r="B435" t="s">
        <v>46</v>
      </c>
      <c r="C435" s="27">
        <v>1251226</v>
      </c>
      <c r="D435" s="27">
        <v>1433931</v>
      </c>
      <c r="E435" s="27">
        <v>1645714</v>
      </c>
      <c r="F435" s="27">
        <v>1800516</v>
      </c>
      <c r="G435" s="27">
        <v>2272639</v>
      </c>
      <c r="H435" s="27">
        <v>4113200</v>
      </c>
      <c r="I435" s="57">
        <f>I447-I453</f>
        <v>4090774.4800000004</v>
      </c>
      <c r="J435" s="57">
        <f t="shared" ref="J435:L435" si="139">J447-J453</f>
        <v>4409448.7120000012</v>
      </c>
      <c r="K435" s="57">
        <f t="shared" si="139"/>
        <v>7206711.8784000017</v>
      </c>
      <c r="L435" s="57">
        <f t="shared" si="139"/>
        <v>7793697.8688000012</v>
      </c>
      <c r="M435" s="57"/>
      <c r="N435" s="38">
        <v>4061409</v>
      </c>
      <c r="O435" s="57"/>
      <c r="P435" s="27">
        <v>4042878</v>
      </c>
      <c r="Q435" s="27">
        <v>4113200</v>
      </c>
      <c r="R435" s="40"/>
      <c r="S435" s="40"/>
      <c r="T435" s="40"/>
      <c r="U435" s="40"/>
    </row>
    <row r="436" spans="2:21" x14ac:dyDescent="0.3">
      <c r="C436" s="54"/>
      <c r="D436" s="54"/>
      <c r="E436" s="54"/>
      <c r="F436" s="54"/>
      <c r="G436" s="54"/>
      <c r="H436" s="54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</row>
    <row r="437" spans="2:21" x14ac:dyDescent="0.3">
      <c r="B437" t="s">
        <v>324</v>
      </c>
      <c r="C437" s="27">
        <v>539408</v>
      </c>
      <c r="D437" s="27">
        <v>698913</v>
      </c>
      <c r="E437" s="27">
        <v>824816</v>
      </c>
      <c r="F437" s="27">
        <v>773768</v>
      </c>
      <c r="G437" s="27">
        <v>913139</v>
      </c>
      <c r="H437" s="27">
        <v>1984245</v>
      </c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</row>
    <row r="438" spans="2:21" x14ac:dyDescent="0.3">
      <c r="B438" t="s">
        <v>325</v>
      </c>
      <c r="C438" s="27">
        <v>311748</v>
      </c>
      <c r="D438" s="27">
        <v>334954</v>
      </c>
      <c r="E438" s="27">
        <v>375742</v>
      </c>
      <c r="F438" s="27">
        <v>581601</v>
      </c>
      <c r="G438" s="27">
        <v>914353</v>
      </c>
      <c r="H438" s="27">
        <v>1683808</v>
      </c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</row>
    <row r="439" spans="2:21" x14ac:dyDescent="0.3">
      <c r="B439" t="s">
        <v>326</v>
      </c>
      <c r="C439" s="27">
        <v>400045</v>
      </c>
      <c r="D439" s="27">
        <v>400045</v>
      </c>
      <c r="E439" s="27">
        <v>445147</v>
      </c>
      <c r="F439" s="27">
        <v>445147</v>
      </c>
      <c r="G439" s="27">
        <v>445147</v>
      </c>
      <c r="H439" s="27">
        <v>445147</v>
      </c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</row>
    <row r="440" spans="2:21" x14ac:dyDescent="0.3">
      <c r="C440" s="54"/>
      <c r="D440" s="54"/>
      <c r="E440" s="54"/>
      <c r="F440" s="54"/>
      <c r="G440" s="54"/>
      <c r="H440" s="54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</row>
    <row r="441" spans="2:21" s="33" customFormat="1" x14ac:dyDescent="0.3">
      <c r="B441" s="33" t="s">
        <v>179</v>
      </c>
      <c r="C441" s="54">
        <f t="shared" ref="C441:G441" si="140">SUM(C437:C439)-C435</f>
        <v>-25</v>
      </c>
      <c r="D441" s="54">
        <f t="shared" si="140"/>
        <v>-19</v>
      </c>
      <c r="E441" s="54">
        <f t="shared" si="140"/>
        <v>-9</v>
      </c>
      <c r="F441" s="54">
        <f t="shared" si="140"/>
        <v>0</v>
      </c>
      <c r="G441" s="54">
        <f t="shared" si="140"/>
        <v>0</v>
      </c>
      <c r="H441" s="54">
        <f>SUM(H437:H439)-H435</f>
        <v>0</v>
      </c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</row>
    <row r="442" spans="2:21" x14ac:dyDescent="0.3">
      <c r="C442" s="54"/>
      <c r="D442" s="54"/>
      <c r="E442" s="54"/>
      <c r="F442" s="54"/>
      <c r="G442" s="54"/>
      <c r="H442" s="54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</row>
    <row r="443" spans="2:21" x14ac:dyDescent="0.3">
      <c r="B443" t="s">
        <v>327</v>
      </c>
      <c r="C443" s="54"/>
      <c r="D443" s="54"/>
      <c r="E443" s="54"/>
      <c r="F443" s="54"/>
      <c r="G443" s="54"/>
      <c r="H443" s="54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</row>
    <row r="444" spans="2:21" x14ac:dyDescent="0.3">
      <c r="B444" t="s">
        <v>314</v>
      </c>
      <c r="C444" s="27">
        <v>1682677</v>
      </c>
      <c r="D444" s="27">
        <v>1942915</v>
      </c>
      <c r="E444" s="27">
        <v>2134021</v>
      </c>
      <c r="F444" s="27">
        <v>2522952</v>
      </c>
      <c r="G444" s="27">
        <v>2789928</v>
      </c>
      <c r="H444" s="27">
        <v>3224572</v>
      </c>
      <c r="I444" s="57">
        <f>H447</f>
        <v>4912819</v>
      </c>
      <c r="J444" s="57">
        <f t="shared" ref="J444:L444" si="141">I447</f>
        <v>7170019.4000000004</v>
      </c>
      <c r="K444" s="57">
        <f t="shared" si="141"/>
        <v>7759557.6800000006</v>
      </c>
      <c r="L444" s="57">
        <f t="shared" si="141"/>
        <v>10627565.440000001</v>
      </c>
      <c r="M444" s="40"/>
      <c r="N444" s="40"/>
      <c r="O444" s="40"/>
      <c r="P444" s="40"/>
      <c r="Q444" s="40"/>
      <c r="R444" s="40"/>
      <c r="S444" s="40"/>
      <c r="T444" s="40"/>
      <c r="U444" s="40"/>
    </row>
    <row r="445" spans="2:21" x14ac:dyDescent="0.3">
      <c r="B445" t="s">
        <v>328</v>
      </c>
      <c r="C445" s="27">
        <v>267071</v>
      </c>
      <c r="D445" s="27">
        <v>378969</v>
      </c>
      <c r="E445" s="27">
        <v>339200</v>
      </c>
      <c r="F445" s="27">
        <v>229494</v>
      </c>
      <c r="G445" s="27">
        <v>361616</v>
      </c>
      <c r="H445" s="27">
        <v>1255591</v>
      </c>
      <c r="I445" s="57">
        <f>H444*I457</f>
        <v>2257200.4</v>
      </c>
      <c r="J445" s="57">
        <f t="shared" ref="J445:L445" si="142">I444*J457</f>
        <v>589538.28</v>
      </c>
      <c r="K445" s="57">
        <f t="shared" si="142"/>
        <v>2868007.7600000002</v>
      </c>
      <c r="L445" s="57">
        <f t="shared" si="142"/>
        <v>931146.9216</v>
      </c>
      <c r="M445" s="40"/>
      <c r="N445" s="40"/>
      <c r="O445" s="40"/>
      <c r="P445" s="40"/>
      <c r="Q445" s="40"/>
      <c r="R445" s="40"/>
      <c r="S445" s="40"/>
      <c r="T445" s="40"/>
      <c r="U445" s="40"/>
    </row>
    <row r="446" spans="2:21" x14ac:dyDescent="0.3">
      <c r="B446" t="s">
        <v>316</v>
      </c>
      <c r="C446" s="27">
        <v>-8355</v>
      </c>
      <c r="D446" s="27">
        <v>-215892</v>
      </c>
      <c r="E446" s="27">
        <v>0</v>
      </c>
      <c r="F446" s="27">
        <v>-280</v>
      </c>
      <c r="G446" s="27">
        <v>-41845</v>
      </c>
      <c r="H446" s="27">
        <v>-28185</v>
      </c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</row>
    <row r="447" spans="2:21" x14ac:dyDescent="0.3">
      <c r="B447" t="s">
        <v>330</v>
      </c>
      <c r="C447" s="27">
        <v>1942915</v>
      </c>
      <c r="D447" s="27">
        <v>2134021</v>
      </c>
      <c r="E447" s="27">
        <v>2522952</v>
      </c>
      <c r="F447" s="27">
        <v>2789928</v>
      </c>
      <c r="G447" s="27">
        <v>3224572</v>
      </c>
      <c r="H447" s="27">
        <v>4912819</v>
      </c>
      <c r="I447" s="57">
        <f>I444+I445+I446</f>
        <v>7170019.4000000004</v>
      </c>
      <c r="J447" s="57">
        <f t="shared" ref="J447:L447" si="143">J444+J445+J446</f>
        <v>7759557.6800000006</v>
      </c>
      <c r="K447" s="57">
        <f t="shared" si="143"/>
        <v>10627565.440000001</v>
      </c>
      <c r="L447" s="57">
        <f t="shared" si="143"/>
        <v>11558712.3616</v>
      </c>
      <c r="M447" s="40"/>
      <c r="N447" s="40"/>
      <c r="O447" s="40"/>
      <c r="P447" s="40"/>
      <c r="Q447" s="40"/>
      <c r="R447" s="40"/>
      <c r="S447" s="40"/>
      <c r="T447" s="40"/>
      <c r="U447" s="40"/>
    </row>
    <row r="448" spans="2:21" x14ac:dyDescent="0.3">
      <c r="C448" s="54"/>
      <c r="D448" s="54"/>
      <c r="E448" s="54"/>
      <c r="F448" s="54"/>
      <c r="G448" s="54"/>
      <c r="H448" s="54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</row>
    <row r="449" spans="2:21" x14ac:dyDescent="0.3">
      <c r="B449" t="s">
        <v>329</v>
      </c>
      <c r="C449" s="54"/>
      <c r="D449" s="54"/>
      <c r="E449" s="54"/>
      <c r="F449" s="54"/>
      <c r="G449" s="54"/>
      <c r="H449" s="54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</row>
    <row r="450" spans="2:21" x14ac:dyDescent="0.3">
      <c r="B450" t="s">
        <v>314</v>
      </c>
      <c r="C450" s="27">
        <v>1176543</v>
      </c>
      <c r="D450" s="27">
        <v>1403507</v>
      </c>
      <c r="E450" s="27">
        <v>1435108</v>
      </c>
      <c r="F450" s="27">
        <v>1698136</v>
      </c>
      <c r="G450" s="27">
        <v>2016160</v>
      </c>
      <c r="H450" s="27">
        <v>2311433</v>
      </c>
      <c r="I450" s="57">
        <f>H453</f>
        <v>2928574</v>
      </c>
      <c r="J450" s="57">
        <f t="shared" ref="J450:L450" si="144">I453</f>
        <v>3079244.92</v>
      </c>
      <c r="K450" s="57">
        <f t="shared" si="144"/>
        <v>3350108.9679999999</v>
      </c>
      <c r="L450" s="57">
        <f t="shared" si="144"/>
        <v>3420853.5615999997</v>
      </c>
      <c r="M450" s="40"/>
      <c r="N450" s="40"/>
      <c r="O450" s="40"/>
      <c r="P450" s="40"/>
      <c r="Q450" s="40"/>
      <c r="R450" s="40"/>
      <c r="S450" s="40"/>
      <c r="T450" s="40"/>
      <c r="U450" s="40"/>
    </row>
    <row r="451" spans="2:21" x14ac:dyDescent="0.3">
      <c r="B451" t="s">
        <v>322</v>
      </c>
      <c r="C451" s="27">
        <v>229764</v>
      </c>
      <c r="D451" s="27">
        <v>218076</v>
      </c>
      <c r="E451" s="27">
        <v>252392</v>
      </c>
      <c r="F451" s="27">
        <v>310946</v>
      </c>
      <c r="G451" s="27">
        <v>316658</v>
      </c>
      <c r="H451" s="27">
        <v>467121</v>
      </c>
      <c r="I451" s="57">
        <f>H445*I458</f>
        <v>150670.91999999998</v>
      </c>
      <c r="J451" s="57">
        <f t="shared" ref="J451:L451" si="145">I445*J458</f>
        <v>270864.04799999995</v>
      </c>
      <c r="K451" s="57">
        <f t="shared" si="145"/>
        <v>70744.593600000007</v>
      </c>
      <c r="L451" s="57">
        <f t="shared" si="145"/>
        <v>344160.93119999999</v>
      </c>
      <c r="M451" s="40"/>
      <c r="N451" s="40"/>
      <c r="O451" s="40"/>
      <c r="P451" s="40"/>
      <c r="Q451" s="40"/>
      <c r="R451" s="40"/>
      <c r="S451" s="40"/>
      <c r="T451" s="40"/>
      <c r="U451" s="40"/>
    </row>
    <row r="452" spans="2:21" x14ac:dyDescent="0.3">
      <c r="B452" t="s">
        <v>316</v>
      </c>
      <c r="C452" s="27">
        <v>-1114</v>
      </c>
      <c r="D452" s="27">
        <v>-202301</v>
      </c>
      <c r="E452" s="27">
        <v>0</v>
      </c>
      <c r="F452" s="27">
        <v>-280</v>
      </c>
      <c r="G452" s="27">
        <v>-24321</v>
      </c>
      <c r="H452" s="27">
        <v>-28185</v>
      </c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</row>
    <row r="453" spans="2:21" x14ac:dyDescent="0.3">
      <c r="B453" t="s">
        <v>330</v>
      </c>
      <c r="C453" s="27">
        <v>1403507</v>
      </c>
      <c r="D453" s="27">
        <v>1435108</v>
      </c>
      <c r="E453" s="27">
        <v>1698136</v>
      </c>
      <c r="F453" s="27">
        <v>2016160</v>
      </c>
      <c r="G453" s="27">
        <v>2311433</v>
      </c>
      <c r="H453" s="27">
        <v>2928574</v>
      </c>
      <c r="I453" s="57">
        <f>I450+I451+I452</f>
        <v>3079244.92</v>
      </c>
      <c r="J453" s="57">
        <f t="shared" ref="J453:L453" si="146">J450+J451+J452</f>
        <v>3350108.9679999999</v>
      </c>
      <c r="K453" s="57">
        <f t="shared" si="146"/>
        <v>3420853.5615999997</v>
      </c>
      <c r="L453" s="57">
        <f t="shared" si="146"/>
        <v>3765014.4927999997</v>
      </c>
      <c r="M453" s="40"/>
      <c r="N453" s="40"/>
      <c r="O453" s="40"/>
      <c r="P453" s="40"/>
      <c r="Q453" s="40"/>
      <c r="R453" s="40"/>
      <c r="S453" s="40"/>
      <c r="T453" s="40"/>
      <c r="U453" s="40"/>
    </row>
    <row r="454" spans="2:21" x14ac:dyDescent="0.3">
      <c r="C454" s="54"/>
      <c r="D454" s="54"/>
      <c r="E454" s="54"/>
      <c r="F454" s="54"/>
      <c r="G454" s="54"/>
      <c r="H454" s="54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</row>
    <row r="455" spans="2:21" s="33" customFormat="1" x14ac:dyDescent="0.3">
      <c r="B455" s="33" t="s">
        <v>179</v>
      </c>
      <c r="C455" s="54">
        <f t="shared" ref="C455:G455" si="147">C447-C453-C437</f>
        <v>0</v>
      </c>
      <c r="D455" s="54">
        <f t="shared" si="147"/>
        <v>0</v>
      </c>
      <c r="E455" s="54">
        <f t="shared" si="147"/>
        <v>0</v>
      </c>
      <c r="F455" s="54">
        <f t="shared" si="147"/>
        <v>0</v>
      </c>
      <c r="G455" s="54">
        <f t="shared" si="147"/>
        <v>0</v>
      </c>
      <c r="H455" s="54">
        <f>H447-H453-H437</f>
        <v>0</v>
      </c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</row>
    <row r="456" spans="2:21" x14ac:dyDescent="0.3">
      <c r="C456" s="54"/>
      <c r="D456" s="54"/>
      <c r="E456" s="54"/>
      <c r="F456" s="54"/>
      <c r="G456" s="54"/>
      <c r="H456" s="54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</row>
    <row r="457" spans="2:21" x14ac:dyDescent="0.3">
      <c r="B457" t="s">
        <v>384</v>
      </c>
      <c r="C457" s="54"/>
      <c r="D457" s="68">
        <f t="shared" ref="D457:G457" si="148">D445/D444</f>
        <v>0.19505176500258631</v>
      </c>
      <c r="E457" s="68">
        <f t="shared" si="148"/>
        <v>0.15894876385939968</v>
      </c>
      <c r="F457" s="68">
        <f t="shared" si="148"/>
        <v>9.0962491557508823E-2</v>
      </c>
      <c r="G457" s="68">
        <f t="shared" si="148"/>
        <v>0.12961481443248715</v>
      </c>
      <c r="H457" s="68">
        <f>H445/H444</f>
        <v>0.38938221878748558</v>
      </c>
      <c r="I457" s="93">
        <v>0.7</v>
      </c>
      <c r="J457" s="93">
        <v>0.12</v>
      </c>
      <c r="K457" s="93">
        <v>0.4</v>
      </c>
      <c r="L457" s="93">
        <v>0.12</v>
      </c>
      <c r="M457" s="40"/>
      <c r="N457" s="40"/>
      <c r="O457" s="40"/>
      <c r="P457" s="40"/>
      <c r="Q457" s="40"/>
      <c r="R457" s="40"/>
      <c r="S457" s="40"/>
      <c r="T457" s="40"/>
      <c r="U457" s="40"/>
    </row>
    <row r="458" spans="2:21" x14ac:dyDescent="0.3">
      <c r="B458" t="s">
        <v>386</v>
      </c>
      <c r="C458" s="54"/>
      <c r="D458" s="68">
        <f t="shared" ref="D458:G458" si="149">D451/D444</f>
        <v>0.11224165750946387</v>
      </c>
      <c r="E458" s="68">
        <f t="shared" si="149"/>
        <v>0.11827062620283493</v>
      </c>
      <c r="F458" s="68">
        <f t="shared" si="149"/>
        <v>0.12324689490723566</v>
      </c>
      <c r="G458" s="68">
        <f t="shared" si="149"/>
        <v>0.11350042008252542</v>
      </c>
      <c r="H458" s="68">
        <f>H451/H444</f>
        <v>0.14486294615223352</v>
      </c>
      <c r="I458" s="93">
        <v>0.12</v>
      </c>
      <c r="J458" s="93">
        <v>0.12</v>
      </c>
      <c r="K458" s="93">
        <v>0.12</v>
      </c>
      <c r="L458" s="93">
        <v>0.12</v>
      </c>
      <c r="M458" s="40"/>
      <c r="N458" s="40"/>
      <c r="O458" s="40"/>
      <c r="P458" s="40"/>
      <c r="Q458" s="40"/>
      <c r="R458" s="40"/>
      <c r="S458" s="40"/>
      <c r="T458" s="40"/>
      <c r="U458" s="40"/>
    </row>
    <row r="459" spans="2:21" x14ac:dyDescent="0.3">
      <c r="C459" s="54"/>
      <c r="D459" s="54"/>
      <c r="E459" s="54"/>
      <c r="F459" s="54"/>
      <c r="G459" s="54"/>
      <c r="H459" s="54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</row>
    <row r="460" spans="2:21" s="7" customFormat="1" x14ac:dyDescent="0.3">
      <c r="C460" s="62"/>
      <c r="D460" s="62"/>
      <c r="E460" s="62"/>
      <c r="F460" s="62"/>
      <c r="G460" s="62"/>
      <c r="H460" s="62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</row>
    <row r="461" spans="2:21" x14ac:dyDescent="0.3">
      <c r="C461" s="54"/>
      <c r="D461" s="54"/>
      <c r="E461" s="54"/>
      <c r="F461" s="54"/>
      <c r="G461" s="54"/>
      <c r="H461" s="54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</row>
    <row r="462" spans="2:21" x14ac:dyDescent="0.3">
      <c r="B462" t="s">
        <v>47</v>
      </c>
      <c r="C462" s="27">
        <v>0</v>
      </c>
      <c r="D462" s="27">
        <v>188487</v>
      </c>
      <c r="E462" s="27">
        <v>530165</v>
      </c>
      <c r="F462" s="27">
        <v>2735566</v>
      </c>
      <c r="G462" s="27">
        <v>10036105</v>
      </c>
      <c r="H462" s="27">
        <v>30727213</v>
      </c>
      <c r="I462" s="57">
        <f>H462*(1+I464)</f>
        <v>32878117.91</v>
      </c>
      <c r="J462" s="57">
        <f t="shared" ref="J462:L462" si="150">I462*(1+J464)</f>
        <v>16439058.955</v>
      </c>
      <c r="K462" s="57">
        <f t="shared" si="150"/>
        <v>17261011.90275</v>
      </c>
      <c r="L462" s="57">
        <f t="shared" si="150"/>
        <v>18124062.4978875</v>
      </c>
      <c r="M462" s="57"/>
      <c r="N462" s="38">
        <v>32664942</v>
      </c>
      <c r="O462" s="57"/>
      <c r="P462" s="27">
        <v>30251431</v>
      </c>
      <c r="Q462" s="27">
        <v>30727213</v>
      </c>
      <c r="R462" s="40"/>
      <c r="S462" s="40"/>
      <c r="T462" s="40"/>
      <c r="U462" s="40"/>
    </row>
    <row r="463" spans="2:21" x14ac:dyDescent="0.3">
      <c r="B463" t="s">
        <v>387</v>
      </c>
      <c r="C463" s="68">
        <f>C462/FS!C28</f>
        <v>0</v>
      </c>
      <c r="D463" s="68">
        <f>D462/FS!D28</f>
        <v>7.222125920568455E-3</v>
      </c>
      <c r="E463" s="68">
        <f>E462/FS!E28</f>
        <v>2.3066802947594264E-2</v>
      </c>
      <c r="F463" s="68">
        <f>F462/FS!F28</f>
        <v>0.1115653188884439</v>
      </c>
      <c r="G463" s="68">
        <f>G462/FS!G28</f>
        <v>0.30451820056749751</v>
      </c>
      <c r="H463" s="68">
        <f>H462/FS!I28</f>
        <v>1.253914113497804</v>
      </c>
      <c r="I463" s="93">
        <v>0.2</v>
      </c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</row>
    <row r="464" spans="2:21" x14ac:dyDescent="0.3">
      <c r="B464" t="s">
        <v>367</v>
      </c>
      <c r="C464" s="54"/>
      <c r="D464" s="68" t="e">
        <f t="shared" ref="D464:G464" si="151">D462/C462-1</f>
        <v>#DIV/0!</v>
      </c>
      <c r="E464" s="68">
        <f t="shared" si="151"/>
        <v>1.8127404011947772</v>
      </c>
      <c r="F464" s="68">
        <f t="shared" si="151"/>
        <v>4.1598389180726754</v>
      </c>
      <c r="G464" s="68">
        <f t="shared" si="151"/>
        <v>2.6687489901541399</v>
      </c>
      <c r="H464" s="68">
        <f>H462/G462-1</f>
        <v>2.0616671507522093</v>
      </c>
      <c r="I464" s="93">
        <v>7.0000000000000007E-2</v>
      </c>
      <c r="J464" s="93">
        <v>-0.5</v>
      </c>
      <c r="K464" s="93">
        <v>0.05</v>
      </c>
      <c r="L464" s="93">
        <v>0.05</v>
      </c>
      <c r="M464" s="40"/>
      <c r="N464" s="40"/>
      <c r="O464" s="40"/>
      <c r="P464" s="40"/>
      <c r="Q464" s="40"/>
      <c r="R464" s="40"/>
      <c r="S464" s="40"/>
      <c r="T464" s="40"/>
      <c r="U464" s="40"/>
    </row>
    <row r="465" spans="2:21" x14ac:dyDescent="0.3">
      <c r="C465" s="54"/>
      <c r="D465" s="54"/>
      <c r="E465" s="54"/>
      <c r="F465" s="54"/>
      <c r="G465" s="54"/>
      <c r="H465" s="54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</row>
    <row r="466" spans="2:21" s="7" customFormat="1" x14ac:dyDescent="0.3">
      <c r="C466" s="62"/>
      <c r="D466" s="62"/>
      <c r="E466" s="62"/>
      <c r="F466" s="62"/>
      <c r="G466" s="62"/>
      <c r="H466" s="62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</row>
    <row r="467" spans="2:21" x14ac:dyDescent="0.3">
      <c r="C467" s="54"/>
      <c r="D467" s="54"/>
      <c r="E467" s="54"/>
      <c r="F467" s="54"/>
      <c r="G467" s="54"/>
      <c r="H467" s="54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</row>
    <row r="468" spans="2:21" x14ac:dyDescent="0.3">
      <c r="B468" t="s">
        <v>48</v>
      </c>
      <c r="C468" s="27">
        <v>17362977</v>
      </c>
      <c r="D468" s="27">
        <v>24051472</v>
      </c>
      <c r="E468" s="27">
        <v>23443869</v>
      </c>
      <c r="F468" s="27">
        <v>20195153</v>
      </c>
      <c r="G468" s="27">
        <v>27083177</v>
      </c>
      <c r="H468" s="27">
        <v>40811211</v>
      </c>
      <c r="I468" s="57">
        <f>H468*(1+I469)</f>
        <v>34689529.350000001</v>
      </c>
      <c r="J468" s="57">
        <f t="shared" ref="J468:L468" si="152">I468*(1+J469)</f>
        <v>32955052.8825</v>
      </c>
      <c r="K468" s="57">
        <f t="shared" si="152"/>
        <v>33614153.94015</v>
      </c>
      <c r="L468" s="57">
        <f t="shared" si="152"/>
        <v>34286437.018953003</v>
      </c>
      <c r="M468" s="57"/>
      <c r="N468" s="38">
        <v>36882221</v>
      </c>
      <c r="O468" s="57"/>
      <c r="P468" s="27">
        <v>43351569</v>
      </c>
      <c r="Q468" s="27">
        <v>40811211</v>
      </c>
      <c r="R468" s="40"/>
      <c r="S468" s="40"/>
      <c r="T468" s="40"/>
      <c r="U468" s="40"/>
    </row>
    <row r="469" spans="2:21" x14ac:dyDescent="0.3">
      <c r="B469" t="s">
        <v>367</v>
      </c>
      <c r="C469" s="54"/>
      <c r="D469" s="68">
        <f t="shared" ref="D469:G469" si="153">D468/C468-1</f>
        <v>0.38521591084293894</v>
      </c>
      <c r="E469" s="68">
        <f t="shared" si="153"/>
        <v>-2.5262611785257905E-2</v>
      </c>
      <c r="F469" s="68">
        <f t="shared" si="153"/>
        <v>-0.13857422595220947</v>
      </c>
      <c r="G469" s="68">
        <f t="shared" si="153"/>
        <v>0.34107312779457533</v>
      </c>
      <c r="H469" s="68">
        <f>H468/G468-1</f>
        <v>0.50688418127607404</v>
      </c>
      <c r="I469" s="93">
        <v>-0.15</v>
      </c>
      <c r="J469" s="93">
        <v>-0.05</v>
      </c>
      <c r="K469" s="93">
        <v>0.02</v>
      </c>
      <c r="L469" s="93">
        <v>0.02</v>
      </c>
      <c r="M469" s="40"/>
      <c r="N469" s="40"/>
      <c r="O469" s="40"/>
      <c r="P469" s="40"/>
      <c r="Q469" s="40"/>
      <c r="R469" s="40"/>
      <c r="S469" s="40"/>
      <c r="T469" s="40"/>
      <c r="U469" s="40"/>
    </row>
    <row r="470" spans="2:21" x14ac:dyDescent="0.3">
      <c r="C470" s="54"/>
      <c r="D470" s="54"/>
      <c r="E470" s="54"/>
      <c r="F470" s="54"/>
      <c r="G470" s="54"/>
      <c r="H470" s="54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</row>
    <row r="471" spans="2:21" x14ac:dyDescent="0.3">
      <c r="C471" s="54"/>
      <c r="D471" s="54"/>
      <c r="E471" s="54"/>
      <c r="F471" s="54"/>
      <c r="G471" s="54"/>
      <c r="H471" s="54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</row>
    <row r="472" spans="2:21" x14ac:dyDescent="0.3">
      <c r="C472" s="54"/>
      <c r="D472" s="54"/>
      <c r="E472" s="54"/>
      <c r="F472" s="54"/>
      <c r="G472" s="54"/>
      <c r="H472" s="54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</row>
    <row r="473" spans="2:21" s="45" customFormat="1" x14ac:dyDescent="0.3">
      <c r="B473" s="45" t="s">
        <v>228</v>
      </c>
      <c r="C473" s="71"/>
      <c r="D473" s="71"/>
      <c r="E473" s="71"/>
      <c r="F473" s="71"/>
      <c r="G473" s="71"/>
      <c r="H473" s="71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</row>
    <row r="474" spans="2:21" x14ac:dyDescent="0.3">
      <c r="C474" s="54"/>
      <c r="D474" s="54"/>
      <c r="E474" s="54"/>
      <c r="F474" s="54"/>
      <c r="G474" s="54"/>
      <c r="H474" s="54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</row>
    <row r="475" spans="2:21" x14ac:dyDescent="0.3">
      <c r="B475" s="4" t="s">
        <v>108</v>
      </c>
      <c r="C475" s="27">
        <v>60244892</v>
      </c>
      <c r="D475" s="27">
        <v>52362052</v>
      </c>
      <c r="E475" s="27">
        <v>53807425</v>
      </c>
      <c r="F475" s="27">
        <v>88248056</v>
      </c>
      <c r="G475" s="27">
        <v>73801195</v>
      </c>
      <c r="H475" s="27">
        <v>64971170</v>
      </c>
      <c r="I475" s="57">
        <f>I305*I483</f>
        <v>39254361.772500001</v>
      </c>
      <c r="J475" s="57">
        <f>J305*J483</f>
        <v>60190021.384499997</v>
      </c>
      <c r="K475" s="57">
        <f>K305*K483</f>
        <v>69218524.592174992</v>
      </c>
      <c r="L475" s="57">
        <f>L305*L483</f>
        <v>79601303.28100124</v>
      </c>
      <c r="M475" s="40"/>
      <c r="N475" s="38">
        <v>48268948</v>
      </c>
      <c r="O475" s="40"/>
      <c r="P475" s="40"/>
      <c r="Q475" s="40"/>
      <c r="R475" s="40"/>
      <c r="S475" s="40"/>
      <c r="T475" s="40"/>
      <c r="U475" s="40"/>
    </row>
    <row r="476" spans="2:21" x14ac:dyDescent="0.3">
      <c r="C476" s="54"/>
      <c r="D476" s="54"/>
      <c r="E476" s="54"/>
      <c r="F476" s="54"/>
      <c r="G476" s="54"/>
      <c r="H476" s="54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</row>
    <row r="477" spans="2:21" x14ac:dyDescent="0.3">
      <c r="B477" t="s">
        <v>208</v>
      </c>
      <c r="C477" s="27">
        <v>8939723</v>
      </c>
      <c r="D477" s="27">
        <v>2260971</v>
      </c>
      <c r="E477" s="27">
        <v>2806443</v>
      </c>
      <c r="F477" s="27">
        <v>913719</v>
      </c>
      <c r="G477" s="27">
        <v>193865</v>
      </c>
      <c r="H477" s="27">
        <v>6149813</v>
      </c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</row>
    <row r="478" spans="2:21" x14ac:dyDescent="0.3">
      <c r="B478" t="s">
        <v>209</v>
      </c>
      <c r="C478" s="27">
        <v>45599020</v>
      </c>
      <c r="D478" s="27">
        <v>50012061</v>
      </c>
      <c r="E478" s="27">
        <v>47910944</v>
      </c>
      <c r="F478" s="27">
        <v>84349312</v>
      </c>
      <c r="G478" s="27">
        <v>72391783</v>
      </c>
      <c r="H478" s="27">
        <v>58785098</v>
      </c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</row>
    <row r="479" spans="2:21" x14ac:dyDescent="0.3">
      <c r="B479" t="s">
        <v>210</v>
      </c>
      <c r="C479" s="27">
        <v>5706149</v>
      </c>
      <c r="D479" s="27">
        <v>89020</v>
      </c>
      <c r="E479" s="27">
        <v>3090038</v>
      </c>
      <c r="F479" s="27">
        <v>2985025</v>
      </c>
      <c r="G479" s="27">
        <v>1215547</v>
      </c>
      <c r="H479" s="27">
        <v>36259</v>
      </c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</row>
    <row r="480" spans="2:21" x14ac:dyDescent="0.3">
      <c r="C480" s="54"/>
      <c r="D480" s="54"/>
      <c r="E480" s="54"/>
      <c r="F480" s="54"/>
      <c r="G480" s="54"/>
      <c r="H480" s="54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</row>
    <row r="481" spans="2:21" s="33" customFormat="1" x14ac:dyDescent="0.3">
      <c r="B481" s="33" t="s">
        <v>179</v>
      </c>
      <c r="C481" s="54">
        <f t="shared" ref="C481:G481" si="154">SUM(C477:C479)-C475</f>
        <v>0</v>
      </c>
      <c r="D481" s="54">
        <f t="shared" si="154"/>
        <v>0</v>
      </c>
      <c r="E481" s="54">
        <f t="shared" si="154"/>
        <v>0</v>
      </c>
      <c r="F481" s="54">
        <f t="shared" si="154"/>
        <v>0</v>
      </c>
      <c r="G481" s="54">
        <f t="shared" si="154"/>
        <v>0</v>
      </c>
      <c r="H481" s="54">
        <f>SUM(H477:H479)-H475</f>
        <v>0</v>
      </c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</row>
    <row r="482" spans="2:21" x14ac:dyDescent="0.3">
      <c r="C482" s="54"/>
      <c r="D482" s="54"/>
      <c r="E482" s="54"/>
      <c r="F482" s="54"/>
      <c r="G482" s="54"/>
      <c r="H482" s="54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</row>
    <row r="483" spans="2:21" x14ac:dyDescent="0.3">
      <c r="B483" t="s">
        <v>381</v>
      </c>
      <c r="C483" s="69">
        <f t="shared" ref="C483:H483" si="155">C475/C305</f>
        <v>7.9222276417775975E-2</v>
      </c>
      <c r="D483" s="69">
        <f t="shared" si="155"/>
        <v>5.8312505173695656E-2</v>
      </c>
      <c r="E483" s="69">
        <f t="shared" si="155"/>
        <v>5.7811607785723952E-2</v>
      </c>
      <c r="F483" s="69">
        <f t="shared" si="155"/>
        <v>9.1747382073473258E-2</v>
      </c>
      <c r="G483" s="69">
        <f t="shared" si="155"/>
        <v>6.7402606149161479E-2</v>
      </c>
      <c r="H483" s="69">
        <f t="shared" si="155"/>
        <v>5.2136673801018427E-2</v>
      </c>
      <c r="I483" s="94">
        <v>0.03</v>
      </c>
      <c r="J483" s="94">
        <v>0.04</v>
      </c>
      <c r="K483" s="94">
        <v>0.04</v>
      </c>
      <c r="L483" s="94">
        <v>0.04</v>
      </c>
      <c r="M483" s="40"/>
      <c r="N483" s="40"/>
      <c r="O483" s="40"/>
      <c r="P483" s="40"/>
      <c r="Q483" s="40"/>
      <c r="R483" s="40"/>
      <c r="S483" s="40"/>
      <c r="T483" s="40"/>
      <c r="U483" s="40"/>
    </row>
    <row r="484" spans="2:21" x14ac:dyDescent="0.3">
      <c r="C484" s="54"/>
      <c r="D484" s="54"/>
      <c r="E484" s="54"/>
      <c r="F484" s="54"/>
      <c r="G484" s="54"/>
      <c r="H484" s="68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</row>
    <row r="485" spans="2:21" x14ac:dyDescent="0.3">
      <c r="C485" s="54"/>
      <c r="D485" s="54"/>
      <c r="E485" s="54"/>
      <c r="F485" s="54"/>
      <c r="G485" s="54"/>
      <c r="H485" s="54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</row>
    <row r="486" spans="2:21" s="7" customFormat="1" x14ac:dyDescent="0.3">
      <c r="C486" s="62"/>
      <c r="D486" s="62"/>
      <c r="E486" s="62"/>
      <c r="F486" s="62"/>
      <c r="G486" s="62"/>
      <c r="H486" s="62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</row>
    <row r="487" spans="2:21" x14ac:dyDescent="0.3">
      <c r="C487" s="54"/>
      <c r="D487" s="54"/>
      <c r="E487" s="54"/>
      <c r="F487" s="54"/>
      <c r="G487" s="54"/>
      <c r="H487" s="54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</row>
    <row r="488" spans="2:21" x14ac:dyDescent="0.3">
      <c r="B488" t="s">
        <v>50</v>
      </c>
      <c r="C488" s="27">
        <v>3678494</v>
      </c>
      <c r="D488" s="27">
        <v>8021783</v>
      </c>
      <c r="E488" s="27">
        <v>1495317</v>
      </c>
      <c r="F488" s="27">
        <v>1501262</v>
      </c>
      <c r="G488" s="27">
        <v>2092198</v>
      </c>
      <c r="H488" s="27">
        <v>2880667</v>
      </c>
      <c r="I488" s="57">
        <f>H488*(1+I489)</f>
        <v>1440333.5</v>
      </c>
      <c r="J488" s="57">
        <f t="shared" ref="J488:L488" si="156">I488*(1+J489)</f>
        <v>1584366.85</v>
      </c>
      <c r="K488" s="57">
        <f t="shared" si="156"/>
        <v>1742803.5350000001</v>
      </c>
      <c r="L488" s="57">
        <f t="shared" si="156"/>
        <v>1917083.8885000004</v>
      </c>
      <c r="M488" s="57"/>
      <c r="N488" s="38">
        <v>1560980</v>
      </c>
      <c r="O488" s="57"/>
      <c r="P488" s="27">
        <v>5309026</v>
      </c>
      <c r="Q488" s="27">
        <v>2880667</v>
      </c>
      <c r="R488" s="40"/>
      <c r="S488" s="40"/>
      <c r="T488" s="40"/>
      <c r="U488" s="40"/>
    </row>
    <row r="489" spans="2:21" x14ac:dyDescent="0.3">
      <c r="B489" t="s">
        <v>367</v>
      </c>
      <c r="C489" s="54"/>
      <c r="D489" s="68">
        <f t="shared" ref="D489:G489" si="157">D488/C488-1</f>
        <v>1.1807247748671061</v>
      </c>
      <c r="E489" s="68">
        <f t="shared" si="157"/>
        <v>-0.81359293812859312</v>
      </c>
      <c r="F489" s="68">
        <f t="shared" si="157"/>
        <v>3.9757456111313427E-3</v>
      </c>
      <c r="G489" s="68">
        <f t="shared" si="157"/>
        <v>0.3936261625219315</v>
      </c>
      <c r="H489" s="68">
        <f>H488/G488-1</f>
        <v>0.37686155899202656</v>
      </c>
      <c r="I489" s="93">
        <v>-0.5</v>
      </c>
      <c r="J489" s="93">
        <v>0.1</v>
      </c>
      <c r="K489" s="93">
        <v>0.1</v>
      </c>
      <c r="L489" s="93">
        <v>0.1</v>
      </c>
      <c r="M489" s="40"/>
      <c r="N489" s="40"/>
      <c r="O489" s="40"/>
      <c r="P489" s="40"/>
      <c r="Q489" s="40"/>
      <c r="R489" s="40"/>
      <c r="S489" s="40"/>
      <c r="T489" s="40"/>
      <c r="U489" s="40"/>
    </row>
    <row r="490" spans="2:21" x14ac:dyDescent="0.3">
      <c r="C490" s="54"/>
      <c r="D490" s="54"/>
      <c r="E490" s="54"/>
      <c r="F490" s="54"/>
      <c r="G490" s="54"/>
      <c r="H490" s="54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</row>
    <row r="491" spans="2:21" x14ac:dyDescent="0.3">
      <c r="C491" s="54"/>
      <c r="D491" s="54"/>
      <c r="E491" s="54"/>
      <c r="F491" s="54"/>
      <c r="G491" s="54"/>
      <c r="H491" s="54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</row>
    <row r="492" spans="2:21" s="7" customFormat="1" x14ac:dyDescent="0.3">
      <c r="C492" s="62"/>
      <c r="D492" s="62"/>
      <c r="E492" s="62"/>
      <c r="F492" s="62"/>
      <c r="G492" s="62"/>
      <c r="H492" s="62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</row>
    <row r="493" spans="2:21" x14ac:dyDescent="0.3">
      <c r="C493" s="54"/>
      <c r="D493" s="54"/>
      <c r="E493" s="54"/>
      <c r="F493" s="54"/>
      <c r="G493" s="54"/>
      <c r="H493" s="54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</row>
    <row r="494" spans="2:21" x14ac:dyDescent="0.3">
      <c r="B494" t="s">
        <v>51</v>
      </c>
      <c r="C494" s="27">
        <v>49532385</v>
      </c>
      <c r="D494" s="27">
        <v>48951394</v>
      </c>
      <c r="E494" s="27">
        <v>51117342</v>
      </c>
      <c r="F494" s="27">
        <v>91411522</v>
      </c>
      <c r="G494" s="27">
        <v>151424854</v>
      </c>
      <c r="H494" s="27">
        <v>97726435</v>
      </c>
      <c r="I494" s="57">
        <f>I496*I501</f>
        <v>107949494.87437499</v>
      </c>
      <c r="J494" s="57">
        <f t="shared" ref="J494:L494" si="158">J496*J501</f>
        <v>118122916.96708126</v>
      </c>
      <c r="K494" s="57">
        <f t="shared" si="158"/>
        <v>134110891.39733905</v>
      </c>
      <c r="L494" s="57">
        <f t="shared" si="158"/>
        <v>149252443.65187731</v>
      </c>
      <c r="M494" s="57"/>
      <c r="N494" s="38">
        <v>117895187</v>
      </c>
      <c r="O494" s="57"/>
      <c r="P494" s="27">
        <v>133588179</v>
      </c>
      <c r="Q494" s="27">
        <v>97726435</v>
      </c>
      <c r="R494" s="40"/>
      <c r="S494" s="40"/>
      <c r="T494" s="40"/>
      <c r="U494" s="40"/>
    </row>
    <row r="495" spans="2:21" x14ac:dyDescent="0.3">
      <c r="C495" s="54"/>
      <c r="D495" s="54"/>
      <c r="E495" s="54"/>
      <c r="F495" s="54"/>
      <c r="G495" s="54"/>
      <c r="H495" s="54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</row>
    <row r="496" spans="2:21" x14ac:dyDescent="0.3">
      <c r="B496" t="s">
        <v>377</v>
      </c>
      <c r="C496" s="69">
        <f t="shared" ref="C496:G496" si="159">C494/C501</f>
        <v>5.7779213197481596E-2</v>
      </c>
      <c r="D496" s="69">
        <f t="shared" si="159"/>
        <v>4.922850742184097E-2</v>
      </c>
      <c r="E496" s="69">
        <f t="shared" si="159"/>
        <v>4.7818685375835779E-2</v>
      </c>
      <c r="F496" s="69">
        <f t="shared" si="159"/>
        <v>7.1048000065169384E-2</v>
      </c>
      <c r="G496" s="69">
        <f t="shared" si="159"/>
        <v>0.10282540682829101</v>
      </c>
      <c r="H496" s="69">
        <f>H494/H501</f>
        <v>4.9413094794391557E-2</v>
      </c>
      <c r="I496" s="69">
        <v>0.05</v>
      </c>
      <c r="J496" s="69">
        <v>0.05</v>
      </c>
      <c r="K496" s="69">
        <v>0.05</v>
      </c>
      <c r="L496" s="69">
        <v>0.05</v>
      </c>
      <c r="M496" s="40"/>
      <c r="N496" s="40"/>
      <c r="O496" s="40"/>
      <c r="P496" s="40"/>
      <c r="Q496" s="40"/>
      <c r="R496" s="40"/>
      <c r="S496" s="40"/>
      <c r="T496" s="40"/>
      <c r="U496" s="40"/>
    </row>
    <row r="497" spans="2:21" x14ac:dyDescent="0.3">
      <c r="C497" s="54"/>
      <c r="D497" s="54"/>
      <c r="E497" s="54"/>
      <c r="F497" s="54"/>
      <c r="G497" s="54"/>
      <c r="H497" s="54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</row>
    <row r="498" spans="2:21" x14ac:dyDescent="0.3">
      <c r="C498" s="54"/>
      <c r="D498" s="54"/>
      <c r="E498" s="54"/>
      <c r="F498" s="54"/>
      <c r="G498" s="54"/>
      <c r="H498" s="54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</row>
    <row r="499" spans="2:21" s="7" customFormat="1" x14ac:dyDescent="0.3">
      <c r="C499" s="62"/>
      <c r="D499" s="62"/>
      <c r="E499" s="62"/>
      <c r="F499" s="62"/>
      <c r="G499" s="62"/>
      <c r="H499" s="62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</row>
    <row r="500" spans="2:21" x14ac:dyDescent="0.3">
      <c r="C500" s="54"/>
      <c r="D500" s="54"/>
      <c r="E500" s="54"/>
      <c r="F500" s="54"/>
      <c r="G500" s="54"/>
      <c r="H500" s="54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</row>
    <row r="501" spans="2:21" x14ac:dyDescent="0.3">
      <c r="B501" t="s">
        <v>331</v>
      </c>
      <c r="C501" s="27">
        <v>857269981</v>
      </c>
      <c r="D501" s="27">
        <v>994370875</v>
      </c>
      <c r="E501" s="27">
        <v>1068982587</v>
      </c>
      <c r="F501" s="27">
        <v>1286616399</v>
      </c>
      <c r="G501" s="27">
        <v>1472640456</v>
      </c>
      <c r="H501" s="27">
        <v>1977743661</v>
      </c>
      <c r="I501" s="54">
        <f>I514</f>
        <v>2158989897.4874997</v>
      </c>
      <c r="J501" s="54">
        <f t="shared" ref="J501:L501" si="160">J514</f>
        <v>2362458339.3416252</v>
      </c>
      <c r="K501" s="54">
        <f t="shared" si="160"/>
        <v>2682217827.9467807</v>
      </c>
      <c r="L501" s="54">
        <f t="shared" si="160"/>
        <v>2985048873.0375462</v>
      </c>
      <c r="M501" s="40"/>
      <c r="N501" s="38">
        <v>2038498641</v>
      </c>
      <c r="O501" s="40"/>
      <c r="P501" s="40"/>
      <c r="Q501" s="40"/>
      <c r="R501" s="40"/>
      <c r="S501" s="40"/>
      <c r="T501" s="40"/>
      <c r="U501" s="40"/>
    </row>
    <row r="502" spans="2:21" x14ac:dyDescent="0.3">
      <c r="C502" s="54"/>
      <c r="D502" s="54"/>
      <c r="E502" s="54"/>
      <c r="F502" s="54"/>
      <c r="G502" s="54"/>
      <c r="H502" s="54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</row>
    <row r="503" spans="2:21" x14ac:dyDescent="0.3">
      <c r="B503" s="40" t="s">
        <v>215</v>
      </c>
      <c r="C503" s="36">
        <v>649709858</v>
      </c>
      <c r="D503" s="36">
        <v>747951765</v>
      </c>
      <c r="E503" s="36">
        <v>800224277</v>
      </c>
      <c r="F503" s="36">
        <v>967297104</v>
      </c>
      <c r="G503" s="36">
        <v>1063816968</v>
      </c>
      <c r="H503" s="36">
        <v>1243534769</v>
      </c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</row>
    <row r="504" spans="2:21" x14ac:dyDescent="0.3">
      <c r="B504" t="s">
        <v>212</v>
      </c>
      <c r="C504" s="27">
        <v>42488222</v>
      </c>
      <c r="D504" s="27">
        <v>45166224</v>
      </c>
      <c r="E504" s="27">
        <v>43981795</v>
      </c>
      <c r="F504" s="27">
        <v>61440763</v>
      </c>
      <c r="G504" s="27">
        <v>84663624</v>
      </c>
      <c r="H504" s="27">
        <v>86197384</v>
      </c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</row>
    <row r="505" spans="2:21" x14ac:dyDescent="0.3">
      <c r="B505" t="s">
        <v>211</v>
      </c>
      <c r="C505" s="27">
        <v>212687511</v>
      </c>
      <c r="D505" s="27">
        <v>227412160</v>
      </c>
      <c r="E505" s="27">
        <v>248903630</v>
      </c>
      <c r="F505" s="27">
        <v>345520769</v>
      </c>
      <c r="G505" s="27">
        <v>430411206</v>
      </c>
      <c r="H505" s="27">
        <v>362455763</v>
      </c>
      <c r="I505" s="57"/>
      <c r="J505" s="57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</row>
    <row r="506" spans="2:21" x14ac:dyDescent="0.3">
      <c r="B506" t="s">
        <v>213</v>
      </c>
      <c r="C506" s="27">
        <v>394357770</v>
      </c>
      <c r="D506" s="27">
        <v>475290328</v>
      </c>
      <c r="E506" s="27">
        <v>507284805</v>
      </c>
      <c r="F506" s="27">
        <v>560306283</v>
      </c>
      <c r="G506" s="27">
        <v>548717236</v>
      </c>
      <c r="H506" s="27">
        <v>794859320</v>
      </c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</row>
    <row r="507" spans="2:21" x14ac:dyDescent="0.3">
      <c r="B507" t="s">
        <v>214</v>
      </c>
      <c r="C507" s="27">
        <v>176355</v>
      </c>
      <c r="D507" s="27">
        <v>83053</v>
      </c>
      <c r="E507" s="27">
        <v>54047</v>
      </c>
      <c r="F507" s="27">
        <v>29289</v>
      </c>
      <c r="G507" s="27">
        <v>24902</v>
      </c>
      <c r="H507" s="27">
        <v>22302</v>
      </c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</row>
    <row r="508" spans="2:21" x14ac:dyDescent="0.3">
      <c r="C508" s="54"/>
      <c r="D508" s="54"/>
      <c r="E508" s="54"/>
      <c r="F508" s="54"/>
      <c r="G508" s="54"/>
      <c r="H508" s="54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</row>
    <row r="509" spans="2:21" x14ac:dyDescent="0.3">
      <c r="B509" t="s">
        <v>216</v>
      </c>
      <c r="C509" s="36">
        <v>207560123</v>
      </c>
      <c r="D509" s="36">
        <v>246419110</v>
      </c>
      <c r="E509" s="36">
        <v>268758310</v>
      </c>
      <c r="F509" s="36">
        <v>319319295</v>
      </c>
      <c r="G509" s="36">
        <v>408823488</v>
      </c>
      <c r="H509" s="36">
        <v>734208892</v>
      </c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</row>
    <row r="510" spans="2:21" x14ac:dyDescent="0.3">
      <c r="B510" t="s">
        <v>217</v>
      </c>
      <c r="C510" s="27">
        <v>23401770</v>
      </c>
      <c r="D510" s="27">
        <v>32286978</v>
      </c>
      <c r="E510" s="27">
        <v>31851740</v>
      </c>
      <c r="F510" s="27">
        <v>47108754</v>
      </c>
      <c r="G510" s="27">
        <v>66784343</v>
      </c>
      <c r="H510" s="27">
        <v>132032767</v>
      </c>
      <c r="I510" s="40"/>
      <c r="J510" s="57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</row>
    <row r="511" spans="2:21" x14ac:dyDescent="0.3">
      <c r="B511" t="s">
        <v>211</v>
      </c>
      <c r="C511" s="27">
        <v>60355737</v>
      </c>
      <c r="D511" s="27">
        <v>72501383</v>
      </c>
      <c r="E511" s="27">
        <v>77548427</v>
      </c>
      <c r="F511" s="27">
        <v>97540150</v>
      </c>
      <c r="G511" s="27">
        <v>124954064</v>
      </c>
      <c r="H511" s="27">
        <v>191459487</v>
      </c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</row>
    <row r="512" spans="2:21" x14ac:dyDescent="0.3">
      <c r="B512" t="s">
        <v>218</v>
      </c>
      <c r="C512" s="27">
        <v>123802616</v>
      </c>
      <c r="D512" s="27">
        <v>141630749</v>
      </c>
      <c r="E512" s="27">
        <v>159358143</v>
      </c>
      <c r="F512" s="27">
        <v>174670391</v>
      </c>
      <c r="G512" s="27">
        <v>217085081</v>
      </c>
      <c r="H512" s="27">
        <v>410716638</v>
      </c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</row>
    <row r="513" spans="2:21" x14ac:dyDescent="0.3">
      <c r="C513" s="56"/>
      <c r="D513" s="56"/>
      <c r="E513" s="56"/>
      <c r="F513" s="56"/>
      <c r="G513" s="56"/>
      <c r="H513" s="56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</row>
    <row r="514" spans="2:21" x14ac:dyDescent="0.3">
      <c r="B514" s="3" t="s">
        <v>220</v>
      </c>
      <c r="C514" s="47">
        <f t="shared" ref="C514:G514" si="161">SUM(C515:C518)</f>
        <v>857269981</v>
      </c>
      <c r="D514" s="47">
        <f t="shared" si="161"/>
        <v>994370875</v>
      </c>
      <c r="E514" s="47">
        <f t="shared" si="161"/>
        <v>1068982587</v>
      </c>
      <c r="F514" s="47">
        <f t="shared" si="161"/>
        <v>1286616399</v>
      </c>
      <c r="G514" s="47">
        <f t="shared" si="161"/>
        <v>1472640456</v>
      </c>
      <c r="H514" s="47">
        <f>SUM(H515:H518)</f>
        <v>1977743661</v>
      </c>
      <c r="I514" s="47">
        <f>I305*I522</f>
        <v>2158989897.4874997</v>
      </c>
      <c r="J514" s="47">
        <f>J305*J522</f>
        <v>2362458339.3416252</v>
      </c>
      <c r="K514" s="47">
        <f>K305*K522</f>
        <v>2682217827.9467807</v>
      </c>
      <c r="L514" s="47">
        <f>L305*L522</f>
        <v>2985048873.0375462</v>
      </c>
      <c r="M514" s="40"/>
      <c r="N514" s="40"/>
      <c r="O514" s="40"/>
      <c r="P514" s="40"/>
      <c r="Q514" s="40"/>
      <c r="R514" s="40"/>
      <c r="S514" s="40"/>
      <c r="T514" s="40"/>
      <c r="U514" s="40"/>
    </row>
    <row r="515" spans="2:21" x14ac:dyDescent="0.3">
      <c r="B515" t="s">
        <v>217</v>
      </c>
      <c r="C515" s="27">
        <v>65889992</v>
      </c>
      <c r="D515" s="27">
        <v>77453202</v>
      </c>
      <c r="E515" s="27">
        <v>75833535</v>
      </c>
      <c r="F515" s="27">
        <v>108549517</v>
      </c>
      <c r="G515" s="27">
        <v>151447967</v>
      </c>
      <c r="H515" s="27">
        <v>218230151</v>
      </c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</row>
    <row r="516" spans="2:21" x14ac:dyDescent="0.3">
      <c r="B516" t="s">
        <v>211</v>
      </c>
      <c r="C516" s="27">
        <v>273043248</v>
      </c>
      <c r="D516" s="27">
        <v>299913543</v>
      </c>
      <c r="E516" s="27">
        <v>326452057</v>
      </c>
      <c r="F516" s="27">
        <v>443060919</v>
      </c>
      <c r="G516" s="27">
        <v>555365270</v>
      </c>
      <c r="H516" s="27">
        <v>553915250</v>
      </c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</row>
    <row r="517" spans="2:21" x14ac:dyDescent="0.3">
      <c r="B517" t="s">
        <v>218</v>
      </c>
      <c r="C517" s="27">
        <v>518160386</v>
      </c>
      <c r="D517" s="27">
        <v>616921077</v>
      </c>
      <c r="E517" s="27">
        <v>666642948</v>
      </c>
      <c r="F517" s="27">
        <v>734976674</v>
      </c>
      <c r="G517" s="27">
        <v>765802317</v>
      </c>
      <c r="H517" s="27">
        <v>1205575958</v>
      </c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</row>
    <row r="518" spans="2:21" x14ac:dyDescent="0.3">
      <c r="B518" t="s">
        <v>219</v>
      </c>
      <c r="C518" s="27">
        <v>176355</v>
      </c>
      <c r="D518" s="27">
        <v>83053</v>
      </c>
      <c r="E518" s="27">
        <v>54047</v>
      </c>
      <c r="F518" s="27">
        <v>29289</v>
      </c>
      <c r="G518" s="27">
        <v>24902</v>
      </c>
      <c r="H518" s="27">
        <v>22302</v>
      </c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</row>
    <row r="519" spans="2:21" x14ac:dyDescent="0.3">
      <c r="C519" s="54"/>
      <c r="D519" s="54"/>
      <c r="E519" s="54"/>
      <c r="F519" s="54"/>
      <c r="G519" s="54"/>
      <c r="H519" s="54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</row>
    <row r="520" spans="2:21" s="33" customFormat="1" x14ac:dyDescent="0.3">
      <c r="B520" s="33" t="s">
        <v>179</v>
      </c>
      <c r="C520" s="54">
        <f t="shared" ref="C520:H520" si="162">SUM(C504:C507)-C503+SUM(C510:C512)-C509+(C504+C510-C515)+(C505+C511-C516)+(C506+C512-C517)+(C507-C518)</f>
        <v>0</v>
      </c>
      <c r="D520" s="54">
        <f t="shared" si="162"/>
        <v>0</v>
      </c>
      <c r="E520" s="54">
        <f t="shared" si="162"/>
        <v>0</v>
      </c>
      <c r="F520" s="54">
        <f t="shared" si="162"/>
        <v>0</v>
      </c>
      <c r="G520" s="54">
        <f t="shared" si="162"/>
        <v>0</v>
      </c>
      <c r="H520" s="54">
        <f t="shared" si="162"/>
        <v>0</v>
      </c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</row>
    <row r="521" spans="2:21" x14ac:dyDescent="0.3">
      <c r="C521" s="54"/>
      <c r="D521" s="54"/>
      <c r="E521" s="54"/>
      <c r="F521" s="54"/>
      <c r="G521" s="54"/>
      <c r="H521" s="54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</row>
    <row r="522" spans="2:21" x14ac:dyDescent="0.3">
      <c r="B522" t="s">
        <v>379</v>
      </c>
      <c r="C522" s="68">
        <f t="shared" ref="C522:H522" si="163">C501/C305</f>
        <v>1.1273134890746184</v>
      </c>
      <c r="D522" s="68">
        <f t="shared" si="163"/>
        <v>1.1073717430518151</v>
      </c>
      <c r="E522" s="68">
        <f t="shared" si="163"/>
        <v>1.1485329775474766</v>
      </c>
      <c r="F522" s="68">
        <f t="shared" si="163"/>
        <v>1.3376349768095663</v>
      </c>
      <c r="G522" s="68">
        <f t="shared" si="163"/>
        <v>1.344962024735366</v>
      </c>
      <c r="H522" s="68">
        <f t="shared" si="163"/>
        <v>1.5870573996988044</v>
      </c>
      <c r="I522" s="93">
        <v>1.65</v>
      </c>
      <c r="J522" s="93">
        <v>1.57</v>
      </c>
      <c r="K522" s="93">
        <v>1.55</v>
      </c>
      <c r="L522" s="93">
        <v>1.5</v>
      </c>
      <c r="M522" s="40"/>
      <c r="N522" s="68">
        <f>N501/N305</f>
        <v>1.6453631527586252</v>
      </c>
      <c r="O522" s="40"/>
      <c r="P522" s="40"/>
      <c r="Q522" s="40"/>
      <c r="R522" s="40"/>
      <c r="S522" s="40"/>
      <c r="T522" s="40"/>
      <c r="U522" s="40"/>
    </row>
    <row r="523" spans="2:21" x14ac:dyDescent="0.3">
      <c r="B523" t="s">
        <v>378</v>
      </c>
      <c r="C523" s="68">
        <f>C501/FS!C62</f>
        <v>0.74169809697534939</v>
      </c>
      <c r="D523" s="68">
        <f>D501/FS!D62</f>
        <v>0.7533613577673044</v>
      </c>
      <c r="E523" s="68">
        <f>E501/FS!E62</f>
        <v>0.75871332391556745</v>
      </c>
      <c r="F523" s="68">
        <f>F501/FS!F62</f>
        <v>0.72999671336020211</v>
      </c>
      <c r="G523" s="68">
        <f>G501/FS!G62</f>
        <v>0.74244871748214869</v>
      </c>
      <c r="H523" s="68">
        <f>H501/FS!I62</f>
        <v>0.79123865175903807</v>
      </c>
      <c r="I523" s="68">
        <f>I501/FS!J62</f>
        <v>0.81094231869813582</v>
      </c>
      <c r="J523" s="68">
        <f>J501/FS!K62</f>
        <v>0.80000086503232981</v>
      </c>
      <c r="K523" s="68">
        <f>K501/FS!L62</f>
        <v>0.79616944214606788</v>
      </c>
      <c r="L523" s="68">
        <f>L501/FS!M62</f>
        <v>0.7927416743927036</v>
      </c>
      <c r="M523" s="40"/>
      <c r="N523" s="40"/>
      <c r="O523" s="40"/>
      <c r="P523" s="40"/>
      <c r="Q523" s="40"/>
      <c r="R523" s="40"/>
      <c r="S523" s="40"/>
      <c r="T523" s="40"/>
      <c r="U523" s="40"/>
    </row>
    <row r="524" spans="2:21" x14ac:dyDescent="0.3">
      <c r="C524" s="54"/>
      <c r="D524" s="54"/>
      <c r="E524" s="54"/>
      <c r="F524" s="54"/>
      <c r="G524" s="54"/>
      <c r="H524" s="54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</row>
    <row r="525" spans="2:21" x14ac:dyDescent="0.3">
      <c r="B525" t="s">
        <v>380</v>
      </c>
      <c r="C525" s="54"/>
      <c r="D525" s="54"/>
      <c r="E525" s="54"/>
      <c r="F525" s="54"/>
      <c r="G525" s="54"/>
      <c r="H525" s="54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</row>
    <row r="526" spans="2:21" x14ac:dyDescent="0.3">
      <c r="B526" t="s">
        <v>217</v>
      </c>
      <c r="C526" s="68">
        <f t="shared" ref="C526:D526" si="164">C515/C$514</f>
        <v>7.6860258098784398E-2</v>
      </c>
      <c r="D526" s="68">
        <f t="shared" si="164"/>
        <v>7.7891663912622144E-2</v>
      </c>
      <c r="E526" s="68">
        <f>E515/E$514</f>
        <v>7.09399160680622E-2</v>
      </c>
      <c r="F526" s="68">
        <f t="shared" ref="F526:G526" si="165">F515/F$514</f>
        <v>8.4368205693917939E-2</v>
      </c>
      <c r="G526" s="68">
        <f t="shared" si="165"/>
        <v>0.10284110176584746</v>
      </c>
      <c r="H526" s="68">
        <f>H515/H$514</f>
        <v>0.11034299100706357</v>
      </c>
      <c r="I526" s="93">
        <f>1-I527-I528-I529</f>
        <v>9.9999999999999978E-2</v>
      </c>
      <c r="J526" s="93">
        <f t="shared" ref="J526:L526" si="166">1-J527-J528-J529</f>
        <v>9.9999999999999978E-2</v>
      </c>
      <c r="K526" s="93">
        <f t="shared" si="166"/>
        <v>9.9999999999999978E-2</v>
      </c>
      <c r="L526" s="93">
        <f t="shared" si="166"/>
        <v>9.9999999999999978E-2</v>
      </c>
      <c r="M526" s="40"/>
      <c r="N526" s="40"/>
      <c r="O526" s="40"/>
      <c r="P526" s="40"/>
      <c r="Q526" s="40"/>
      <c r="R526" s="40"/>
      <c r="S526" s="40"/>
      <c r="T526" s="40"/>
      <c r="U526" s="40"/>
    </row>
    <row r="527" spans="2:21" x14ac:dyDescent="0.3">
      <c r="B527" t="s">
        <v>211</v>
      </c>
      <c r="C527" s="68">
        <f t="shared" ref="C527:E527" si="167">C516/C$514</f>
        <v>0.31850321841608964</v>
      </c>
      <c r="D527" s="68">
        <f t="shared" si="167"/>
        <v>0.30161135099617636</v>
      </c>
      <c r="E527" s="68">
        <f t="shared" si="167"/>
        <v>0.30538575742020013</v>
      </c>
      <c r="F527" s="68">
        <f t="shared" ref="F527:H529" si="168">F516/F$514</f>
        <v>0.34436131806213671</v>
      </c>
      <c r="G527" s="68">
        <f t="shared" si="168"/>
        <v>0.37712210589982598</v>
      </c>
      <c r="H527" s="68">
        <f t="shared" si="168"/>
        <v>0.28007433972506107</v>
      </c>
      <c r="I527" s="93">
        <v>0.3</v>
      </c>
      <c r="J527" s="93">
        <v>0.3</v>
      </c>
      <c r="K527" s="93">
        <v>0.3</v>
      </c>
      <c r="L527" s="93">
        <v>0.3</v>
      </c>
      <c r="M527" s="40"/>
      <c r="N527" s="40"/>
      <c r="O527" s="40"/>
      <c r="P527" s="40"/>
      <c r="Q527" s="40"/>
      <c r="R527" s="40"/>
      <c r="S527" s="40"/>
      <c r="T527" s="40"/>
      <c r="U527" s="40"/>
    </row>
    <row r="528" spans="2:21" x14ac:dyDescent="0.3">
      <c r="B528" t="s">
        <v>218</v>
      </c>
      <c r="C528" s="68">
        <f t="shared" ref="C528:E528" si="169">C517/C$514</f>
        <v>0.60443080649525271</v>
      </c>
      <c r="D528" s="68">
        <f t="shared" si="169"/>
        <v>0.62041346192888036</v>
      </c>
      <c r="E528" s="68">
        <f t="shared" si="169"/>
        <v>0.6236237672223186</v>
      </c>
      <c r="F528" s="68">
        <f t="shared" si="168"/>
        <v>0.57124771188308165</v>
      </c>
      <c r="G528" s="68">
        <f t="shared" si="168"/>
        <v>0.52001988257207021</v>
      </c>
      <c r="H528" s="68">
        <f t="shared" si="168"/>
        <v>0.60957139278122052</v>
      </c>
      <c r="I528" s="93">
        <v>0.6</v>
      </c>
      <c r="J528" s="93">
        <v>0.6</v>
      </c>
      <c r="K528" s="93">
        <v>0.6</v>
      </c>
      <c r="L528" s="93">
        <v>0.6</v>
      </c>
      <c r="M528" s="40"/>
      <c r="N528" s="40"/>
      <c r="O528" s="40"/>
      <c r="P528" s="40"/>
      <c r="Q528" s="40"/>
      <c r="R528" s="40"/>
      <c r="S528" s="40"/>
      <c r="T528" s="40"/>
      <c r="U528" s="40"/>
    </row>
    <row r="529" spans="2:21" x14ac:dyDescent="0.3">
      <c r="B529" t="s">
        <v>219</v>
      </c>
      <c r="C529" s="68">
        <f t="shared" ref="C529:E529" si="170">C518/C$514</f>
        <v>2.0571698987322873E-4</v>
      </c>
      <c r="D529" s="68">
        <f t="shared" si="170"/>
        <v>8.3523162321100767E-5</v>
      </c>
      <c r="E529" s="68">
        <f t="shared" si="170"/>
        <v>5.0559289418995932E-5</v>
      </c>
      <c r="F529" s="68">
        <f t="shared" si="168"/>
        <v>2.27643608637076E-5</v>
      </c>
      <c r="G529" s="68">
        <f t="shared" si="168"/>
        <v>1.6909762256320899E-5</v>
      </c>
      <c r="H529" s="68">
        <f t="shared" si="168"/>
        <v>1.1276486654859767E-5</v>
      </c>
      <c r="I529" s="93">
        <v>0</v>
      </c>
      <c r="J529" s="93">
        <v>0</v>
      </c>
      <c r="K529" s="93">
        <v>0</v>
      </c>
      <c r="L529" s="93">
        <v>0</v>
      </c>
      <c r="M529" s="40"/>
      <c r="N529" s="40"/>
      <c r="O529" s="40"/>
      <c r="P529" s="40"/>
      <c r="Q529" s="40"/>
      <c r="R529" s="40"/>
      <c r="S529" s="40"/>
      <c r="T529" s="40"/>
      <c r="U529" s="40"/>
    </row>
    <row r="530" spans="2:21" x14ac:dyDescent="0.3">
      <c r="C530" s="54"/>
      <c r="D530" s="54"/>
      <c r="E530" s="54"/>
      <c r="F530" s="54"/>
      <c r="G530" s="54"/>
      <c r="H530" s="54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</row>
    <row r="531" spans="2:21" x14ac:dyDescent="0.3">
      <c r="C531" s="54"/>
      <c r="D531" s="54"/>
      <c r="E531" s="54"/>
      <c r="F531" s="54"/>
      <c r="G531" s="54"/>
      <c r="H531" s="54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</row>
    <row r="532" spans="2:21" s="7" customFormat="1" x14ac:dyDescent="0.3">
      <c r="C532" s="62"/>
      <c r="D532" s="62"/>
      <c r="E532" s="62"/>
      <c r="F532" s="62"/>
      <c r="G532" s="62"/>
      <c r="H532" s="62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</row>
    <row r="533" spans="2:21" x14ac:dyDescent="0.3">
      <c r="C533" s="54"/>
      <c r="D533" s="54"/>
      <c r="E533" s="54"/>
      <c r="F533" s="54"/>
      <c r="G533" s="54"/>
      <c r="H533" s="54"/>
      <c r="I533" s="57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</row>
    <row r="534" spans="2:21" x14ac:dyDescent="0.3">
      <c r="B534" t="s">
        <v>53</v>
      </c>
      <c r="C534" s="27">
        <v>23786094</v>
      </c>
      <c r="D534" s="27">
        <v>25361912</v>
      </c>
      <c r="E534" s="27">
        <v>23248893</v>
      </c>
      <c r="F534" s="27">
        <v>54555933</v>
      </c>
      <c r="G534" s="27">
        <v>32587051</v>
      </c>
      <c r="H534" s="27">
        <v>16150356</v>
      </c>
      <c r="I534" s="57">
        <f>P534+I543</f>
        <v>23481198</v>
      </c>
      <c r="J534" s="57">
        <f t="shared" ref="J534:L534" si="171">I534*(1+J541)</f>
        <v>35221797</v>
      </c>
      <c r="K534" s="57">
        <f t="shared" si="171"/>
        <v>52832695.5</v>
      </c>
      <c r="L534" s="57">
        <f t="shared" si="171"/>
        <v>79249043.25</v>
      </c>
      <c r="M534" s="57"/>
      <c r="N534" s="38">
        <v>13243625</v>
      </c>
      <c r="O534" s="57"/>
      <c r="P534" s="27">
        <v>11481198</v>
      </c>
      <c r="Q534" s="27">
        <v>16150356</v>
      </c>
      <c r="R534" s="40"/>
      <c r="S534" s="40"/>
      <c r="T534" s="40"/>
      <c r="U534" s="40"/>
    </row>
    <row r="535" spans="2:21" x14ac:dyDescent="0.3">
      <c r="C535" s="54"/>
      <c r="D535" s="54"/>
      <c r="E535" s="54"/>
      <c r="F535" s="54"/>
      <c r="G535" s="54"/>
      <c r="H535" s="54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</row>
    <row r="536" spans="2:21" x14ac:dyDescent="0.3">
      <c r="B536" t="s">
        <v>239</v>
      </c>
      <c r="C536" s="27">
        <v>6624731</v>
      </c>
      <c r="D536" s="27">
        <v>7210334</v>
      </c>
      <c r="E536" s="27">
        <v>7917888</v>
      </c>
      <c r="F536" s="27">
        <v>33159015</v>
      </c>
      <c r="G536" s="27">
        <v>23654334</v>
      </c>
      <c r="H536" s="27">
        <v>12522808</v>
      </c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</row>
    <row r="537" spans="2:21" x14ac:dyDescent="0.3">
      <c r="B537" t="s">
        <v>332</v>
      </c>
      <c r="C537" s="27">
        <v>17161363</v>
      </c>
      <c r="D537" s="27">
        <v>18151578</v>
      </c>
      <c r="E537" s="27">
        <v>15331005</v>
      </c>
      <c r="F537" s="27">
        <v>21396918</v>
      </c>
      <c r="G537" s="27">
        <v>8932717</v>
      </c>
      <c r="H537" s="27">
        <v>3627548</v>
      </c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</row>
    <row r="538" spans="2:21" x14ac:dyDescent="0.3">
      <c r="C538" s="54"/>
      <c r="D538" s="54"/>
      <c r="E538" s="54"/>
      <c r="F538" s="54"/>
      <c r="G538" s="54"/>
      <c r="H538" s="54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</row>
    <row r="539" spans="2:21" s="33" customFormat="1" x14ac:dyDescent="0.3">
      <c r="B539" s="33" t="s">
        <v>179</v>
      </c>
      <c r="C539" s="54">
        <f t="shared" ref="C539:G539" si="172">SUM(C536:C537)-C534</f>
        <v>0</v>
      </c>
      <c r="D539" s="54">
        <f t="shared" si="172"/>
        <v>0</v>
      </c>
      <c r="E539" s="54">
        <f t="shared" si="172"/>
        <v>0</v>
      </c>
      <c r="F539" s="54">
        <f t="shared" si="172"/>
        <v>0</v>
      </c>
      <c r="G539" s="54">
        <f t="shared" si="172"/>
        <v>0</v>
      </c>
      <c r="H539" s="54">
        <f>SUM(H536:H537)-H534</f>
        <v>0</v>
      </c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</row>
    <row r="540" spans="2:21" x14ac:dyDescent="0.3">
      <c r="C540" s="54"/>
      <c r="D540" s="54"/>
      <c r="E540" s="54"/>
      <c r="F540" s="54"/>
      <c r="G540" s="54"/>
      <c r="H540" s="54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</row>
    <row r="541" spans="2:21" x14ac:dyDescent="0.3">
      <c r="B541" t="s">
        <v>382</v>
      </c>
      <c r="C541" s="68"/>
      <c r="D541" s="68">
        <f t="shared" ref="D541:G541" si="173">D534/C534-1</f>
        <v>6.6249549001193619E-2</v>
      </c>
      <c r="E541" s="68">
        <f t="shared" si="173"/>
        <v>-8.3314657033744188E-2</v>
      </c>
      <c r="F541" s="68">
        <f t="shared" si="173"/>
        <v>1.3466034705394359</v>
      </c>
      <c r="G541" s="68">
        <f t="shared" si="173"/>
        <v>-0.40268547877276706</v>
      </c>
      <c r="H541" s="68">
        <f>H534/G534-1</f>
        <v>-0.50439344756909732</v>
      </c>
      <c r="I541" s="68">
        <f>I534/H534-1</f>
        <v>0.45391209952275968</v>
      </c>
      <c r="J541" s="93">
        <v>0.5</v>
      </c>
      <c r="K541" s="93">
        <v>0.5</v>
      </c>
      <c r="L541" s="93">
        <v>0.5</v>
      </c>
      <c r="M541" s="40"/>
      <c r="N541" s="40"/>
      <c r="O541" s="40"/>
      <c r="P541" s="40"/>
      <c r="Q541" s="40"/>
      <c r="R541" s="40"/>
      <c r="S541" s="40"/>
      <c r="T541" s="40"/>
      <c r="U541" s="40"/>
    </row>
    <row r="542" spans="2:21" x14ac:dyDescent="0.3">
      <c r="C542" s="54"/>
      <c r="D542" s="54"/>
      <c r="E542" s="54"/>
      <c r="F542" s="54"/>
      <c r="G542" s="54"/>
      <c r="H542" s="54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</row>
    <row r="543" spans="2:21" x14ac:dyDescent="0.3">
      <c r="B543" t="s">
        <v>416</v>
      </c>
      <c r="C543" s="54"/>
      <c r="D543" s="54"/>
      <c r="E543" s="54"/>
      <c r="F543" s="54"/>
      <c r="G543" s="54"/>
      <c r="H543" s="54"/>
      <c r="I543" s="57">
        <v>12000000</v>
      </c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</row>
    <row r="544" spans="2:21" s="7" customFormat="1" x14ac:dyDescent="0.3">
      <c r="C544" s="62"/>
      <c r="D544" s="62"/>
      <c r="E544" s="62"/>
      <c r="F544" s="62"/>
      <c r="G544" s="62"/>
      <c r="H544" s="62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</row>
    <row r="545" spans="2:21" x14ac:dyDescent="0.3">
      <c r="C545" s="54"/>
      <c r="D545" s="54"/>
      <c r="E545" s="54"/>
      <c r="F545" s="54"/>
      <c r="G545" s="54"/>
      <c r="H545" s="54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</row>
    <row r="546" spans="2:21" x14ac:dyDescent="0.3">
      <c r="B546" t="s">
        <v>54</v>
      </c>
      <c r="C546" s="27">
        <v>4202850</v>
      </c>
      <c r="D546" s="27">
        <v>6735997</v>
      </c>
      <c r="E546" s="27">
        <v>5197188</v>
      </c>
      <c r="F546" s="27">
        <v>6991005</v>
      </c>
      <c r="G546" s="27">
        <v>9486772</v>
      </c>
      <c r="H546" s="27">
        <v>24916074</v>
      </c>
      <c r="I546" s="57">
        <f>(FS!J25+FS!J29)*Drivers!I549</f>
        <v>9913347.5146077722</v>
      </c>
      <c r="J546" s="57">
        <f>(FS!K25+FS!K29)*Drivers!J549</f>
        <v>8703757.8574028723</v>
      </c>
      <c r="K546" s="57">
        <f>(FS!L25+FS!L29)*Drivers!K549</f>
        <v>9505552.2782801744</v>
      </c>
      <c r="L546" s="57">
        <f>(FS!M25+FS!M29)*Drivers!L549</f>
        <v>10262819.939326558</v>
      </c>
      <c r="M546" s="57"/>
      <c r="N546" s="38">
        <v>14420344</v>
      </c>
      <c r="O546" s="57"/>
      <c r="P546" s="27">
        <v>23513300</v>
      </c>
      <c r="Q546" s="27">
        <v>24916074</v>
      </c>
      <c r="R546" s="40"/>
      <c r="S546" s="40"/>
      <c r="T546" s="40"/>
      <c r="U546" s="40"/>
    </row>
    <row r="547" spans="2:21" x14ac:dyDescent="0.3">
      <c r="B547" t="s">
        <v>55</v>
      </c>
      <c r="C547" s="27">
        <v>3565215</v>
      </c>
      <c r="D547" s="27">
        <v>971424</v>
      </c>
      <c r="E547" s="27">
        <v>416458</v>
      </c>
      <c r="F547" s="27">
        <v>403846</v>
      </c>
      <c r="G547" s="27">
        <v>349106</v>
      </c>
      <c r="H547" s="27">
        <v>437123</v>
      </c>
      <c r="I547" s="57">
        <f>H547</f>
        <v>437123</v>
      </c>
      <c r="J547" s="57">
        <f t="shared" ref="J547:L547" si="174">I547</f>
        <v>437123</v>
      </c>
      <c r="K547" s="57">
        <f t="shared" si="174"/>
        <v>437123</v>
      </c>
      <c r="L547" s="57">
        <f t="shared" si="174"/>
        <v>437123</v>
      </c>
      <c r="M547" s="57"/>
      <c r="N547" s="38">
        <v>431708</v>
      </c>
      <c r="O547" s="57"/>
      <c r="P547" s="27">
        <v>433316</v>
      </c>
      <c r="Q547" s="27">
        <v>437123</v>
      </c>
      <c r="R547" s="40"/>
      <c r="S547" s="40"/>
      <c r="T547" s="40"/>
      <c r="U547" s="40"/>
    </row>
    <row r="548" spans="2:21" x14ac:dyDescent="0.3">
      <c r="C548" s="54"/>
      <c r="D548" s="54"/>
      <c r="E548" s="54"/>
      <c r="F548" s="54"/>
      <c r="G548" s="54"/>
      <c r="H548" s="54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</row>
    <row r="549" spans="2:21" x14ac:dyDescent="0.3">
      <c r="B549" t="s">
        <v>383</v>
      </c>
      <c r="C549" s="68">
        <f>C546/(FS!C25+FS!C29)</f>
        <v>0.36386934970512369</v>
      </c>
      <c r="D549" s="68">
        <f>D546/(FS!D25+FS!D29)</f>
        <v>0.47145828355232777</v>
      </c>
      <c r="E549" s="68">
        <f>E546/(FS!E25+FS!E29)</f>
        <v>0.4054212937003695</v>
      </c>
      <c r="F549" s="68">
        <f>F546/(FS!F25+FS!F29)</f>
        <v>0.58431507556891071</v>
      </c>
      <c r="G549" s="68">
        <f>G546/(FS!G25+FS!G29)</f>
        <v>0.65370714676812014</v>
      </c>
      <c r="H549" s="68">
        <f>H546/(FS!I25+FS!I29)</f>
        <v>6.187335964441548</v>
      </c>
      <c r="I549" s="93">
        <v>0.5</v>
      </c>
      <c r="J549" s="93">
        <v>0.5</v>
      </c>
      <c r="K549" s="93">
        <v>0.5</v>
      </c>
      <c r="L549" s="93">
        <v>0.5</v>
      </c>
      <c r="M549" s="40"/>
      <c r="N549" s="40"/>
      <c r="O549" s="40"/>
      <c r="P549" s="40"/>
      <c r="Q549" s="40"/>
      <c r="R549" s="40"/>
      <c r="S549" s="40"/>
      <c r="T549" s="40"/>
      <c r="U549" s="40"/>
    </row>
    <row r="550" spans="2:21" x14ac:dyDescent="0.3">
      <c r="C550" s="54"/>
      <c r="D550" s="54"/>
      <c r="E550" s="54"/>
      <c r="F550" s="54"/>
      <c r="G550" s="54"/>
      <c r="H550" s="54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</row>
    <row r="551" spans="2:21" s="7" customFormat="1" x14ac:dyDescent="0.3">
      <c r="C551" s="62"/>
      <c r="D551" s="62"/>
      <c r="E551" s="62"/>
      <c r="F551" s="62"/>
      <c r="G551" s="62"/>
      <c r="H551" s="62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</row>
    <row r="552" spans="2:21" x14ac:dyDescent="0.3">
      <c r="C552" s="54"/>
      <c r="D552" s="54"/>
      <c r="E552" s="54"/>
      <c r="F552" s="54"/>
      <c r="G552" s="54"/>
      <c r="H552" s="54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</row>
    <row r="553" spans="2:21" x14ac:dyDescent="0.3">
      <c r="B553" t="s">
        <v>56</v>
      </c>
      <c r="C553" s="27">
        <v>19508115</v>
      </c>
      <c r="D553" s="27">
        <v>24547513</v>
      </c>
      <c r="E553" s="27">
        <v>30775884</v>
      </c>
      <c r="F553" s="27">
        <v>33572283</v>
      </c>
      <c r="G553" s="27">
        <v>33253518</v>
      </c>
      <c r="H553" s="27">
        <v>40354877</v>
      </c>
      <c r="I553" s="13">
        <f>I501*I555</f>
        <v>53974747.437187493</v>
      </c>
      <c r="J553" s="13">
        <f t="shared" ref="J553:L553" si="175">J501*J555</f>
        <v>59061458.483540632</v>
      </c>
      <c r="K553" s="13">
        <f t="shared" si="175"/>
        <v>67055445.698669523</v>
      </c>
      <c r="L553" s="13">
        <f t="shared" si="175"/>
        <v>74626221.825938657</v>
      </c>
      <c r="M553" s="13"/>
      <c r="N553" s="38">
        <v>48296812</v>
      </c>
      <c r="P553" s="27">
        <v>36253554</v>
      </c>
      <c r="Q553" s="27">
        <v>40354877</v>
      </c>
    </row>
    <row r="554" spans="2:21" x14ac:dyDescent="0.3">
      <c r="C554" s="27"/>
      <c r="D554" s="27"/>
      <c r="E554" s="27"/>
      <c r="F554" s="27"/>
      <c r="G554" s="27"/>
      <c r="H554" s="27"/>
      <c r="I554" s="13"/>
      <c r="J554" s="13"/>
      <c r="K554" s="13"/>
      <c r="L554" s="13"/>
      <c r="M554" s="13"/>
      <c r="N554" s="13"/>
      <c r="O554" s="27"/>
      <c r="P554" s="27"/>
    </row>
    <row r="555" spans="2:21" x14ac:dyDescent="0.3">
      <c r="B555" t="s">
        <v>377</v>
      </c>
      <c r="C555" s="69">
        <f t="shared" ref="C555:G555" si="176">C553/C501</f>
        <v>2.2756092517369975E-2</v>
      </c>
      <c r="D555" s="69">
        <f t="shared" si="176"/>
        <v>2.4686476260680906E-2</v>
      </c>
      <c r="E555" s="69">
        <f t="shared" si="176"/>
        <v>2.8789883365986018E-2</v>
      </c>
      <c r="F555" s="69">
        <f t="shared" si="176"/>
        <v>2.6093467350558775E-2</v>
      </c>
      <c r="G555" s="69">
        <f t="shared" si="176"/>
        <v>2.2580880393795185E-2</v>
      </c>
      <c r="H555" s="69">
        <f>H553/H501</f>
        <v>2.0404503270962576E-2</v>
      </c>
      <c r="I555" s="96">
        <v>2.5000000000000001E-2</v>
      </c>
      <c r="J555" s="96">
        <v>2.5000000000000001E-2</v>
      </c>
      <c r="K555" s="96">
        <v>2.5000000000000001E-2</v>
      </c>
      <c r="L555" s="96">
        <v>2.5000000000000001E-2</v>
      </c>
      <c r="M555" s="13"/>
      <c r="N555" s="13"/>
      <c r="O555" s="27"/>
      <c r="P555" s="27"/>
    </row>
    <row r="556" spans="2:21" x14ac:dyDescent="0.3">
      <c r="C556" s="27"/>
      <c r="D556" s="27"/>
      <c r="E556" s="27"/>
      <c r="F556" s="27"/>
      <c r="G556" s="27"/>
      <c r="H556" s="27"/>
      <c r="I556" s="13"/>
      <c r="J556" s="13"/>
      <c r="K556" s="13"/>
      <c r="L556" s="13"/>
      <c r="M556" s="13"/>
      <c r="N556" s="13"/>
      <c r="O556" s="27"/>
      <c r="P556" s="27"/>
    </row>
    <row r="557" spans="2:21" s="7" customFormat="1" x14ac:dyDescent="0.3">
      <c r="C557" s="62"/>
      <c r="D557" s="62"/>
      <c r="E557" s="62"/>
      <c r="F557" s="62"/>
      <c r="G557" s="62"/>
      <c r="H557" s="62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</row>
    <row r="558" spans="2:21" x14ac:dyDescent="0.3">
      <c r="C558" s="27"/>
      <c r="D558" s="27"/>
      <c r="E558" s="27"/>
      <c r="F558" s="27"/>
      <c r="G558" s="27"/>
      <c r="H558" s="27"/>
      <c r="I558" s="13"/>
      <c r="J558" s="13"/>
      <c r="K558" s="13"/>
      <c r="L558" s="13"/>
      <c r="M558" s="13"/>
      <c r="N558" s="13"/>
      <c r="O558" s="27"/>
      <c r="P558" s="27"/>
    </row>
    <row r="559" spans="2:21" x14ac:dyDescent="0.3">
      <c r="B559" t="s">
        <v>58</v>
      </c>
      <c r="C559" s="27">
        <v>25165924</v>
      </c>
      <c r="D559" s="27">
        <v>37992457</v>
      </c>
      <c r="E559" s="27">
        <v>37886789</v>
      </c>
      <c r="F559" s="27">
        <v>38247138</v>
      </c>
      <c r="G559" s="27">
        <v>38303466</v>
      </c>
      <c r="H559" s="27">
        <v>61400967</v>
      </c>
      <c r="I559" s="57">
        <f>I501*I564</f>
        <v>32384848.462312493</v>
      </c>
      <c r="J559" s="57">
        <f t="shared" ref="J559:L559" si="177">J501*J564</f>
        <v>47249166.786832504</v>
      </c>
      <c r="K559" s="57">
        <f t="shared" si="177"/>
        <v>67055445.698669523</v>
      </c>
      <c r="L559" s="57">
        <f t="shared" si="177"/>
        <v>74626221.825938657</v>
      </c>
      <c r="M559" s="57"/>
      <c r="N559" s="38">
        <v>24869883</v>
      </c>
      <c r="O559" s="57"/>
      <c r="P559" s="27">
        <v>33262957</v>
      </c>
      <c r="Q559" s="27">
        <v>61400967</v>
      </c>
      <c r="R559" s="40"/>
      <c r="S559" s="40"/>
      <c r="T559" s="40"/>
      <c r="U559" s="40"/>
    </row>
    <row r="560" spans="2:21" x14ac:dyDescent="0.3">
      <c r="C560" s="54"/>
      <c r="D560" s="54"/>
      <c r="E560" s="54"/>
      <c r="F560" s="54"/>
      <c r="G560" s="54"/>
      <c r="H560" s="54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</row>
    <row r="561" spans="2:21" x14ac:dyDescent="0.3">
      <c r="B561" t="s">
        <v>334</v>
      </c>
      <c r="C561" s="54"/>
      <c r="D561" s="54"/>
      <c r="E561" s="27">
        <v>0</v>
      </c>
      <c r="F561" s="27">
        <v>9502140</v>
      </c>
      <c r="G561" s="27">
        <v>0</v>
      </c>
      <c r="H561" s="27">
        <v>35918840</v>
      </c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</row>
    <row r="562" spans="2:21" x14ac:dyDescent="0.3">
      <c r="B562" t="s">
        <v>333</v>
      </c>
      <c r="C562" s="27">
        <v>24699430</v>
      </c>
      <c r="D562" s="27">
        <v>36904430</v>
      </c>
      <c r="E562" s="27">
        <v>36810680</v>
      </c>
      <c r="F562" s="27">
        <v>27702290</v>
      </c>
      <c r="G562" s="27">
        <v>37272760</v>
      </c>
      <c r="H562" s="27">
        <v>23878920</v>
      </c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</row>
    <row r="563" spans="2:21" x14ac:dyDescent="0.3">
      <c r="C563" s="54"/>
      <c r="D563" s="54"/>
      <c r="E563" s="54"/>
      <c r="F563" s="54"/>
      <c r="G563" s="54"/>
      <c r="H563" s="54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</row>
    <row r="564" spans="2:21" x14ac:dyDescent="0.3">
      <c r="B564" t="s">
        <v>377</v>
      </c>
      <c r="C564" s="69">
        <f t="shared" ref="C564:G564" si="178">C559/C501</f>
        <v>2.9355890860244645E-2</v>
      </c>
      <c r="D564" s="69">
        <f t="shared" si="178"/>
        <v>3.8207531973419875E-2</v>
      </c>
      <c r="E564" s="69">
        <f t="shared" si="178"/>
        <v>3.5441914078624744E-2</v>
      </c>
      <c r="F564" s="69">
        <f t="shared" si="178"/>
        <v>2.9726916297450365E-2</v>
      </c>
      <c r="G564" s="69">
        <f t="shared" si="178"/>
        <v>2.6010059579675164E-2</v>
      </c>
      <c r="H564" s="69">
        <f>H559/H501</f>
        <v>3.1045968297506277E-2</v>
      </c>
      <c r="I564" s="94">
        <v>1.4999999999999999E-2</v>
      </c>
      <c r="J564" s="94">
        <v>0.02</v>
      </c>
      <c r="K564" s="94">
        <v>2.5000000000000001E-2</v>
      </c>
      <c r="L564" s="94">
        <v>2.5000000000000001E-2</v>
      </c>
      <c r="M564" s="40"/>
      <c r="N564" s="40"/>
      <c r="O564" s="40"/>
      <c r="P564" s="40"/>
      <c r="Q564" s="40"/>
      <c r="R564" s="40"/>
      <c r="S564" s="40"/>
      <c r="T564" s="40"/>
      <c r="U564" s="40"/>
    </row>
    <row r="565" spans="2:21" x14ac:dyDescent="0.3">
      <c r="C565" s="54"/>
      <c r="D565" s="54"/>
      <c r="E565" s="54"/>
      <c r="F565" s="54"/>
      <c r="G565" s="54"/>
      <c r="H565" s="54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</row>
    <row r="566" spans="2:21" x14ac:dyDescent="0.3">
      <c r="C566" s="54"/>
      <c r="D566" s="54"/>
      <c r="E566" s="54"/>
      <c r="F566" s="54"/>
      <c r="G566" s="54"/>
      <c r="H566" s="54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</row>
    <row r="567" spans="2:21" x14ac:dyDescent="0.3">
      <c r="C567" s="54"/>
      <c r="D567" s="54"/>
      <c r="E567" s="54"/>
      <c r="F567" s="54"/>
      <c r="G567" s="54"/>
      <c r="H567" s="54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</row>
    <row r="568" spans="2:21" s="7" customFormat="1" x14ac:dyDescent="0.3">
      <c r="C568" s="62"/>
      <c r="D568" s="62"/>
      <c r="E568" s="62"/>
      <c r="F568" s="62"/>
      <c r="G568" s="62"/>
      <c r="H568" s="62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</row>
    <row r="569" spans="2:21" x14ac:dyDescent="0.3">
      <c r="C569" s="54"/>
      <c r="D569" s="54"/>
      <c r="E569" s="54"/>
      <c r="F569" s="54"/>
      <c r="G569" s="54"/>
      <c r="H569" s="54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</row>
    <row r="570" spans="2:21" x14ac:dyDescent="0.3">
      <c r="B570" t="s">
        <v>339</v>
      </c>
      <c r="C570" s="36">
        <v>931971691</v>
      </c>
      <c r="D570" s="36">
        <v>945709403</v>
      </c>
      <c r="E570" s="36">
        <v>961252317</v>
      </c>
      <c r="F570" s="36">
        <v>1098934937</v>
      </c>
      <c r="G570" s="36">
        <v>1124480528</v>
      </c>
      <c r="H570" s="36">
        <v>1167236442</v>
      </c>
      <c r="I570" s="100">
        <v>1236525395</v>
      </c>
      <c r="J570" s="100">
        <v>1236525395</v>
      </c>
      <c r="K570" s="100">
        <v>1236525395</v>
      </c>
      <c r="L570" s="100">
        <v>1236525395</v>
      </c>
      <c r="M570" s="40"/>
      <c r="N570" s="100">
        <v>1236525395</v>
      </c>
      <c r="O570" s="40"/>
      <c r="P570" s="40"/>
      <c r="Q570" s="40"/>
      <c r="R570" s="40"/>
      <c r="S570" s="40"/>
      <c r="T570" s="40"/>
      <c r="U570" s="40"/>
    </row>
    <row r="571" spans="2:21" x14ac:dyDescent="0.3">
      <c r="B571" s="24" t="s">
        <v>335</v>
      </c>
      <c r="C571" s="27">
        <v>3278537</v>
      </c>
      <c r="D571" s="27">
        <v>1739324</v>
      </c>
      <c r="E571" s="27">
        <v>293385</v>
      </c>
      <c r="F571" s="54"/>
      <c r="G571" s="27">
        <v>474254</v>
      </c>
      <c r="H571" s="54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</row>
    <row r="572" spans="2:21" x14ac:dyDescent="0.3">
      <c r="B572" s="24" t="s">
        <v>336</v>
      </c>
      <c r="C572" s="27">
        <v>10521802</v>
      </c>
      <c r="D572" s="27">
        <v>11998388</v>
      </c>
      <c r="E572" s="27">
        <v>15249529</v>
      </c>
      <c r="F572" s="27">
        <v>22485434</v>
      </c>
      <c r="G572" s="27">
        <v>25071337</v>
      </c>
      <c r="H572" s="27">
        <v>42755914</v>
      </c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</row>
    <row r="573" spans="2:21" x14ac:dyDescent="0.3">
      <c r="B573" s="24" t="s">
        <v>337</v>
      </c>
      <c r="C573" s="27">
        <v>84649465</v>
      </c>
      <c r="D573" s="54"/>
      <c r="E573" s="54"/>
      <c r="F573" s="54"/>
      <c r="G573" s="54"/>
      <c r="H573" s="54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</row>
    <row r="574" spans="2:21" x14ac:dyDescent="0.3">
      <c r="B574" s="24" t="s">
        <v>338</v>
      </c>
      <c r="C574" s="54"/>
      <c r="D574" s="54"/>
      <c r="E574" s="54"/>
      <c r="F574" s="27">
        <v>115197186</v>
      </c>
      <c r="G574" s="54"/>
      <c r="H574" s="54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</row>
    <row r="575" spans="2:21" x14ac:dyDescent="0.3">
      <c r="C575" s="54"/>
      <c r="D575" s="54"/>
      <c r="E575" s="54"/>
      <c r="F575" s="54"/>
      <c r="G575" s="54"/>
      <c r="H575" s="54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</row>
    <row r="576" spans="2:21" s="33" customFormat="1" x14ac:dyDescent="0.3">
      <c r="B576" s="33" t="s">
        <v>179</v>
      </c>
      <c r="C576" s="54"/>
      <c r="D576" s="54">
        <f>C570+SUM(D571:D574)-D570</f>
        <v>0</v>
      </c>
      <c r="E576" s="54">
        <f t="shared" ref="E576:H576" si="179">D570+SUM(E571:E574)-E570</f>
        <v>0</v>
      </c>
      <c r="F576" s="54">
        <f t="shared" si="179"/>
        <v>0</v>
      </c>
      <c r="G576" s="54">
        <f t="shared" si="179"/>
        <v>0</v>
      </c>
      <c r="H576" s="54">
        <f t="shared" si="179"/>
        <v>0</v>
      </c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</row>
    <row r="577" spans="2:21" x14ac:dyDescent="0.3">
      <c r="C577" s="54"/>
      <c r="D577" s="54"/>
      <c r="E577" s="54"/>
      <c r="F577" s="54"/>
      <c r="G577" s="54"/>
      <c r="H577" s="54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</row>
    <row r="578" spans="2:21" x14ac:dyDescent="0.3">
      <c r="B578" t="s">
        <v>340</v>
      </c>
      <c r="C578" s="36">
        <v>63927611</v>
      </c>
      <c r="D578" s="36">
        <v>65013174</v>
      </c>
      <c r="E578" s="36">
        <v>66254269</v>
      </c>
      <c r="F578" s="36">
        <v>67970701</v>
      </c>
      <c r="G578" s="36">
        <v>69740771</v>
      </c>
      <c r="H578" s="36">
        <v>72541605</v>
      </c>
      <c r="I578" s="100">
        <v>77595733</v>
      </c>
      <c r="J578" s="100">
        <v>77595733</v>
      </c>
      <c r="K578" s="100">
        <v>77595733</v>
      </c>
      <c r="L578" s="100">
        <v>77595733</v>
      </c>
      <c r="M578" s="40"/>
      <c r="N578" s="100">
        <v>77595733</v>
      </c>
      <c r="O578" s="40"/>
      <c r="P578" s="40"/>
      <c r="Q578" s="40"/>
      <c r="R578" s="40"/>
      <c r="S578" s="40"/>
      <c r="T578" s="40"/>
      <c r="U578" s="40"/>
    </row>
    <row r="579" spans="2:21" x14ac:dyDescent="0.3">
      <c r="B579" s="24" t="s">
        <v>335</v>
      </c>
      <c r="C579" s="54"/>
      <c r="D579" s="54"/>
      <c r="E579" s="54"/>
      <c r="F579" s="54"/>
      <c r="G579" s="54"/>
      <c r="H579" s="54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</row>
    <row r="580" spans="2:21" x14ac:dyDescent="0.3">
      <c r="B580" s="24" t="s">
        <v>336</v>
      </c>
      <c r="C580" s="27">
        <v>903357</v>
      </c>
      <c r="D580" s="27">
        <v>1085563</v>
      </c>
      <c r="E580" s="27">
        <v>1241095</v>
      </c>
      <c r="F580" s="27">
        <v>1716432</v>
      </c>
      <c r="G580" s="27">
        <v>1770070</v>
      </c>
      <c r="H580" s="27">
        <v>2800834</v>
      </c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</row>
    <row r="581" spans="2:21" x14ac:dyDescent="0.3">
      <c r="B581" s="24" t="s">
        <v>337</v>
      </c>
      <c r="C581" s="27">
        <v>5811601</v>
      </c>
      <c r="D581" s="54"/>
      <c r="E581" s="54"/>
      <c r="F581" s="54"/>
      <c r="G581" s="54"/>
      <c r="H581" s="54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</row>
    <row r="582" spans="2:21" x14ac:dyDescent="0.3">
      <c r="B582" s="24" t="s">
        <v>338</v>
      </c>
      <c r="C582" s="54"/>
      <c r="D582" s="54"/>
      <c r="E582" s="54"/>
      <c r="F582" s="54"/>
      <c r="G582" s="54"/>
      <c r="H582" s="54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</row>
    <row r="583" spans="2:21" x14ac:dyDescent="0.3">
      <c r="C583" s="54"/>
      <c r="D583" s="54"/>
      <c r="E583" s="54"/>
      <c r="F583" s="54"/>
      <c r="G583" s="54"/>
      <c r="H583" s="54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</row>
    <row r="584" spans="2:21" s="33" customFormat="1" x14ac:dyDescent="0.3">
      <c r="B584" s="33" t="s">
        <v>179</v>
      </c>
      <c r="C584" s="54"/>
      <c r="D584" s="54">
        <f>C578+SUM(D579:D582)-D578</f>
        <v>0</v>
      </c>
      <c r="E584" s="54">
        <f t="shared" ref="E584:H584" si="180">D578+SUM(E579:E582)-E578</f>
        <v>0</v>
      </c>
      <c r="F584" s="54">
        <f t="shared" si="180"/>
        <v>0</v>
      </c>
      <c r="G584" s="54">
        <f t="shared" si="180"/>
        <v>0</v>
      </c>
      <c r="H584" s="54">
        <f t="shared" si="180"/>
        <v>0</v>
      </c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</row>
    <row r="585" spans="2:21" x14ac:dyDescent="0.3">
      <c r="C585" s="54"/>
      <c r="D585" s="54"/>
      <c r="E585" s="54"/>
      <c r="F585" s="54"/>
      <c r="G585" s="54"/>
      <c r="H585" s="54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</row>
    <row r="586" spans="2:21" x14ac:dyDescent="0.3">
      <c r="B586" t="s">
        <v>346</v>
      </c>
      <c r="C586" s="54">
        <f t="shared" ref="C586:G586" si="181">C570+C578</f>
        <v>995899302</v>
      </c>
      <c r="D586" s="54">
        <f t="shared" si="181"/>
        <v>1010722577</v>
      </c>
      <c r="E586" s="54">
        <f t="shared" si="181"/>
        <v>1027506586</v>
      </c>
      <c r="F586" s="54">
        <f t="shared" si="181"/>
        <v>1166905638</v>
      </c>
      <c r="G586" s="54">
        <f t="shared" si="181"/>
        <v>1194221299</v>
      </c>
      <c r="H586" s="54">
        <f>H570+H578</f>
        <v>1239778047</v>
      </c>
      <c r="I586" s="70">
        <f>I570+I578</f>
        <v>1314121128</v>
      </c>
      <c r="J586" s="70">
        <f t="shared" ref="J586:L586" si="182">J570+J578</f>
        <v>1314121128</v>
      </c>
      <c r="K586" s="70">
        <f t="shared" si="182"/>
        <v>1314121128</v>
      </c>
      <c r="L586" s="70">
        <f t="shared" si="182"/>
        <v>1314121128</v>
      </c>
      <c r="M586" s="40"/>
      <c r="N586" s="40"/>
      <c r="O586" s="40"/>
      <c r="P586" s="40"/>
      <c r="Q586" s="40"/>
      <c r="R586" s="40"/>
      <c r="S586" s="40"/>
      <c r="T586" s="40"/>
      <c r="U586" s="40"/>
    </row>
    <row r="587" spans="2:21" x14ac:dyDescent="0.3">
      <c r="C587" s="54"/>
      <c r="D587" s="54"/>
      <c r="E587" s="54"/>
      <c r="F587" s="54"/>
      <c r="G587" s="54"/>
      <c r="H587" s="54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</row>
    <row r="588" spans="2:21" x14ac:dyDescent="0.3">
      <c r="B588" t="s">
        <v>347</v>
      </c>
      <c r="C588" s="61">
        <f t="shared" ref="C588:G588" si="183">C599/(C586/1000)</f>
        <v>37.296482611652635</v>
      </c>
      <c r="D588" s="61">
        <f t="shared" si="183"/>
        <v>38.732569045996485</v>
      </c>
      <c r="E588" s="61">
        <f t="shared" si="183"/>
        <v>39.821601688497594</v>
      </c>
      <c r="F588" s="61">
        <f t="shared" si="183"/>
        <v>44.723193804639067</v>
      </c>
      <c r="G588" s="61">
        <f t="shared" si="183"/>
        <v>45.692500247393426</v>
      </c>
      <c r="H588" s="61">
        <f>H599/(H586/1000)</f>
        <v>46.903251062325026</v>
      </c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</row>
    <row r="589" spans="2:21" x14ac:dyDescent="0.3">
      <c r="C589" s="54"/>
      <c r="D589" s="54"/>
      <c r="E589" s="54"/>
      <c r="F589" s="54"/>
      <c r="G589" s="54"/>
      <c r="H589" s="54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</row>
    <row r="590" spans="2:21" x14ac:dyDescent="0.3">
      <c r="B590" t="s">
        <v>424</v>
      </c>
      <c r="C590" s="54"/>
      <c r="D590" s="54"/>
      <c r="E590" s="54"/>
      <c r="F590" s="54"/>
      <c r="G590" s="54"/>
      <c r="H590" s="54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</row>
    <row r="591" spans="2:21" x14ac:dyDescent="0.3">
      <c r="B591" t="s">
        <v>422</v>
      </c>
      <c r="C591" s="61">
        <f>FS!C80*1000/Drivers!C586</f>
        <v>108.43947754870501</v>
      </c>
      <c r="D591" s="61">
        <f>FS!D80*1000/Drivers!D586</f>
        <v>118.13117834410461</v>
      </c>
      <c r="E591" s="61">
        <f>FS!E80*1000/Drivers!E586</f>
        <v>130.82568115042719</v>
      </c>
      <c r="F591" s="61">
        <f>FS!F80*1000/Drivers!F586</f>
        <v>136.42303783264435</v>
      </c>
      <c r="G591" s="61">
        <f>FS!G80*1000/Drivers!G586</f>
        <v>140.23759008505172</v>
      </c>
      <c r="H591" s="61">
        <f>FS!I80*1000/Drivers!H586</f>
        <v>168.46980514408156</v>
      </c>
      <c r="I591" s="61">
        <f>FS!J80*1000/Drivers!I586</f>
        <v>174.6907210487785</v>
      </c>
      <c r="J591" s="61">
        <f>FS!K80*1000/Drivers!J586</f>
        <v>193.31150384045156</v>
      </c>
      <c r="K591" s="61">
        <f>FS!L80*1000/Drivers!K586</f>
        <v>211.22647952129455</v>
      </c>
      <c r="L591" s="61">
        <f>FS!M80*1000/Drivers!L586</f>
        <v>229.8881496437703</v>
      </c>
      <c r="M591" s="40"/>
      <c r="N591" s="40"/>
      <c r="O591" s="40"/>
      <c r="P591" s="40"/>
      <c r="Q591" s="40"/>
      <c r="R591" s="40"/>
      <c r="S591" s="40"/>
      <c r="T591" s="40"/>
      <c r="U591" s="40"/>
    </row>
    <row r="592" spans="2:21" x14ac:dyDescent="0.3">
      <c r="B592" t="s">
        <v>423</v>
      </c>
      <c r="C592" s="61">
        <f>FS!C31*1000/Drivers!C586</f>
        <v>16.674339430353371</v>
      </c>
      <c r="D592" s="61">
        <f>FS!D31*1000/Drivers!D586</f>
        <v>17.546561641711502</v>
      </c>
      <c r="E592" s="61">
        <f>FS!E31*1000/Drivers!E586</f>
        <v>16.801117613469</v>
      </c>
      <c r="F592" s="61">
        <f>FS!F31*1000/Drivers!F586</f>
        <v>14.516983591778652</v>
      </c>
      <c r="G592" s="61">
        <f>FS!G31*1000/Drivers!G586</f>
        <v>20.149087124931608</v>
      </c>
      <c r="H592" s="61">
        <f>FS!I31*1000/Drivers!H586</f>
        <v>19.206594323572499</v>
      </c>
      <c r="I592" s="61">
        <f>FS!J31*1000/Drivers!I586</f>
        <v>15.064716098859725</v>
      </c>
      <c r="J592" s="61">
        <f>FS!K31*1000/Drivers!J586</f>
        <v>19.610514804909627</v>
      </c>
      <c r="K592" s="61">
        <f>FS!L31*1000/Drivers!K586</f>
        <v>20.887890052851784</v>
      </c>
      <c r="L592" s="61">
        <f>FS!M31*1000/Drivers!L586</f>
        <v>21.972720431137031</v>
      </c>
      <c r="M592" s="40"/>
      <c r="N592" s="40"/>
      <c r="O592" s="40"/>
      <c r="P592" s="40"/>
      <c r="Q592" s="40"/>
      <c r="R592" s="40"/>
      <c r="S592" s="40"/>
      <c r="T592" s="40"/>
      <c r="U592" s="40"/>
    </row>
    <row r="593" spans="2:21" x14ac:dyDescent="0.3">
      <c r="C593" s="61"/>
      <c r="D593" s="61"/>
      <c r="E593" s="61"/>
      <c r="F593" s="61"/>
      <c r="G593" s="61"/>
      <c r="H593" s="61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</row>
    <row r="594" spans="2:21" x14ac:dyDescent="0.3">
      <c r="B594" t="s">
        <v>425</v>
      </c>
      <c r="C594" s="61"/>
      <c r="D594" s="61"/>
      <c r="E594" s="61"/>
      <c r="F594" s="61"/>
      <c r="G594" s="61"/>
      <c r="H594" s="61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</row>
    <row r="595" spans="2:21" x14ac:dyDescent="0.3">
      <c r="B595" t="s">
        <v>422</v>
      </c>
      <c r="C595" s="61"/>
      <c r="D595" s="61"/>
      <c r="E595" s="61"/>
      <c r="F595" s="61"/>
      <c r="G595" s="61"/>
      <c r="H595" s="109">
        <f>FS!I80*1000/Drivers!$I$586</f>
        <v>158.93905177362006</v>
      </c>
      <c r="I595" s="109">
        <f>FS!J80*1000/Drivers!$I$586</f>
        <v>174.6907210487785</v>
      </c>
      <c r="J595" s="109">
        <f>FS!K80*1000/Drivers!$I$586</f>
        <v>193.31150384045156</v>
      </c>
      <c r="K595" s="109">
        <f>FS!L80*1000/Drivers!$I$586</f>
        <v>211.22647952129455</v>
      </c>
      <c r="L595" s="109">
        <f>FS!M80*1000/Drivers!$I$586</f>
        <v>229.8881496437703</v>
      </c>
      <c r="M595" s="40"/>
      <c r="N595" s="40"/>
      <c r="O595" s="40"/>
      <c r="P595" s="40"/>
      <c r="Q595" s="40"/>
      <c r="R595" s="40"/>
      <c r="S595" s="40"/>
      <c r="T595" s="40"/>
      <c r="U595" s="40"/>
    </row>
    <row r="596" spans="2:21" x14ac:dyDescent="0.3">
      <c r="B596" t="s">
        <v>423</v>
      </c>
      <c r="C596" s="61"/>
      <c r="D596" s="61"/>
      <c r="E596" s="61"/>
      <c r="F596" s="61"/>
      <c r="G596" s="61"/>
      <c r="H596" s="61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</row>
    <row r="597" spans="2:21" s="7" customFormat="1" x14ac:dyDescent="0.3">
      <c r="C597" s="62"/>
      <c r="D597" s="62"/>
      <c r="E597" s="62"/>
      <c r="F597" s="62"/>
      <c r="G597" s="62"/>
      <c r="H597" s="62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</row>
    <row r="598" spans="2:21" x14ac:dyDescent="0.3">
      <c r="C598" s="54"/>
      <c r="D598" s="54"/>
      <c r="E598" s="54"/>
      <c r="F598" s="54"/>
      <c r="G598" s="54"/>
      <c r="H598" s="54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</row>
    <row r="599" spans="2:21" x14ac:dyDescent="0.3">
      <c r="B599" s="4" t="s">
        <v>110</v>
      </c>
      <c r="C599" s="27">
        <v>37143541</v>
      </c>
      <c r="D599" s="27">
        <v>39147882</v>
      </c>
      <c r="E599" s="27">
        <v>40916958</v>
      </c>
      <c r="F599" s="27">
        <v>52187747</v>
      </c>
      <c r="G599" s="27">
        <v>54566957</v>
      </c>
      <c r="H599" s="27">
        <v>58149621</v>
      </c>
      <c r="I599" s="57">
        <f>N599</f>
        <v>62948003</v>
      </c>
      <c r="J599" s="57">
        <f>I599*1.1</f>
        <v>69242803.300000012</v>
      </c>
      <c r="K599" s="57">
        <f t="shared" ref="K599:L599" si="184">J599*1.05</f>
        <v>72704943.465000018</v>
      </c>
      <c r="L599" s="57">
        <f t="shared" si="184"/>
        <v>76340190.638250023</v>
      </c>
      <c r="M599" s="57"/>
      <c r="N599" s="38">
        <v>62948003</v>
      </c>
      <c r="O599" s="57"/>
      <c r="P599" s="27">
        <v>62891772</v>
      </c>
      <c r="Q599" s="27">
        <v>58149621</v>
      </c>
      <c r="R599" s="40"/>
      <c r="S599" s="40"/>
      <c r="T599" s="40"/>
      <c r="U599" s="40"/>
    </row>
    <row r="600" spans="2:21" x14ac:dyDescent="0.3">
      <c r="C600" s="54"/>
      <c r="D600" s="54"/>
      <c r="E600" s="54"/>
      <c r="F600" s="54"/>
      <c r="G600" s="54"/>
      <c r="H600" s="54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</row>
    <row r="601" spans="2:21" x14ac:dyDescent="0.3">
      <c r="B601" t="s">
        <v>341</v>
      </c>
      <c r="C601" s="27">
        <v>1503566</v>
      </c>
      <c r="D601" s="27">
        <v>1679774</v>
      </c>
      <c r="E601" s="27">
        <v>1627125</v>
      </c>
      <c r="F601" s="27">
        <v>1922505</v>
      </c>
      <c r="G601" s="27">
        <v>2198757</v>
      </c>
      <c r="H601" s="27">
        <v>3373442</v>
      </c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</row>
    <row r="602" spans="2:21" x14ac:dyDescent="0.3">
      <c r="B602" t="s">
        <v>342</v>
      </c>
      <c r="C602" s="27">
        <v>102983</v>
      </c>
      <c r="D602" s="27">
        <v>115070</v>
      </c>
      <c r="E602" s="27">
        <v>111823</v>
      </c>
      <c r="F602" s="27">
        <v>132509</v>
      </c>
      <c r="G602" s="27">
        <v>135941</v>
      </c>
      <c r="H602" s="27">
        <v>209222</v>
      </c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</row>
    <row r="603" spans="2:21" x14ac:dyDescent="0.3">
      <c r="C603" s="54"/>
      <c r="D603" s="54"/>
      <c r="E603" s="54"/>
      <c r="F603" s="54"/>
      <c r="G603" s="54"/>
      <c r="H603" s="54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</row>
    <row r="604" spans="2:21" x14ac:dyDescent="0.3">
      <c r="B604" t="s">
        <v>343</v>
      </c>
      <c r="C604" s="54"/>
      <c r="D604" s="54"/>
      <c r="E604" s="54"/>
      <c r="F604" s="54"/>
      <c r="G604" s="54"/>
      <c r="H604" s="54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</row>
    <row r="605" spans="2:21" x14ac:dyDescent="0.3">
      <c r="B605" t="s">
        <v>344</v>
      </c>
      <c r="C605" s="54">
        <f t="shared" ref="C605:G605" si="185">C601/(C572/1000)</f>
        <v>142.90004696914085</v>
      </c>
      <c r="D605" s="54">
        <f t="shared" si="185"/>
        <v>139.99997332975062</v>
      </c>
      <c r="E605" s="54">
        <f t="shared" si="185"/>
        <v>106.70001676773099</v>
      </c>
      <c r="F605" s="54">
        <f t="shared" si="185"/>
        <v>85.500017477981515</v>
      </c>
      <c r="G605" s="54">
        <f t="shared" si="185"/>
        <v>87.700029719196863</v>
      </c>
      <c r="H605" s="54">
        <f>H601/(H572/1000)</f>
        <v>78.9000090139577</v>
      </c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</row>
    <row r="606" spans="2:21" x14ac:dyDescent="0.3">
      <c r="B606" t="s">
        <v>345</v>
      </c>
      <c r="C606" s="54">
        <f t="shared" ref="C606:G606" si="186">C602/(C580/1000)</f>
        <v>114.00033430858454</v>
      </c>
      <c r="D606" s="54">
        <f t="shared" si="186"/>
        <v>106.00029662027906</v>
      </c>
      <c r="E606" s="54">
        <f t="shared" si="186"/>
        <v>90.100274354501465</v>
      </c>
      <c r="F606" s="54">
        <f t="shared" si="186"/>
        <v>77.200261938719393</v>
      </c>
      <c r="G606" s="54">
        <f t="shared" si="186"/>
        <v>76.799787579022308</v>
      </c>
      <c r="H606" s="54">
        <f>H602/(H580/1000)</f>
        <v>74.699892960453923</v>
      </c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</row>
    <row r="607" spans="2:21" x14ac:dyDescent="0.3">
      <c r="C607" s="54"/>
      <c r="D607" s="54"/>
      <c r="E607" s="54"/>
      <c r="F607" s="54"/>
      <c r="G607" s="54"/>
      <c r="H607" s="54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</row>
    <row r="608" spans="2:21" x14ac:dyDescent="0.3">
      <c r="C608" s="54"/>
      <c r="D608" s="54"/>
      <c r="E608" s="54"/>
      <c r="F608" s="54"/>
      <c r="G608" s="54"/>
      <c r="H608" s="54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</row>
    <row r="609" spans="2:21" x14ac:dyDescent="0.3">
      <c r="B609" t="s">
        <v>60</v>
      </c>
      <c r="C609" s="27">
        <v>6492552</v>
      </c>
      <c r="D609" s="27">
        <v>7444178</v>
      </c>
      <c r="E609" s="27">
        <v>8387701</v>
      </c>
      <c r="F609" s="27">
        <v>9285233</v>
      </c>
      <c r="G609" s="27">
        <v>10590338</v>
      </c>
      <c r="H609" s="27">
        <v>12079670</v>
      </c>
      <c r="I609" s="13">
        <f>FS!J67*Drivers!I610</f>
        <v>15112929.282412499</v>
      </c>
      <c r="J609" s="13">
        <f>FS!K67*Drivers!J610</f>
        <v>16537208.375391377</v>
      </c>
      <c r="K609" s="13">
        <f>FS!L67*Drivers!K610</f>
        <v>18775524.795627464</v>
      </c>
      <c r="L609" s="13">
        <f>FS!M67*Drivers!L610</f>
        <v>20895342.111262824</v>
      </c>
      <c r="M609" s="13"/>
      <c r="N609" s="13"/>
      <c r="O609" s="13">
        <v>12079670</v>
      </c>
      <c r="P609" s="27">
        <v>12079670</v>
      </c>
      <c r="Q609" s="27">
        <v>12079670</v>
      </c>
    </row>
    <row r="610" spans="2:21" x14ac:dyDescent="0.3">
      <c r="B610" t="s">
        <v>377</v>
      </c>
      <c r="C610" s="69">
        <f>C609/FS!C67</f>
        <v>7.5735207622999691E-3</v>
      </c>
      <c r="D610" s="69">
        <f>D609/FS!D67</f>
        <v>7.4863194278492924E-3</v>
      </c>
      <c r="E610" s="69">
        <f>E609/FS!E67</f>
        <v>7.846433704349948E-3</v>
      </c>
      <c r="F610" s="69">
        <f>F609/FS!F67</f>
        <v>7.2167842779065966E-3</v>
      </c>
      <c r="G610" s="69">
        <f>G609/FS!G67</f>
        <v>7.1913941769368318E-3</v>
      </c>
      <c r="H610" s="69">
        <f>H609/FS!I67</f>
        <v>6.1078036745632631E-3</v>
      </c>
      <c r="I610" s="94">
        <v>7.0000000000000001E-3</v>
      </c>
      <c r="J610" s="94">
        <v>7.0000000000000001E-3</v>
      </c>
      <c r="K610" s="94">
        <v>7.0000000000000001E-3</v>
      </c>
      <c r="L610" s="94">
        <v>7.0000000000000001E-3</v>
      </c>
      <c r="M610" s="40"/>
      <c r="N610" s="40"/>
      <c r="O610" s="40"/>
      <c r="P610" s="40"/>
      <c r="Q610" s="40"/>
      <c r="R610" s="40"/>
      <c r="S610" s="40"/>
      <c r="T610" s="40"/>
      <c r="U610" s="40"/>
    </row>
    <row r="611" spans="2:21" x14ac:dyDescent="0.3">
      <c r="C611" s="54"/>
      <c r="D611" s="54"/>
      <c r="E611" s="54"/>
      <c r="F611" s="54"/>
      <c r="G611" s="54"/>
      <c r="H611" s="54"/>
      <c r="I611" s="57">
        <f>I599-H599</f>
        <v>4798382</v>
      </c>
      <c r="J611" s="57">
        <f>J599-I599</f>
        <v>6294800.3000000119</v>
      </c>
      <c r="K611" s="57">
        <f t="shared" ref="K611:L611" si="187">K599-J599</f>
        <v>3462140.1650000066</v>
      </c>
      <c r="L611" s="57">
        <f t="shared" si="187"/>
        <v>3635247.1732500046</v>
      </c>
      <c r="M611" s="40"/>
      <c r="N611" s="40"/>
      <c r="O611" s="40"/>
      <c r="P611" s="40"/>
      <c r="Q611" s="40"/>
      <c r="R611" s="40"/>
      <c r="S611" s="40"/>
      <c r="T611" s="40"/>
      <c r="U611" s="40"/>
    </row>
    <row r="612" spans="2:21" x14ac:dyDescent="0.3">
      <c r="C612" s="54"/>
      <c r="D612" s="54"/>
      <c r="E612" s="54"/>
      <c r="F612" s="54"/>
      <c r="G612" s="54"/>
      <c r="H612" s="54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</row>
    <row r="613" spans="2:21" s="7" customFormat="1" x14ac:dyDescent="0.3">
      <c r="C613" s="62"/>
      <c r="D613" s="62"/>
      <c r="E613" s="62"/>
      <c r="F613" s="62"/>
      <c r="G613" s="62"/>
      <c r="H613" s="62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</row>
    <row r="614" spans="2:21" x14ac:dyDescent="0.3">
      <c r="C614" s="54"/>
      <c r="D614" s="54"/>
      <c r="E614" s="54"/>
      <c r="F614" s="54"/>
      <c r="G614" s="54"/>
      <c r="H614" s="54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</row>
    <row r="615" spans="2:21" x14ac:dyDescent="0.3">
      <c r="B615" t="s">
        <v>61</v>
      </c>
      <c r="C615" s="27">
        <v>5086609</v>
      </c>
      <c r="D615" s="27">
        <v>4949955</v>
      </c>
      <c r="E615" s="27">
        <v>5182185</v>
      </c>
      <c r="F615" s="27">
        <v>8124261</v>
      </c>
      <c r="G615" s="27">
        <v>9890762</v>
      </c>
      <c r="H615" s="27">
        <v>6790304</v>
      </c>
      <c r="I615" s="57">
        <f>H615+I617+I619+I620</f>
        <v>15698891.770774985</v>
      </c>
      <c r="J615" s="57">
        <f t="shared" ref="J615:L615" si="188">I615+J617+J619+J620</f>
        <v>26007128.5052104</v>
      </c>
      <c r="K615" s="57">
        <f t="shared" si="188"/>
        <v>35614354.678438142</v>
      </c>
      <c r="L615" s="57">
        <f t="shared" si="188"/>
        <v>45720540.333806194</v>
      </c>
      <c r="M615" s="57"/>
      <c r="N615" s="38">
        <v>15470462</v>
      </c>
      <c r="O615" s="57"/>
      <c r="P615" s="27">
        <v>9216216</v>
      </c>
      <c r="Q615" s="27">
        <v>6790304</v>
      </c>
      <c r="R615" s="40"/>
      <c r="S615" s="40"/>
      <c r="T615" s="40"/>
      <c r="U615" s="40"/>
    </row>
    <row r="616" spans="2:21" x14ac:dyDescent="0.3">
      <c r="C616" s="54"/>
      <c r="D616" s="54"/>
      <c r="E616" s="54"/>
      <c r="F616" s="54"/>
      <c r="G616" s="54"/>
      <c r="H616" s="54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</row>
    <row r="617" spans="2:21" x14ac:dyDescent="0.3">
      <c r="B617" t="s">
        <v>29</v>
      </c>
      <c r="C617" s="27">
        <v>16605963</v>
      </c>
      <c r="D617" s="27">
        <v>17734706</v>
      </c>
      <c r="E617" s="27">
        <v>17263259</v>
      </c>
      <c r="F617" s="27">
        <v>16939950</v>
      </c>
      <c r="G617" s="54">
        <f>FS!G31</f>
        <v>24062469</v>
      </c>
      <c r="H617" s="54">
        <f>FS!I31</f>
        <v>23811914</v>
      </c>
      <c r="I617" s="54">
        <f>FS!J31</f>
        <v>19796861.7128333</v>
      </c>
      <c r="J617" s="54">
        <f>FS!K31</f>
        <v>25770591.836088538</v>
      </c>
      <c r="K617" s="54">
        <f>FS!L31</f>
        <v>27449217.637793563</v>
      </c>
      <c r="L617" s="54">
        <f>FS!M31</f>
        <v>28874816.158194441</v>
      </c>
      <c r="M617" s="40"/>
      <c r="N617" s="40"/>
      <c r="O617" s="40"/>
      <c r="P617" s="40"/>
      <c r="Q617" s="40"/>
      <c r="R617" s="40"/>
      <c r="S617" s="40"/>
      <c r="T617" s="40"/>
      <c r="U617" s="40"/>
    </row>
    <row r="618" spans="2:21" x14ac:dyDescent="0.3">
      <c r="B618" t="s">
        <v>348</v>
      </c>
      <c r="C618" s="27">
        <v>-532590</v>
      </c>
      <c r="D618" s="27">
        <v>99246</v>
      </c>
      <c r="E618" s="27">
        <v>-57400</v>
      </c>
      <c r="F618" s="27">
        <v>-225018</v>
      </c>
      <c r="G618" s="27">
        <v>8647</v>
      </c>
      <c r="H618" s="27">
        <v>-11362</v>
      </c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</row>
    <row r="619" spans="2:21" x14ac:dyDescent="0.3">
      <c r="B619" t="s">
        <v>349</v>
      </c>
      <c r="C619" s="27">
        <v>-5953572</v>
      </c>
      <c r="D619" s="27">
        <v>-6500351</v>
      </c>
      <c r="E619" s="27">
        <v>-6596161</v>
      </c>
      <c r="F619" s="27">
        <v>-5137534</v>
      </c>
      <c r="G619" s="27">
        <v>-7587768</v>
      </c>
      <c r="H619" s="27">
        <v>-8956660</v>
      </c>
      <c r="I619" s="54">
        <f>I625*I617</f>
        <v>-6928901.5994916549</v>
      </c>
      <c r="J619" s="54">
        <f t="shared" ref="J619:L619" si="189">J625*J617</f>
        <v>-9019707.1426309869</v>
      </c>
      <c r="K619" s="54">
        <f t="shared" si="189"/>
        <v>-9607226.173227746</v>
      </c>
      <c r="L619" s="54">
        <f t="shared" si="189"/>
        <v>-10106185.655368054</v>
      </c>
      <c r="M619" s="40"/>
      <c r="N619" s="40"/>
      <c r="O619" s="40"/>
      <c r="P619" s="40"/>
      <c r="Q619" s="40"/>
      <c r="R619" s="40"/>
      <c r="S619" s="40"/>
      <c r="T619" s="40"/>
      <c r="U619" s="40"/>
    </row>
    <row r="620" spans="2:21" x14ac:dyDescent="0.3">
      <c r="B620" t="s">
        <v>358</v>
      </c>
      <c r="C620" s="27">
        <v>-9624559</v>
      </c>
      <c r="D620" s="27">
        <v>-6331626</v>
      </c>
      <c r="E620" s="27">
        <v>-10413523</v>
      </c>
      <c r="F620" s="27">
        <v>-8747532</v>
      </c>
      <c r="G620" s="27">
        <v>-15055105</v>
      </c>
      <c r="H620" s="27">
        <v>-12769332</v>
      </c>
      <c r="I620" s="54">
        <f>I617*I626</f>
        <v>-3959372.3425666601</v>
      </c>
      <c r="J620" s="54">
        <f t="shared" ref="J620:L620" si="190">J617*J626</f>
        <v>-6442647.9590221345</v>
      </c>
      <c r="K620" s="54">
        <f t="shared" si="190"/>
        <v>-8234765.2913380684</v>
      </c>
      <c r="L620" s="54">
        <f t="shared" si="190"/>
        <v>-8662444.8474583328</v>
      </c>
      <c r="M620" s="40"/>
      <c r="N620" s="40"/>
      <c r="O620" s="40"/>
      <c r="P620" s="40"/>
      <c r="Q620" s="40"/>
      <c r="R620" s="40"/>
      <c r="S620" s="40"/>
      <c r="T620" s="40"/>
      <c r="U620" s="40"/>
    </row>
    <row r="621" spans="2:21" x14ac:dyDescent="0.3">
      <c r="B621" t="s">
        <v>351</v>
      </c>
      <c r="C621" s="54"/>
      <c r="D621" s="54"/>
      <c r="E621" s="54"/>
      <c r="F621" s="54"/>
      <c r="G621" s="54"/>
      <c r="H621" s="27">
        <v>-5205524</v>
      </c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</row>
    <row r="622" spans="2:21" x14ac:dyDescent="0.3">
      <c r="C622" s="54"/>
      <c r="D622" s="54"/>
      <c r="E622" s="54"/>
      <c r="F622" s="54"/>
      <c r="G622" s="54"/>
      <c r="H622" s="54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</row>
    <row r="623" spans="2:21" s="33" customFormat="1" x14ac:dyDescent="0.3">
      <c r="B623" s="33" t="s">
        <v>350</v>
      </c>
      <c r="C623" s="54"/>
      <c r="D623" s="54">
        <f t="shared" ref="D623:G623" si="191">C615+SUM(D617:D621)-D615</f>
        <v>5138629</v>
      </c>
      <c r="E623" s="54">
        <f t="shared" si="191"/>
        <v>-36055</v>
      </c>
      <c r="F623" s="54">
        <f t="shared" si="191"/>
        <v>-112210</v>
      </c>
      <c r="G623" s="54">
        <f t="shared" si="191"/>
        <v>-338258</v>
      </c>
      <c r="H623" s="54">
        <f>G615+SUM(H617:H621)-H615</f>
        <v>-30506</v>
      </c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</row>
    <row r="624" spans="2:21" x14ac:dyDescent="0.3">
      <c r="C624" s="54"/>
      <c r="D624" s="54"/>
      <c r="E624" s="54"/>
      <c r="F624" s="54"/>
      <c r="G624" s="54"/>
      <c r="H624" s="54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</row>
    <row r="625" spans="2:21" x14ac:dyDescent="0.3">
      <c r="B625" t="s">
        <v>417</v>
      </c>
      <c r="C625" s="68">
        <f t="shared" ref="C625:G625" si="192">C619/C617</f>
        <v>-0.35852012918491988</v>
      </c>
      <c r="D625" s="68">
        <f t="shared" si="192"/>
        <v>-0.36653277477506535</v>
      </c>
      <c r="E625" s="68">
        <f t="shared" si="192"/>
        <v>-0.38209245426949801</v>
      </c>
      <c r="F625" s="68">
        <f t="shared" si="192"/>
        <v>-0.30327917142612582</v>
      </c>
      <c r="G625" s="68">
        <f t="shared" si="192"/>
        <v>-0.31533621923834998</v>
      </c>
      <c r="H625" s="68">
        <f>H619/H617</f>
        <v>-0.37614195986093346</v>
      </c>
      <c r="I625" s="93">
        <v>-0.35</v>
      </c>
      <c r="J625" s="93">
        <v>-0.35</v>
      </c>
      <c r="K625" s="93">
        <v>-0.35</v>
      </c>
      <c r="L625" s="93">
        <v>-0.35</v>
      </c>
      <c r="M625" s="40"/>
      <c r="N625" s="40"/>
      <c r="O625" s="40"/>
      <c r="P625" s="40"/>
      <c r="Q625" s="40"/>
      <c r="R625" s="40"/>
      <c r="S625" s="40"/>
      <c r="T625" s="40"/>
      <c r="U625" s="40"/>
    </row>
    <row r="626" spans="2:21" x14ac:dyDescent="0.3">
      <c r="B626" t="s">
        <v>418</v>
      </c>
      <c r="C626" s="68">
        <f t="shared" ref="C626:G626" si="193">C620/C617</f>
        <v>-0.57958451430970914</v>
      </c>
      <c r="D626" s="68">
        <f t="shared" si="193"/>
        <v>-0.35701894353365654</v>
      </c>
      <c r="E626" s="68">
        <f t="shared" si="193"/>
        <v>-0.60321883602626825</v>
      </c>
      <c r="F626" s="68">
        <f t="shared" si="193"/>
        <v>-0.51638475910495607</v>
      </c>
      <c r="G626" s="68">
        <f t="shared" si="193"/>
        <v>-0.62566750735346399</v>
      </c>
      <c r="H626" s="68">
        <f>H620/H617</f>
        <v>-0.53625811012084124</v>
      </c>
      <c r="I626" s="93">
        <v>-0.2</v>
      </c>
      <c r="J626" s="93">
        <v>-0.25</v>
      </c>
      <c r="K626" s="93">
        <v>-0.3</v>
      </c>
      <c r="L626" s="93">
        <v>-0.3</v>
      </c>
      <c r="M626" s="40"/>
      <c r="N626" s="40"/>
      <c r="O626" s="40"/>
      <c r="P626" s="40"/>
      <c r="Q626" s="40"/>
      <c r="R626" s="40"/>
      <c r="S626" s="40"/>
      <c r="T626" s="40"/>
      <c r="U626" s="40"/>
    </row>
    <row r="627" spans="2:21" x14ac:dyDescent="0.3">
      <c r="C627" s="54"/>
      <c r="D627" s="54"/>
      <c r="E627" s="54"/>
      <c r="F627" s="54"/>
      <c r="G627" s="54"/>
      <c r="H627" s="54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</row>
    <row r="628" spans="2:21" x14ac:dyDescent="0.3">
      <c r="C628" s="54"/>
      <c r="D628" s="54"/>
      <c r="E628" s="54"/>
      <c r="F628" s="54"/>
      <c r="G628" s="54"/>
      <c r="H628" s="54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</row>
    <row r="629" spans="2:21" s="7" customFormat="1" x14ac:dyDescent="0.3">
      <c r="C629" s="62"/>
      <c r="D629" s="62"/>
      <c r="E629" s="62"/>
      <c r="F629" s="62"/>
      <c r="G629" s="62"/>
      <c r="H629" s="62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</row>
    <row r="630" spans="2:21" x14ac:dyDescent="0.3">
      <c r="C630" s="54"/>
      <c r="D630" s="54"/>
      <c r="E630" s="54"/>
      <c r="F630" s="54"/>
      <c r="G630" s="54"/>
      <c r="H630" s="54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</row>
    <row r="631" spans="2:21" x14ac:dyDescent="0.3">
      <c r="B631" t="s">
        <v>62</v>
      </c>
      <c r="C631" s="27">
        <v>59272098</v>
      </c>
      <c r="D631" s="27">
        <v>67855834</v>
      </c>
      <c r="E631" s="27">
        <v>79937405</v>
      </c>
      <c r="F631" s="27">
        <v>89595571</v>
      </c>
      <c r="G631" s="27">
        <v>92426660</v>
      </c>
      <c r="H631" s="27">
        <v>131845571</v>
      </c>
      <c r="I631" s="57">
        <f>SUM(I633:I638)</f>
        <v>135804943.34256667</v>
      </c>
      <c r="J631" s="57">
        <f t="shared" ref="J631:L631" si="194">SUM(J633:J638)</f>
        <v>142247591.30158877</v>
      </c>
      <c r="K631" s="57">
        <f t="shared" si="194"/>
        <v>150482356.59292686</v>
      </c>
      <c r="L631" s="57">
        <f t="shared" si="194"/>
        <v>159144801.44038519</v>
      </c>
      <c r="M631" s="57"/>
      <c r="N631" s="38">
        <v>123309743</v>
      </c>
      <c r="O631" s="57"/>
      <c r="P631" s="27">
        <v>121617007</v>
      </c>
      <c r="Q631" s="27">
        <v>131845571</v>
      </c>
      <c r="R631" s="40"/>
      <c r="S631" s="40"/>
      <c r="T631" s="40"/>
      <c r="U631" s="40"/>
    </row>
    <row r="632" spans="2:21" x14ac:dyDescent="0.3">
      <c r="C632" s="54"/>
      <c r="D632" s="54"/>
      <c r="E632" s="54"/>
      <c r="F632" s="54"/>
      <c r="G632" s="54"/>
      <c r="H632" s="54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</row>
    <row r="633" spans="2:21" x14ac:dyDescent="0.3">
      <c r="B633" t="s">
        <v>352</v>
      </c>
      <c r="C633" s="27">
        <v>7834003</v>
      </c>
      <c r="D633" s="27">
        <v>7819131</v>
      </c>
      <c r="E633" s="27">
        <v>7837785</v>
      </c>
      <c r="F633" s="27">
        <v>10504768</v>
      </c>
      <c r="G633" s="27">
        <v>11084711</v>
      </c>
      <c r="H633" s="27">
        <v>10214244</v>
      </c>
      <c r="I633" s="57">
        <f>H633</f>
        <v>10214244</v>
      </c>
      <c r="J633" s="57">
        <f t="shared" ref="J633:L633" si="195">I633</f>
        <v>10214244</v>
      </c>
      <c r="K633" s="57">
        <f t="shared" si="195"/>
        <v>10214244</v>
      </c>
      <c r="L633" s="57">
        <f t="shared" si="195"/>
        <v>10214244</v>
      </c>
      <c r="M633" s="40"/>
      <c r="N633" s="40"/>
      <c r="O633" s="40"/>
      <c r="P633" s="40"/>
      <c r="Q633" s="40"/>
      <c r="R633" s="40"/>
      <c r="S633" s="40"/>
      <c r="T633" s="40"/>
      <c r="U633" s="40"/>
    </row>
    <row r="634" spans="2:21" x14ac:dyDescent="0.3">
      <c r="B634" t="s">
        <v>353</v>
      </c>
      <c r="C634" s="27">
        <v>52270003</v>
      </c>
      <c r="D634" s="27">
        <v>57650003</v>
      </c>
      <c r="E634" s="27">
        <v>67120003</v>
      </c>
      <c r="F634" s="27">
        <v>74970003</v>
      </c>
      <c r="G634" s="27">
        <v>88720003</v>
      </c>
      <c r="H634" s="27">
        <v>100000003</v>
      </c>
      <c r="I634" s="57">
        <f>H634-I620</f>
        <v>103959375.34256665</v>
      </c>
      <c r="J634" s="57">
        <f t="shared" ref="J634:L634" si="196">I634-J620</f>
        <v>110402023.30158879</v>
      </c>
      <c r="K634" s="57">
        <f t="shared" si="196"/>
        <v>118636788.59292686</v>
      </c>
      <c r="L634" s="57">
        <f t="shared" si="196"/>
        <v>127299233.44038519</v>
      </c>
      <c r="M634" s="40"/>
      <c r="N634" s="40"/>
      <c r="O634" s="40"/>
      <c r="P634" s="40"/>
      <c r="Q634" s="40"/>
      <c r="R634" s="40"/>
      <c r="S634" s="40"/>
      <c r="T634" s="40"/>
      <c r="U634" s="40"/>
    </row>
    <row r="635" spans="2:21" x14ac:dyDescent="0.3">
      <c r="B635" t="s">
        <v>354</v>
      </c>
      <c r="C635" s="27">
        <v>-1707486</v>
      </c>
      <c r="D635" s="27">
        <v>-1386355</v>
      </c>
      <c r="E635" s="27">
        <v>1783503</v>
      </c>
      <c r="F635" s="27">
        <v>463884</v>
      </c>
      <c r="G635" s="27">
        <v>-11979313</v>
      </c>
      <c r="H635" s="27">
        <v>72270</v>
      </c>
      <c r="I635" s="57">
        <f>H635</f>
        <v>72270</v>
      </c>
      <c r="J635" s="57">
        <f t="shared" ref="J635:L635" si="197">I635</f>
        <v>72270</v>
      </c>
      <c r="K635" s="57">
        <f t="shared" si="197"/>
        <v>72270</v>
      </c>
      <c r="L635" s="57">
        <f t="shared" si="197"/>
        <v>72270</v>
      </c>
      <c r="M635" s="40"/>
      <c r="N635" s="40"/>
      <c r="O635" s="40"/>
      <c r="P635" s="40"/>
      <c r="Q635" s="40"/>
      <c r="R635" s="40"/>
      <c r="S635" s="40"/>
      <c r="T635" s="40"/>
      <c r="U635" s="40"/>
    </row>
    <row r="636" spans="2:21" x14ac:dyDescent="0.3">
      <c r="B636" t="s">
        <v>355</v>
      </c>
      <c r="C636" s="27">
        <v>348973</v>
      </c>
      <c r="D636" s="27">
        <v>3157052</v>
      </c>
      <c r="E636" s="27">
        <v>2765992</v>
      </c>
      <c r="F636" s="27">
        <v>3325924</v>
      </c>
      <c r="G636" s="27">
        <v>4507072</v>
      </c>
      <c r="H636" s="27">
        <v>21371971</v>
      </c>
      <c r="I636" s="57">
        <f>H636</f>
        <v>21371971</v>
      </c>
      <c r="J636" s="57">
        <f t="shared" ref="J636:L636" si="198">I636</f>
        <v>21371971</v>
      </c>
      <c r="K636" s="57">
        <f t="shared" si="198"/>
        <v>21371971</v>
      </c>
      <c r="L636" s="57">
        <f t="shared" si="198"/>
        <v>21371971</v>
      </c>
      <c r="M636" s="40"/>
      <c r="N636" s="40"/>
      <c r="O636" s="40"/>
      <c r="P636" s="40"/>
      <c r="Q636" s="40"/>
      <c r="R636" s="40"/>
      <c r="S636" s="40"/>
      <c r="T636" s="40"/>
      <c r="U636" s="40"/>
    </row>
    <row r="637" spans="2:21" x14ac:dyDescent="0.3">
      <c r="B637" t="s">
        <v>356</v>
      </c>
      <c r="C637" s="27">
        <v>529817</v>
      </c>
      <c r="D637" s="27">
        <v>591984</v>
      </c>
      <c r="E637" s="27">
        <v>468494</v>
      </c>
      <c r="F637" s="27">
        <v>433503</v>
      </c>
      <c r="G637" s="27">
        <v>150529</v>
      </c>
      <c r="H637" s="27">
        <v>150529</v>
      </c>
      <c r="I637" s="57">
        <f>H637</f>
        <v>150529</v>
      </c>
      <c r="J637" s="57">
        <f t="shared" ref="J637:L637" si="199">I637</f>
        <v>150529</v>
      </c>
      <c r="K637" s="57">
        <f t="shared" si="199"/>
        <v>150529</v>
      </c>
      <c r="L637" s="57">
        <f t="shared" si="199"/>
        <v>150529</v>
      </c>
      <c r="M637" s="40"/>
      <c r="N637" s="40"/>
      <c r="O637" s="40"/>
      <c r="P637" s="40"/>
      <c r="Q637" s="40"/>
      <c r="R637" s="40"/>
      <c r="S637" s="40"/>
      <c r="T637" s="40"/>
      <c r="U637" s="40"/>
    </row>
    <row r="638" spans="2:21" x14ac:dyDescent="0.3">
      <c r="B638" t="s">
        <v>357</v>
      </c>
      <c r="C638" s="27">
        <v>-3212</v>
      </c>
      <c r="D638" s="27">
        <v>24019</v>
      </c>
      <c r="E638" s="27">
        <v>-38372</v>
      </c>
      <c r="F638" s="27">
        <v>-102511</v>
      </c>
      <c r="G638" s="27">
        <v>-56342</v>
      </c>
      <c r="H638" s="27">
        <v>36554</v>
      </c>
      <c r="I638" s="57">
        <f>H638</f>
        <v>36554</v>
      </c>
      <c r="J638" s="57">
        <f t="shared" ref="J638:L638" si="200">I638</f>
        <v>36554</v>
      </c>
      <c r="K638" s="57">
        <f t="shared" si="200"/>
        <v>36554</v>
      </c>
      <c r="L638" s="57">
        <f t="shared" si="200"/>
        <v>36554</v>
      </c>
      <c r="M638" s="40"/>
      <c r="N638" s="40"/>
      <c r="O638" s="40"/>
      <c r="P638" s="40"/>
      <c r="Q638" s="40"/>
      <c r="R638" s="40"/>
      <c r="S638" s="40"/>
      <c r="T638" s="40"/>
      <c r="U638" s="40"/>
    </row>
    <row r="639" spans="2:21" x14ac:dyDescent="0.3">
      <c r="C639" s="54"/>
      <c r="D639" s="54"/>
      <c r="E639" s="54"/>
      <c r="F639" s="54"/>
      <c r="G639" s="54"/>
      <c r="H639" s="54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</row>
    <row r="640" spans="2:21" s="33" customFormat="1" x14ac:dyDescent="0.3">
      <c r="B640" s="33" t="s">
        <v>179</v>
      </c>
      <c r="C640" s="54">
        <f>SUM(C633:C638)-C631</f>
        <v>0</v>
      </c>
      <c r="D640" s="54">
        <f t="shared" ref="D640:H640" si="201">SUM(D633:D638)-D631</f>
        <v>0</v>
      </c>
      <c r="E640" s="54">
        <f t="shared" si="201"/>
        <v>0</v>
      </c>
      <c r="F640" s="54">
        <f t="shared" si="201"/>
        <v>0</v>
      </c>
      <c r="G640" s="54">
        <f t="shared" si="201"/>
        <v>0</v>
      </c>
      <c r="H640" s="54">
        <f t="shared" si="201"/>
        <v>0</v>
      </c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</row>
    <row r="641" spans="3:21" x14ac:dyDescent="0.3">
      <c r="C641" s="54"/>
      <c r="D641" s="54"/>
      <c r="E641" s="54"/>
      <c r="F641" s="54"/>
      <c r="G641" s="54"/>
      <c r="H641" s="54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</row>
    <row r="642" spans="3:21" x14ac:dyDescent="0.3">
      <c r="C642" s="54"/>
      <c r="D642" s="54"/>
      <c r="E642" s="54"/>
      <c r="F642" s="54"/>
      <c r="G642" s="54"/>
      <c r="H642" s="54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</row>
    <row r="643" spans="3:21" x14ac:dyDescent="0.3">
      <c r="C643" s="54"/>
      <c r="D643" s="54"/>
      <c r="E643" s="54"/>
      <c r="F643" s="54"/>
      <c r="G643" s="54"/>
      <c r="H643" s="54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</row>
    <row r="644" spans="3:21" x14ac:dyDescent="0.3">
      <c r="C644" s="54"/>
      <c r="D644" s="54"/>
      <c r="E644" s="54"/>
      <c r="F644" s="54"/>
      <c r="G644" s="54"/>
      <c r="H644" s="54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</row>
    <row r="645" spans="3:21" x14ac:dyDescent="0.3">
      <c r="C645" s="54"/>
      <c r="D645" s="54"/>
      <c r="E645" s="54"/>
      <c r="F645" s="54"/>
      <c r="G645" s="54"/>
      <c r="H645" s="54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</row>
    <row r="646" spans="3:21" x14ac:dyDescent="0.3">
      <c r="C646" s="54"/>
      <c r="D646" s="54"/>
      <c r="E646" s="54"/>
      <c r="F646" s="54"/>
      <c r="G646" s="54"/>
      <c r="H646" s="54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</row>
    <row r="647" spans="3:21" x14ac:dyDescent="0.3">
      <c r="C647" s="54"/>
      <c r="D647" s="54"/>
      <c r="E647" s="54"/>
      <c r="F647" s="54"/>
      <c r="G647" s="54"/>
      <c r="H647" s="54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</row>
    <row r="648" spans="3:21" x14ac:dyDescent="0.3">
      <c r="C648" s="54"/>
      <c r="D648" s="54"/>
      <c r="E648" s="54"/>
      <c r="F648" s="54"/>
      <c r="G648" s="54"/>
      <c r="H648" s="54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</row>
    <row r="649" spans="3:21" x14ac:dyDescent="0.3">
      <c r="C649" s="54"/>
      <c r="D649" s="54"/>
      <c r="E649" s="54"/>
      <c r="F649" s="54"/>
      <c r="G649" s="54"/>
      <c r="H649" s="54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</row>
    <row r="650" spans="3:21" x14ac:dyDescent="0.3">
      <c r="C650" s="54"/>
      <c r="D650" s="54"/>
      <c r="E650" s="54"/>
      <c r="F650" s="54"/>
      <c r="G650" s="54"/>
      <c r="H650" s="54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</row>
    <row r="651" spans="3:21" x14ac:dyDescent="0.3">
      <c r="C651" s="54"/>
      <c r="D651" s="54"/>
      <c r="E651" s="54"/>
      <c r="F651" s="54"/>
      <c r="G651" s="54"/>
      <c r="H651" s="54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</row>
    <row r="652" spans="3:21" x14ac:dyDescent="0.3">
      <c r="C652" s="54"/>
      <c r="D652" s="54"/>
      <c r="E652" s="54"/>
      <c r="F652" s="54"/>
      <c r="G652" s="54"/>
      <c r="H652" s="54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</row>
    <row r="653" spans="3:21" x14ac:dyDescent="0.3">
      <c r="C653" s="54"/>
      <c r="D653" s="54"/>
      <c r="E653" s="54"/>
      <c r="F653" s="54"/>
      <c r="G653" s="54"/>
      <c r="H653" s="54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</row>
    <row r="654" spans="3:21" x14ac:dyDescent="0.3">
      <c r="C654" s="54"/>
      <c r="D654" s="54"/>
      <c r="E654" s="54"/>
      <c r="F654" s="54"/>
      <c r="G654" s="54"/>
      <c r="H654" s="54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</row>
    <row r="655" spans="3:21" x14ac:dyDescent="0.3">
      <c r="C655" s="54"/>
      <c r="D655" s="54"/>
      <c r="E655" s="54"/>
      <c r="F655" s="54"/>
      <c r="G655" s="54"/>
      <c r="H655" s="54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</row>
    <row r="656" spans="3:21" x14ac:dyDescent="0.3">
      <c r="C656" s="54"/>
      <c r="D656" s="54"/>
      <c r="E656" s="54"/>
      <c r="F656" s="54"/>
      <c r="G656" s="54"/>
      <c r="H656" s="54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</row>
    <row r="657" spans="3:21" x14ac:dyDescent="0.3">
      <c r="C657" s="54"/>
      <c r="D657" s="54"/>
      <c r="E657" s="54"/>
      <c r="F657" s="54"/>
      <c r="G657" s="54"/>
      <c r="H657" s="54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</row>
    <row r="658" spans="3:21" x14ac:dyDescent="0.3">
      <c r="C658" s="54"/>
      <c r="D658" s="54"/>
      <c r="E658" s="54"/>
      <c r="F658" s="54"/>
      <c r="G658" s="54"/>
      <c r="H658" s="54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</row>
    <row r="659" spans="3:21" x14ac:dyDescent="0.3">
      <c r="C659" s="54"/>
      <c r="D659" s="54"/>
      <c r="E659" s="54"/>
      <c r="F659" s="54"/>
      <c r="G659" s="54"/>
      <c r="H659" s="54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</row>
    <row r="660" spans="3:21" x14ac:dyDescent="0.3">
      <c r="C660" s="54"/>
      <c r="D660" s="54"/>
      <c r="E660" s="54"/>
      <c r="F660" s="54"/>
      <c r="G660" s="54"/>
      <c r="H660" s="54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</row>
    <row r="661" spans="3:21" x14ac:dyDescent="0.3">
      <c r="C661" s="54"/>
      <c r="D661" s="54"/>
      <c r="E661" s="54"/>
      <c r="F661" s="54"/>
      <c r="G661" s="54"/>
      <c r="H661" s="54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</row>
    <row r="662" spans="3:21" x14ac:dyDescent="0.3">
      <c r="C662" s="54"/>
      <c r="D662" s="54"/>
      <c r="E662" s="54"/>
      <c r="F662" s="54"/>
      <c r="G662" s="54"/>
      <c r="H662" s="54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</row>
    <row r="663" spans="3:21" x14ac:dyDescent="0.3">
      <c r="C663" s="54"/>
      <c r="D663" s="54"/>
      <c r="E663" s="54"/>
      <c r="F663" s="54"/>
      <c r="G663" s="54"/>
      <c r="H663" s="54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</row>
    <row r="664" spans="3:21" x14ac:dyDescent="0.3">
      <c r="C664" s="54"/>
      <c r="D664" s="54"/>
      <c r="E664" s="54"/>
      <c r="F664" s="54"/>
      <c r="G664" s="54"/>
      <c r="H664" s="54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</row>
    <row r="665" spans="3:21" x14ac:dyDescent="0.3">
      <c r="C665" s="54"/>
      <c r="D665" s="54"/>
      <c r="E665" s="54"/>
      <c r="F665" s="54"/>
      <c r="G665" s="54"/>
      <c r="H665" s="54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</row>
    <row r="666" spans="3:21" x14ac:dyDescent="0.3">
      <c r="C666" s="54"/>
      <c r="D666" s="54"/>
      <c r="E666" s="54"/>
      <c r="F666" s="54"/>
      <c r="G666" s="54"/>
      <c r="H666" s="54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</row>
    <row r="667" spans="3:21" x14ac:dyDescent="0.3">
      <c r="C667" s="54"/>
      <c r="D667" s="54"/>
      <c r="E667" s="54"/>
      <c r="F667" s="54"/>
      <c r="G667" s="54"/>
      <c r="H667" s="54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</row>
    <row r="668" spans="3:21" x14ac:dyDescent="0.3">
      <c r="C668" s="54"/>
      <c r="D668" s="54"/>
      <c r="E668" s="54"/>
      <c r="F668" s="54"/>
      <c r="G668" s="54"/>
      <c r="H668" s="54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</row>
    <row r="669" spans="3:21" x14ac:dyDescent="0.3">
      <c r="C669" s="54"/>
      <c r="D669" s="54"/>
      <c r="E669" s="54"/>
      <c r="F669" s="54"/>
      <c r="G669" s="54"/>
      <c r="H669" s="54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</row>
    <row r="670" spans="3:21" x14ac:dyDescent="0.3">
      <c r="C670" s="54"/>
      <c r="D670" s="54"/>
      <c r="E670" s="54"/>
      <c r="F670" s="54"/>
      <c r="G670" s="54"/>
      <c r="H670" s="54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</row>
    <row r="671" spans="3:21" x14ac:dyDescent="0.3">
      <c r="C671" s="54"/>
      <c r="D671" s="54"/>
      <c r="E671" s="54"/>
      <c r="F671" s="54"/>
      <c r="G671" s="54"/>
      <c r="H671" s="54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</row>
    <row r="672" spans="3:21" x14ac:dyDescent="0.3">
      <c r="C672" s="54"/>
      <c r="D672" s="54"/>
      <c r="E672" s="54"/>
      <c r="F672" s="54"/>
      <c r="G672" s="54"/>
      <c r="H672" s="54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</row>
    <row r="673" spans="3:21" x14ac:dyDescent="0.3">
      <c r="C673" s="54"/>
      <c r="D673" s="54"/>
      <c r="E673" s="54"/>
      <c r="F673" s="54"/>
      <c r="G673" s="54"/>
      <c r="H673" s="54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</row>
    <row r="674" spans="3:21" x14ac:dyDescent="0.3">
      <c r="C674" s="54"/>
      <c r="D674" s="54"/>
      <c r="E674" s="54"/>
      <c r="F674" s="54"/>
      <c r="G674" s="54"/>
      <c r="H674" s="54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</row>
    <row r="675" spans="3:21" x14ac:dyDescent="0.3">
      <c r="C675" s="54"/>
      <c r="D675" s="54"/>
      <c r="E675" s="54"/>
      <c r="F675" s="54"/>
      <c r="G675" s="54"/>
      <c r="H675" s="54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</row>
    <row r="676" spans="3:21" x14ac:dyDescent="0.3">
      <c r="C676" s="54"/>
      <c r="D676" s="54"/>
      <c r="E676" s="54"/>
      <c r="F676" s="54"/>
      <c r="G676" s="54"/>
      <c r="H676" s="54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</row>
    <row r="677" spans="3:21" x14ac:dyDescent="0.3">
      <c r="C677" s="54"/>
      <c r="D677" s="54"/>
      <c r="E677" s="54"/>
      <c r="F677" s="54"/>
      <c r="G677" s="54"/>
      <c r="H677" s="54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</row>
    <row r="678" spans="3:21" x14ac:dyDescent="0.3">
      <c r="C678" s="54"/>
      <c r="D678" s="54"/>
      <c r="E678" s="54"/>
      <c r="F678" s="54"/>
      <c r="G678" s="54"/>
      <c r="H678" s="54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</row>
    <row r="679" spans="3:21" x14ac:dyDescent="0.3">
      <c r="C679" s="54"/>
      <c r="D679" s="54"/>
      <c r="E679" s="54"/>
      <c r="F679" s="54"/>
      <c r="G679" s="54"/>
      <c r="H679" s="54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</row>
    <row r="680" spans="3:21" x14ac:dyDescent="0.3">
      <c r="C680" s="54"/>
      <c r="D680" s="54"/>
      <c r="E680" s="54"/>
      <c r="F680" s="54"/>
      <c r="G680" s="54"/>
      <c r="H680" s="54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</row>
    <row r="681" spans="3:21" x14ac:dyDescent="0.3">
      <c r="C681" s="54"/>
      <c r="D681" s="54"/>
      <c r="E681" s="54"/>
      <c r="F681" s="54"/>
      <c r="G681" s="54"/>
      <c r="H681" s="54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</row>
  </sheetData>
  <pageMargins left="0.7" right="0.7" top="0.75" bottom="0.75" header="0.3" footer="0.3"/>
  <pageSetup scale="70" orientation="landscape" r:id="rId1"/>
  <rowBreaks count="2" manualBreakCount="2">
    <brk id="339" max="7" man="1"/>
    <brk id="472" max="7" man="1"/>
  </rowBreaks>
  <colBreaks count="1" manualBreakCount="1">
    <brk id="8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6846-238B-4EFD-B124-626A716C41B9}">
  <dimension ref="B2:Q22"/>
  <sheetViews>
    <sheetView showGridLines="0" workbookViewId="0">
      <selection activeCell="B23" sqref="B23"/>
    </sheetView>
  </sheetViews>
  <sheetFormatPr defaultRowHeight="14.4" x14ac:dyDescent="0.3"/>
  <cols>
    <col min="2" max="2" width="30.33203125" bestFit="1" customWidth="1"/>
    <col min="3" max="3" width="12" hidden="1" customWidth="1"/>
    <col min="4" max="5" width="10.109375" hidden="1" customWidth="1"/>
    <col min="6" max="8" width="10.109375" bestFit="1" customWidth="1"/>
    <col min="9" max="12" width="10.109375" style="144" bestFit="1" customWidth="1"/>
  </cols>
  <sheetData>
    <row r="2" spans="2:17" x14ac:dyDescent="0.3">
      <c r="B2" s="146"/>
      <c r="C2" s="145">
        <f>FS!C4</f>
        <v>2017</v>
      </c>
      <c r="D2" s="145">
        <f>FS!D4</f>
        <v>2018</v>
      </c>
      <c r="E2" s="145">
        <f>FS!E4</f>
        <v>2019</v>
      </c>
      <c r="F2" s="145">
        <f>FS!F4</f>
        <v>2020</v>
      </c>
      <c r="G2" s="145">
        <f>FS!G4</f>
        <v>2021</v>
      </c>
      <c r="H2" s="145">
        <f>FS!I4</f>
        <v>2022</v>
      </c>
      <c r="I2" s="129" t="str">
        <f>FS!J4</f>
        <v>2023F</v>
      </c>
      <c r="J2" s="129" t="str">
        <f>FS!K4</f>
        <v>2024F</v>
      </c>
      <c r="K2" s="129" t="str">
        <f>FS!L4</f>
        <v>2025F</v>
      </c>
      <c r="L2" s="129" t="str">
        <f>FS!M4</f>
        <v>2026F</v>
      </c>
      <c r="M2" s="107"/>
      <c r="N2" s="107"/>
      <c r="O2" s="107"/>
      <c r="P2" s="107"/>
      <c r="Q2" s="107"/>
    </row>
    <row r="3" spans="2:17" x14ac:dyDescent="0.3">
      <c r="B3" t="s">
        <v>554</v>
      </c>
      <c r="C3" s="96">
        <f>FS!C7/(FS!C49+FS!C50+FS!C51+FS!C52+FS!C53+FS!C54)</f>
        <v>0.10172747681210187</v>
      </c>
      <c r="D3" s="96">
        <f>FS!D7/(FS!D49+FS!D50+FS!D51+FS!D52+FS!D53+FS!D54)</f>
        <v>0.10328200623236056</v>
      </c>
      <c r="E3" s="96">
        <f>FS!E7/(FS!E49+FS!E50+FS!E51+FS!E52+FS!E53+FS!E54)</f>
        <v>0.105725702738116</v>
      </c>
      <c r="F3" s="96">
        <f>FS!F7/(FS!F49+FS!F50+FS!F51+FS!F52+FS!F53+FS!F54)</f>
        <v>8.1144905128054154E-2</v>
      </c>
      <c r="G3" s="96">
        <f>FS!G7/(FS!G49+FS!G50+FS!G51+FS!G52+FS!G53+FS!G54)</f>
        <v>7.4717288421124614E-2</v>
      </c>
      <c r="H3" s="96">
        <f>FS!I7/(FS!I49+FS!I50+FS!I51+FS!I52+FS!I53+FS!I54)</f>
        <v>0.10748751272083495</v>
      </c>
      <c r="I3" s="141">
        <f>FS!J7/(FS!J49+FS!J50+FS!J51+FS!J52+FS!J53+FS!J54)</f>
        <v>0.13149674260041844</v>
      </c>
      <c r="J3" s="141">
        <f>FS!K7/(FS!K49+FS!K50+FS!K51+FS!K52+FS!K53+FS!K54)</f>
        <v>0.11424210250612445</v>
      </c>
      <c r="K3" s="141">
        <f>FS!L7/(FS!L49+FS!L50+FS!L51+FS!L52+FS!L53+FS!L54)</f>
        <v>0.11545382012140545</v>
      </c>
      <c r="L3" s="141">
        <f>FS!M7/(FS!M49+FS!M50+FS!M51+FS!M52+FS!M53+FS!M54)</f>
        <v>0.11603703956740753</v>
      </c>
    </row>
    <row r="4" spans="2:17" x14ac:dyDescent="0.3">
      <c r="B4" t="s">
        <v>555</v>
      </c>
      <c r="C4" s="96">
        <f>FS!C8/(FS!C64+FS!C65+FS!C66+FS!C67+FS!C68)</f>
        <v>6.4837642969614265E-2</v>
      </c>
      <c r="D4" s="96">
        <f>FS!D8/(FS!D64+FS!D65+FS!D66+FS!D67+FS!D68)</f>
        <v>6.4595780738155278E-2</v>
      </c>
      <c r="E4" s="96">
        <f>FS!E8/(FS!E64+FS!E65+FS!E66+FS!E67+FS!E68)</f>
        <v>6.751866383081781E-2</v>
      </c>
      <c r="F4" s="96">
        <f>FS!F8/(FS!F64+FS!F65+FS!F66+FS!F67+FS!F68)</f>
        <v>4.8096508928992844E-2</v>
      </c>
      <c r="G4" s="96">
        <f>FS!G8/(FS!G64+FS!G65+FS!G66+FS!G67+FS!G68)</f>
        <v>3.8326171673501441E-2</v>
      </c>
      <c r="H4" s="96">
        <f>FS!I8/(FS!I64+FS!I65+FS!I66+FS!I67+FS!I68)</f>
        <v>6.3778483614521625E-2</v>
      </c>
      <c r="I4" s="141">
        <f>FS!J8/(FS!J64+FS!J65+FS!J66+FS!J67+FS!J68)</f>
        <v>9.5531497776697658E-2</v>
      </c>
      <c r="J4" s="141">
        <f>FS!K8/(FS!K64+FS!K65+FS!K66+FS!K67+FS!K68)</f>
        <v>9.0014943430267849E-2</v>
      </c>
      <c r="K4" s="141">
        <f>FS!L8/(FS!L64+FS!L65+FS!L66+FS!L67+FS!L68)</f>
        <v>9.0526291760072902E-2</v>
      </c>
      <c r="L4" s="141">
        <f>FS!M8/(FS!M64+FS!M65+FS!M66+FS!M67+FS!M68)</f>
        <v>9.1290321308533123E-2</v>
      </c>
    </row>
    <row r="5" spans="2:17" x14ac:dyDescent="0.3">
      <c r="B5" t="s">
        <v>420</v>
      </c>
      <c r="C5" s="96">
        <f>FS!C9/(FS!C49+FS!C50+FS!C51+FS!C52+FS!C53+FS!C54)</f>
        <v>3.8684441407409023E-2</v>
      </c>
      <c r="D5" s="96">
        <f>FS!D9/(FS!D49+FS!D50+FS!D51+FS!D52+FS!D53+FS!D54)</f>
        <v>3.9742647870994637E-2</v>
      </c>
      <c r="E5" s="96">
        <f>FS!E9/(FS!E49+FS!E50+FS!E51+FS!E52+FS!E53+FS!E54)</f>
        <v>3.9543682190771236E-2</v>
      </c>
      <c r="F5" s="96">
        <f>FS!F9/(FS!F49+FS!F50+FS!F51+FS!F52+FS!F53+FS!F54)</f>
        <v>3.3264728734808506E-2</v>
      </c>
      <c r="G5" s="96">
        <f>FS!G9/(FS!G49+FS!G50+FS!G51+FS!G52+FS!G53+FS!G54)</f>
        <v>3.7362718783246436E-2</v>
      </c>
      <c r="H5" s="96">
        <f>FS!I9/(FS!I49+FS!I50+FS!I51+FS!I52+FS!I53+FS!I54)</f>
        <v>4.092057623958107E-2</v>
      </c>
      <c r="I5" s="141">
        <f>FS!J9/(FS!J49+FS!J50+FS!J51+FS!J52+FS!J53+FS!J54)</f>
        <v>3.5753876054765286E-2</v>
      </c>
      <c r="J5" s="141">
        <f>FS!K9/(FS!K49+FS!K50+FS!K51+FS!K52+FS!K53+FS!K54)</f>
        <v>2.4431959080380431E-2</v>
      </c>
      <c r="K5" s="141">
        <f>FS!L9/(FS!L49+FS!L50+FS!L51+FS!L52+FS!L53+FS!L54)</f>
        <v>2.4499098573363041E-2</v>
      </c>
      <c r="L5" s="141">
        <f>FS!M9/(FS!M49+FS!M50+FS!M51+FS!M52+FS!M53+FS!M54)</f>
        <v>2.4604392048487734E-2</v>
      </c>
    </row>
    <row r="6" spans="2:17" x14ac:dyDescent="0.3">
      <c r="B6" t="s">
        <v>421</v>
      </c>
      <c r="C6" s="108">
        <f>C3-C4</f>
        <v>3.6889833842487604E-2</v>
      </c>
      <c r="D6" s="108">
        <f t="shared" ref="D6:L6" si="0">D3-D4</f>
        <v>3.8686225494205279E-2</v>
      </c>
      <c r="E6" s="108">
        <f t="shared" si="0"/>
        <v>3.8207038907298194E-2</v>
      </c>
      <c r="F6" s="108">
        <f t="shared" si="0"/>
        <v>3.304839619906131E-2</v>
      </c>
      <c r="G6" s="108">
        <f t="shared" si="0"/>
        <v>3.6391116747623173E-2</v>
      </c>
      <c r="H6" s="108">
        <f t="shared" si="0"/>
        <v>4.370902910631333E-2</v>
      </c>
      <c r="I6" s="142">
        <f t="shared" si="0"/>
        <v>3.5965244823720779E-2</v>
      </c>
      <c r="J6" s="142">
        <f t="shared" si="0"/>
        <v>2.4227159075856597E-2</v>
      </c>
      <c r="K6" s="142">
        <f t="shared" si="0"/>
        <v>2.4927528361332552E-2</v>
      </c>
      <c r="L6" s="142">
        <f t="shared" si="0"/>
        <v>2.4746718258874409E-2</v>
      </c>
    </row>
    <row r="7" spans="2:17" x14ac:dyDescent="0.3">
      <c r="B7" t="s">
        <v>549</v>
      </c>
      <c r="C7" s="96">
        <f>FS!C23/FS!C16</f>
        <v>0.41129720404243952</v>
      </c>
      <c r="D7" s="96">
        <f>FS!D23/FS!D16</f>
        <v>0.36825622879164333</v>
      </c>
      <c r="E7" s="96">
        <f>FS!E23/FS!E16</f>
        <v>0.38597706321670616</v>
      </c>
      <c r="F7" s="96">
        <f>FS!F23/FS!F16</f>
        <v>0.34227535833420392</v>
      </c>
      <c r="G7" s="96">
        <f>FS!G23/FS!G16</f>
        <v>0.31686186300581476</v>
      </c>
      <c r="H7" s="96">
        <f>FS!I23/FS!I16</f>
        <v>0.26553813926654685</v>
      </c>
      <c r="I7" s="141">
        <f>FS!J23/FS!J16</f>
        <v>0.36014337347044312</v>
      </c>
      <c r="J7" s="141">
        <f>FS!K23/FS!K16</f>
        <v>0.39383609834227895</v>
      </c>
      <c r="K7" s="141">
        <f>FS!L23/FS!L16</f>
        <v>0.40024182169241973</v>
      </c>
      <c r="L7" s="141">
        <f>FS!M23/FS!M16</f>
        <v>0.40865194797821169</v>
      </c>
    </row>
    <row r="8" spans="2:17" x14ac:dyDescent="0.3">
      <c r="B8" t="s">
        <v>552</v>
      </c>
      <c r="C8" s="96">
        <f>(FS!C23+FS!C17)/FS!C6</f>
        <v>0.1847993008201122</v>
      </c>
      <c r="D8" s="96">
        <f>(FS!D23+FS!D17)/FS!D6</f>
        <v>0.23428872389997521</v>
      </c>
      <c r="E8" s="96">
        <f>(FS!E23+FS!E17)/FS!E6</f>
        <v>0.24848571354404544</v>
      </c>
      <c r="F8" s="96">
        <f>(FS!F23+FS!F17)/FS!F6</f>
        <v>0.31376765469880508</v>
      </c>
      <c r="G8" s="96">
        <f>(FS!G23+FS!G17)/FS!G6</f>
        <v>0.33479493229864749</v>
      </c>
      <c r="H8" s="96">
        <f>(FS!I23+FS!I17)/FS!I6</f>
        <v>0.38591847200988072</v>
      </c>
      <c r="I8" s="141">
        <f>(FS!J23/FS!J6)</f>
        <v>0.12230363910337447</v>
      </c>
      <c r="J8" s="141">
        <f>(FS!K23/FS!K6)</f>
        <v>0.13311062921696901</v>
      </c>
      <c r="K8" s="141">
        <f>(FS!L23/FS!L6)</f>
        <v>0.13292398398573127</v>
      </c>
      <c r="L8" s="141">
        <f>(FS!M23/FS!M6)</f>
        <v>0.1344463681182414</v>
      </c>
    </row>
    <row r="9" spans="2:17" x14ac:dyDescent="0.3">
      <c r="B9" t="s">
        <v>534</v>
      </c>
      <c r="C9" s="96">
        <f>Drivers!C315/Drivers!C311</f>
        <v>2.3682968979092812E-2</v>
      </c>
      <c r="D9" s="96">
        <f>Drivers!D315/Drivers!D311</f>
        <v>3.379210884897501E-2</v>
      </c>
      <c r="E9" s="96">
        <f>Drivers!E315/Drivers!E311</f>
        <v>3.9557968075658839E-2</v>
      </c>
      <c r="F9" s="96">
        <f>Drivers!F315/Drivers!F311</f>
        <v>5.4093104724303294E-2</v>
      </c>
      <c r="G9" s="96">
        <f>Drivers!G315/Drivers!G311</f>
        <v>5.9681216480658182E-2</v>
      </c>
      <c r="H9" s="96">
        <f>Drivers!H315/Drivers!H311</f>
        <v>7.276509012053381E-2</v>
      </c>
      <c r="I9" s="141">
        <f>Drivers!I315/Drivers!I311</f>
        <v>7.1480000000000002E-2</v>
      </c>
      <c r="J9" s="141">
        <f>Drivers!J315/Drivers!J311</f>
        <v>5.2099999999999994E-2</v>
      </c>
      <c r="K9" s="141">
        <f>Drivers!K315/Drivers!K311</f>
        <v>4.5800000000000007E-2</v>
      </c>
      <c r="L9" s="141">
        <f>Drivers!L315/Drivers!L311</f>
        <v>4.1200000000000001E-2</v>
      </c>
    </row>
    <row r="10" spans="2:17" x14ac:dyDescent="0.3">
      <c r="B10" t="s">
        <v>547</v>
      </c>
      <c r="C10" s="96">
        <f>FS!C30/FS!C6</f>
        <v>0.14382150048740042</v>
      </c>
      <c r="D10" s="96">
        <f>FS!D30/FS!D6</f>
        <v>0.12790483870165084</v>
      </c>
      <c r="E10" s="96">
        <f>FS!E30/FS!E6</f>
        <v>0.11556498293176509</v>
      </c>
      <c r="F10" s="96">
        <f>FS!F30/FS!F6</f>
        <v>0.1124379832535759</v>
      </c>
      <c r="G10" s="96">
        <f>FS!G30/FS!G6</f>
        <v>0.14840532578303561</v>
      </c>
      <c r="H10" s="96">
        <f>FS!I30/FS!I6</f>
        <v>8.7020713774746947E-2</v>
      </c>
      <c r="I10" s="141">
        <f>FS!J30/FS!J6</f>
        <v>5.9137383421147029E-2</v>
      </c>
      <c r="J10" s="141">
        <f>FS!K30/FS!K6</f>
        <v>7.3978971055076184E-2</v>
      </c>
      <c r="K10" s="141">
        <f>FS!L30/FS!L6</f>
        <v>6.9279016882718411E-2</v>
      </c>
      <c r="L10" s="141">
        <f>FS!M30/FS!M6</f>
        <v>6.4732691378483281E-2</v>
      </c>
    </row>
    <row r="11" spans="2:17" x14ac:dyDescent="0.3">
      <c r="B11" t="s">
        <v>436</v>
      </c>
      <c r="C11" s="96">
        <f>FS!C30/FS!C82</f>
        <v>0.15272352412316029</v>
      </c>
      <c r="D11" s="96">
        <f>FS!D30/FS!D82</f>
        <v>0.14812023665962032</v>
      </c>
      <c r="E11" s="96">
        <f>FS!E30/FS!E82</f>
        <v>0.12807844939902024</v>
      </c>
      <c r="F11" s="96">
        <f>FS!F30/FS!F82</f>
        <v>0.10616299506944166</v>
      </c>
      <c r="G11" s="96">
        <f>FS!G30/FS!G82</f>
        <v>0.14326113733910237</v>
      </c>
      <c r="H11" s="96">
        <f>FS!I30/FS!I82</f>
        <v>0.114566263353703</v>
      </c>
      <c r="I11" s="141">
        <f>FS!J30/FS!J82</f>
        <v>8.7940259473515844E-2</v>
      </c>
      <c r="J11" s="141">
        <f>FS!K30/FS!K82</f>
        <v>0.10323137066039065</v>
      </c>
      <c r="K11" s="141">
        <f>FS!L30/FS!L82</f>
        <v>0.10042229987964921</v>
      </c>
      <c r="L11" s="141">
        <f>FS!M30/FS!M82</f>
        <v>9.6883778716147839E-2</v>
      </c>
    </row>
    <row r="12" spans="2:17" x14ac:dyDescent="0.3">
      <c r="B12" t="s">
        <v>546</v>
      </c>
      <c r="C12" s="96">
        <f>FS!C30/FS!C62</f>
        <v>1.4385023241875685E-2</v>
      </c>
      <c r="D12" s="96">
        <f>FS!D30/FS!D62</f>
        <v>1.3533347520589734E-2</v>
      </c>
      <c r="E12" s="96">
        <f>FS!E30/FS!E62</f>
        <v>1.2364173854485298E-2</v>
      </c>
      <c r="F12" s="96">
        <f>FS!F30/FS!F62</f>
        <v>9.6946577562260355E-3</v>
      </c>
      <c r="G12" s="96">
        <f>FS!G30/FS!G62</f>
        <v>1.2246229620675331E-2</v>
      </c>
      <c r="H12" s="96">
        <f>FS!I30/FS!I62</f>
        <v>9.7615306319075081E-3</v>
      </c>
      <c r="I12" s="141">
        <f>FS!J30/FS!J62</f>
        <v>7.7457677464481288E-3</v>
      </c>
      <c r="J12" s="141">
        <f>FS!K30/FS!K62</f>
        <v>9.090325979661586E-3</v>
      </c>
      <c r="K12" s="141">
        <f>FS!L30/FS!L62</f>
        <v>8.4873125897604405E-3</v>
      </c>
      <c r="L12" s="141">
        <f>FS!M30/FS!M62</f>
        <v>7.9878194219674681E-3</v>
      </c>
    </row>
    <row r="13" spans="2:17" x14ac:dyDescent="0.3">
      <c r="B13" t="s">
        <v>548</v>
      </c>
      <c r="C13" s="96">
        <f>FS!C82/FS!C62</f>
        <v>9.418996401808552E-2</v>
      </c>
      <c r="D13" s="96">
        <f>FS!D82/FS!D62</f>
        <v>9.1367309597872912E-2</v>
      </c>
      <c r="E13" s="96">
        <f>FS!E82/FS!E62</f>
        <v>9.6535942717150658E-2</v>
      </c>
      <c r="F13" s="96">
        <f>FS!F82/FS!F62</f>
        <v>9.1318615774590009E-2</v>
      </c>
      <c r="G13" s="96">
        <f>FS!G82/FS!G62</f>
        <v>8.5481867924084867E-2</v>
      </c>
      <c r="H13" s="96">
        <f>FS!I82/FS!I62</f>
        <v>8.5204233307064545E-2</v>
      </c>
      <c r="I13" s="141">
        <f>FS!J82/FS!J62</f>
        <v>8.8079882784299138E-2</v>
      </c>
      <c r="J13" s="141">
        <f>FS!K82/FS!K62</f>
        <v>8.8057786325116558E-2</v>
      </c>
      <c r="K13" s="141">
        <f>FS!L82/FS!L62</f>
        <v>8.4516214027482287E-2</v>
      </c>
      <c r="L13" s="141">
        <f>FS!M82/FS!M62</f>
        <v>8.2447438857338046E-2</v>
      </c>
    </row>
    <row r="14" spans="2:17" x14ac:dyDescent="0.3">
      <c r="B14" t="s">
        <v>551</v>
      </c>
      <c r="C14" s="96">
        <f>FS!C67/FS!C62</f>
        <v>0.74169809697534939</v>
      </c>
      <c r="D14" s="96">
        <f>FS!D67/FS!D62</f>
        <v>0.7533613577673044</v>
      </c>
      <c r="E14" s="96">
        <f>FS!E67/FS!E62</f>
        <v>0.75871332391556745</v>
      </c>
      <c r="F14" s="96">
        <f>FS!F67/FS!F62</f>
        <v>0.72999671336020211</v>
      </c>
      <c r="G14" s="96">
        <f>FS!G67/FS!G62</f>
        <v>0.74244871748214869</v>
      </c>
      <c r="H14" s="96">
        <f>FS!I67/FS!I62</f>
        <v>0.79123865175903807</v>
      </c>
      <c r="I14" s="141">
        <f>FS!J67/FS!J62</f>
        <v>0.81094231869813582</v>
      </c>
      <c r="J14" s="141">
        <f>FS!K67/FS!K62</f>
        <v>0.80000086503232981</v>
      </c>
      <c r="K14" s="141">
        <f>FS!L67/FS!L62</f>
        <v>0.79616944214606788</v>
      </c>
      <c r="L14" s="141">
        <f>FS!M67/FS!M62</f>
        <v>0.7927416743927036</v>
      </c>
    </row>
    <row r="15" spans="2:17" x14ac:dyDescent="0.3">
      <c r="B15" t="s">
        <v>419</v>
      </c>
      <c r="C15" s="96">
        <f>FS!C45/FS!C62</f>
        <v>2.9998965514248431E-2</v>
      </c>
      <c r="D15" s="96">
        <f>FS!D45/FS!D62</f>
        <v>3.3605235830539544E-2</v>
      </c>
      <c r="E15" s="96">
        <f>FS!E45/FS!E62</f>
        <v>3.8100320776585109E-2</v>
      </c>
      <c r="F15" s="96">
        <f>FS!F45/FS!F62</f>
        <v>2.9080931559911326E-2</v>
      </c>
      <c r="G15" s="96">
        <f>FS!G45/FS!G62</f>
        <v>3.4956233210184678E-2</v>
      </c>
      <c r="H15" s="96">
        <f>FS!I45/FS!I62</f>
        <v>6.0454583419137981E-2</v>
      </c>
      <c r="I15" s="141">
        <f>FS!J45/FS!J62</f>
        <v>3.9783431257939733E-2</v>
      </c>
      <c r="J15" s="141">
        <f>FS!K45/FS!K62</f>
        <v>3.7144427211926144E-2</v>
      </c>
      <c r="K15" s="141">
        <f>FS!L45/FS!L62</f>
        <v>4.7221240655585597E-2</v>
      </c>
      <c r="L15" s="141">
        <f>FS!M45/FS!M62</f>
        <v>4.4651352667251863E-2</v>
      </c>
    </row>
    <row r="16" spans="2:17" x14ac:dyDescent="0.3">
      <c r="B16" t="s">
        <v>550</v>
      </c>
      <c r="C16" s="2">
        <f>FS!C6/FS!C87</f>
        <v>23204.567643516661</v>
      </c>
      <c r="D16" s="2">
        <f>FS!D6/FS!D87</f>
        <v>27781.419335587827</v>
      </c>
      <c r="E16" s="2">
        <f>FS!E6/FS!E87</f>
        <v>29778.966613986566</v>
      </c>
      <c r="F16" s="2">
        <f>FS!F6/FS!F87</f>
        <v>30050.704567925648</v>
      </c>
      <c r="G16" s="2">
        <f>FS!G6/FS!G87</f>
        <v>32270.369085173501</v>
      </c>
      <c r="H16" s="2">
        <f>FS!I6/FS!I87</f>
        <v>54752.381175551651</v>
      </c>
      <c r="I16" s="143">
        <f>FS!J6/FS!J87</f>
        <v>67419.707162705119</v>
      </c>
      <c r="J16" s="143">
        <f>FS!K6/FS!K87</f>
        <v>69462.010521074015</v>
      </c>
      <c r="K16" s="143">
        <f>FS!L6/FS!L87</f>
        <v>78223.658565389414</v>
      </c>
      <c r="L16" s="143">
        <f>FS!M6/FS!M87</f>
        <v>87193.489757931326</v>
      </c>
    </row>
    <row r="17" spans="2:12" x14ac:dyDescent="0.3">
      <c r="B17" t="s">
        <v>417</v>
      </c>
      <c r="C17" s="2"/>
      <c r="D17" s="2"/>
      <c r="E17" s="2"/>
      <c r="F17" s="96">
        <f>FS!F36/FS!F34</f>
        <v>0.4140127388535032</v>
      </c>
      <c r="G17" s="96">
        <f>FS!G36/FS!G34</f>
        <v>0.38639876352395675</v>
      </c>
      <c r="H17" s="96">
        <f>FS!I36/FS!I34</f>
        <v>0.2342529932326913</v>
      </c>
      <c r="I17" s="141">
        <f>FS!J36/FS!J34</f>
        <v>0.29871123826492907</v>
      </c>
      <c r="J17" s="141">
        <f>FS!K36/FS!K34</f>
        <v>0.34999999999999992</v>
      </c>
      <c r="K17" s="141">
        <f>FS!L36/FS!L34</f>
        <v>0.35</v>
      </c>
      <c r="L17" s="141">
        <f>FS!M36/FS!M34</f>
        <v>0.35</v>
      </c>
    </row>
    <row r="18" spans="2:12" x14ac:dyDescent="0.3">
      <c r="C18" s="2"/>
      <c r="D18" s="2"/>
      <c r="E18" s="2"/>
      <c r="F18" s="2"/>
      <c r="G18" s="2"/>
      <c r="H18" s="2"/>
      <c r="I18" s="143"/>
      <c r="J18" s="143"/>
      <c r="K18" s="143"/>
      <c r="L18" s="143"/>
    </row>
    <row r="19" spans="2:12" x14ac:dyDescent="0.3">
      <c r="C19" s="2"/>
      <c r="D19" s="2"/>
      <c r="E19" s="2"/>
      <c r="F19" s="2"/>
      <c r="G19" s="2"/>
      <c r="H19" s="2"/>
      <c r="I19" s="143"/>
      <c r="J19" s="143"/>
      <c r="K19" s="143"/>
      <c r="L19" s="143"/>
    </row>
    <row r="20" spans="2:12" x14ac:dyDescent="0.3">
      <c r="B20" t="s">
        <v>553</v>
      </c>
      <c r="C20" s="2">
        <f>FS!C6/FS!C88</f>
        <v>412875.55714285717</v>
      </c>
      <c r="D20" s="2">
        <f>FS!D6/FS!D88</f>
        <v>490025.24561403511</v>
      </c>
      <c r="E20" s="2">
        <f>FS!E6/FS!E88</f>
        <v>525230.41463414638</v>
      </c>
      <c r="F20" s="2">
        <f>FS!F6/FS!F88</f>
        <v>529499.69686411147</v>
      </c>
      <c r="G20" s="2">
        <f>FS!G6/FS!G88</f>
        <v>570297.25435540068</v>
      </c>
      <c r="H20" s="2">
        <f>FS!I6/FS!I88</f>
        <v>970197.03806228377</v>
      </c>
      <c r="I20" s="143">
        <f>FS!J6/FS!J88</f>
        <v>1200602.1228942315</v>
      </c>
      <c r="J20" s="143">
        <f>FS!K6/FS!K88</f>
        <v>1243125.3037488668</v>
      </c>
      <c r="K20" s="143">
        <f>FS!L6/FS!L88</f>
        <v>1406892.7558739504</v>
      </c>
      <c r="L20" s="143">
        <f>FS!M6/FS!M88</f>
        <v>1576021.8745421772</v>
      </c>
    </row>
    <row r="22" spans="2:12" x14ac:dyDescent="0.3">
      <c r="B22" t="s">
        <v>556</v>
      </c>
      <c r="C22" s="96"/>
      <c r="D22" s="96"/>
      <c r="E22" s="96"/>
      <c r="F22" s="96">
        <f t="shared" ref="F22:G22" si="1">F3-F4</f>
        <v>3.304839619906131E-2</v>
      </c>
      <c r="G22" s="96">
        <f t="shared" si="1"/>
        <v>3.6391116747623173E-2</v>
      </c>
      <c r="H22" s="96">
        <f>H3-H4</f>
        <v>4.370902910631333E-2</v>
      </c>
      <c r="I22" s="141">
        <f t="shared" ref="I22:L22" si="2">I3-I4</f>
        <v>3.5965244823720779E-2</v>
      </c>
      <c r="J22" s="141">
        <f t="shared" si="2"/>
        <v>2.4227159075856597E-2</v>
      </c>
      <c r="K22" s="141">
        <f t="shared" si="2"/>
        <v>2.4927528361332552E-2</v>
      </c>
      <c r="L22" s="141">
        <f t="shared" si="2"/>
        <v>2.4746718258874409E-2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3190-2DD0-4F60-A8C1-EB34039CF1D2}">
  <dimension ref="B1:P122"/>
  <sheetViews>
    <sheetView workbookViewId="0">
      <selection activeCell="H84" sqref="H84:H91"/>
    </sheetView>
  </sheetViews>
  <sheetFormatPr defaultRowHeight="14.4" x14ac:dyDescent="0.3"/>
  <cols>
    <col min="2" max="2" width="63.77734375" customWidth="1"/>
    <col min="3" max="16" width="13.44140625" customWidth="1"/>
  </cols>
  <sheetData>
    <row r="1" spans="2:9" s="11" customFormat="1" x14ac:dyDescent="0.3">
      <c r="C1" s="52">
        <v>2017</v>
      </c>
      <c r="D1" s="52">
        <v>2018</v>
      </c>
      <c r="E1" s="52">
        <v>2019</v>
      </c>
      <c r="F1" s="52">
        <v>2020</v>
      </c>
      <c r="G1" s="52">
        <v>2021</v>
      </c>
      <c r="H1" s="52">
        <v>2022</v>
      </c>
    </row>
    <row r="3" spans="2:9" x14ac:dyDescent="0.3">
      <c r="C3" s="2"/>
      <c r="D3" s="2"/>
      <c r="E3" s="2"/>
      <c r="F3" s="2"/>
      <c r="G3" s="2"/>
      <c r="H3" s="2"/>
    </row>
    <row r="4" spans="2:9" x14ac:dyDescent="0.3">
      <c r="B4" t="s">
        <v>246</v>
      </c>
      <c r="C4" s="2"/>
      <c r="D4" s="2"/>
      <c r="E4" s="2"/>
      <c r="F4" s="2"/>
      <c r="G4" s="2"/>
      <c r="H4" s="2"/>
    </row>
    <row r="5" spans="2:9" x14ac:dyDescent="0.3">
      <c r="B5" t="s">
        <v>242</v>
      </c>
      <c r="C5" s="25">
        <v>22331944</v>
      </c>
      <c r="D5" s="25">
        <v>20458655</v>
      </c>
      <c r="E5" s="25">
        <v>23158214</v>
      </c>
      <c r="F5" s="25">
        <v>31523186</v>
      </c>
      <c r="G5" s="25">
        <v>46873585</v>
      </c>
      <c r="H5" s="25">
        <v>67938881</v>
      </c>
    </row>
    <row r="6" spans="2:9" x14ac:dyDescent="0.3">
      <c r="B6" t="s">
        <v>36</v>
      </c>
      <c r="C6" s="2">
        <v>81635</v>
      </c>
      <c r="D6" s="2">
        <v>423571</v>
      </c>
      <c r="E6" s="2">
        <v>1629021</v>
      </c>
      <c r="F6" s="2">
        <v>618309</v>
      </c>
      <c r="G6" s="2">
        <v>363247</v>
      </c>
      <c r="H6" s="2">
        <v>213978</v>
      </c>
    </row>
    <row r="7" spans="2:9" x14ac:dyDescent="0.3">
      <c r="B7" t="s">
        <v>244</v>
      </c>
      <c r="C7" s="2">
        <v>296520</v>
      </c>
      <c r="D7" s="2">
        <v>219287</v>
      </c>
      <c r="E7" s="2">
        <v>277760</v>
      </c>
      <c r="F7" s="2">
        <v>662961</v>
      </c>
      <c r="G7" s="2">
        <v>418180</v>
      </c>
      <c r="H7" s="2">
        <v>432506</v>
      </c>
    </row>
    <row r="8" spans="2:9" x14ac:dyDescent="0.3">
      <c r="B8" t="s">
        <v>245</v>
      </c>
      <c r="C8" s="2">
        <v>6603815</v>
      </c>
      <c r="D8" s="2">
        <v>5337755</v>
      </c>
      <c r="E8" s="2">
        <v>6160065</v>
      </c>
      <c r="F8" s="2">
        <v>12188371</v>
      </c>
      <c r="G8" s="2">
        <v>24057370</v>
      </c>
      <c r="H8" s="2">
        <v>48296686</v>
      </c>
      <c r="I8" s="38"/>
    </row>
    <row r="9" spans="2:9" x14ac:dyDescent="0.3">
      <c r="B9" t="s">
        <v>41</v>
      </c>
      <c r="C9" s="2">
        <v>15349974</v>
      </c>
      <c r="D9" s="2">
        <v>14478042</v>
      </c>
      <c r="E9" s="2">
        <v>15091368</v>
      </c>
      <c r="F9" s="2">
        <v>18053545</v>
      </c>
      <c r="G9" s="2">
        <v>22034788</v>
      </c>
      <c r="H9" s="2">
        <v>18995711</v>
      </c>
    </row>
    <row r="10" spans="2:9" x14ac:dyDescent="0.3">
      <c r="C10" s="2"/>
      <c r="D10" s="2"/>
      <c r="E10" s="2"/>
      <c r="F10" s="2"/>
      <c r="G10" s="2"/>
      <c r="H10" s="2"/>
    </row>
    <row r="11" spans="2:9" x14ac:dyDescent="0.3">
      <c r="B11" t="s">
        <v>243</v>
      </c>
      <c r="C11" s="25">
        <v>1003916</v>
      </c>
      <c r="D11" s="25">
        <v>727417</v>
      </c>
      <c r="E11" s="25">
        <v>1318173</v>
      </c>
      <c r="F11" s="25">
        <v>1823578</v>
      </c>
      <c r="G11" s="25">
        <v>1419812</v>
      </c>
      <c r="H11" s="25">
        <v>3285610</v>
      </c>
    </row>
    <row r="12" spans="2:9" x14ac:dyDescent="0.3">
      <c r="B12" t="s">
        <v>36</v>
      </c>
      <c r="C12" s="2">
        <v>57518</v>
      </c>
      <c r="D12" s="2">
        <v>85045</v>
      </c>
      <c r="E12" s="2">
        <v>277881</v>
      </c>
      <c r="F12" s="2">
        <v>218464</v>
      </c>
      <c r="G12" s="2">
        <v>12151</v>
      </c>
      <c r="H12" s="2">
        <v>919605</v>
      </c>
    </row>
    <row r="13" spans="2:9" x14ac:dyDescent="0.3">
      <c r="B13" t="s">
        <v>244</v>
      </c>
      <c r="C13" s="2">
        <v>148381</v>
      </c>
      <c r="D13" s="2">
        <v>47875</v>
      </c>
      <c r="E13" s="2">
        <v>129265</v>
      </c>
      <c r="F13" s="2">
        <v>1133464</v>
      </c>
      <c r="G13" s="2">
        <v>515828</v>
      </c>
      <c r="H13" s="2">
        <v>846747</v>
      </c>
    </row>
    <row r="14" spans="2:9" x14ac:dyDescent="0.3">
      <c r="B14" t="s">
        <v>245</v>
      </c>
      <c r="C14" s="2">
        <v>798017</v>
      </c>
      <c r="D14" s="2">
        <v>594497</v>
      </c>
      <c r="E14" s="2">
        <v>911027</v>
      </c>
      <c r="F14" s="2">
        <v>471650</v>
      </c>
      <c r="G14" s="2">
        <v>891833</v>
      </c>
      <c r="H14" s="2">
        <v>1519258</v>
      </c>
    </row>
    <row r="16" spans="2:9" x14ac:dyDescent="0.3">
      <c r="B16" t="s">
        <v>247</v>
      </c>
    </row>
    <row r="17" spans="2:16" x14ac:dyDescent="0.3">
      <c r="B17" t="s">
        <v>245</v>
      </c>
      <c r="C17" s="38">
        <v>156598</v>
      </c>
      <c r="D17" s="38">
        <v>201931</v>
      </c>
      <c r="E17" s="38">
        <v>247379</v>
      </c>
      <c r="F17" s="38">
        <v>303081</v>
      </c>
      <c r="G17" s="2">
        <v>520270</v>
      </c>
      <c r="H17" s="2">
        <v>1226004</v>
      </c>
    </row>
    <row r="19" spans="2:16" x14ac:dyDescent="0.3">
      <c r="B19" t="s">
        <v>179</v>
      </c>
      <c r="C19" s="13">
        <f t="shared" ref="C19:G19" si="0">SUM(C6:C9)-C5+SUM(C12:C14)-C11</f>
        <v>0</v>
      </c>
      <c r="D19" s="13">
        <f t="shared" si="0"/>
        <v>0</v>
      </c>
      <c r="E19" s="13">
        <f t="shared" si="0"/>
        <v>0</v>
      </c>
      <c r="F19" s="13">
        <f t="shared" si="0"/>
        <v>0</v>
      </c>
      <c r="G19" s="13">
        <f t="shared" si="0"/>
        <v>0</v>
      </c>
      <c r="H19" s="13">
        <f>SUM(H6:H9)-H5+SUM(H12:H14)-H11</f>
        <v>0</v>
      </c>
    </row>
    <row r="20" spans="2:16" x14ac:dyDescent="0.3">
      <c r="B20" t="s">
        <v>179</v>
      </c>
      <c r="C20" s="13">
        <f>(C8+C14+C17)-Drivers!C17</f>
        <v>-953688</v>
      </c>
      <c r="D20" s="13">
        <f>(D8+D14+D17)-Drivers!D17</f>
        <v>-694488</v>
      </c>
      <c r="E20" s="13">
        <f>(E8+E14+E17)-Drivers!E17</f>
        <v>-501092</v>
      </c>
      <c r="F20" s="13">
        <f>(F8+F14+F17)-Drivers!F17</f>
        <v>-231749</v>
      </c>
      <c r="G20" s="13">
        <f>(G8+G14+G17)-Drivers!G17</f>
        <v>-481994</v>
      </c>
      <c r="H20" s="13">
        <f>(H8+H14+H17)-Drivers!H17</f>
        <v>-708947</v>
      </c>
    </row>
    <row r="22" spans="2:16" s="7" customFormat="1" x14ac:dyDescent="0.3"/>
    <row r="29" spans="2:16" s="7" customFormat="1" x14ac:dyDescent="0.3"/>
    <row r="31" spans="2:16" x14ac:dyDescent="0.3">
      <c r="B31" s="3" t="s">
        <v>205</v>
      </c>
    </row>
    <row r="32" spans="2:16" x14ac:dyDescent="0.3">
      <c r="B32" t="s">
        <v>117</v>
      </c>
      <c r="C32" s="5">
        <v>2017</v>
      </c>
      <c r="D32" s="5">
        <v>2018</v>
      </c>
      <c r="E32" s="5">
        <v>2019</v>
      </c>
      <c r="F32" s="5">
        <v>2020</v>
      </c>
      <c r="G32" s="5">
        <v>2021</v>
      </c>
      <c r="H32" s="5">
        <v>2022</v>
      </c>
      <c r="I32" s="5"/>
      <c r="J32" s="5"/>
      <c r="K32" s="5"/>
      <c r="L32" s="5"/>
      <c r="M32" s="5"/>
      <c r="N32" s="5"/>
      <c r="O32" s="5"/>
      <c r="P32" s="5"/>
    </row>
    <row r="33" spans="2:16" x14ac:dyDescent="0.3">
      <c r="B33" t="s">
        <v>159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2:16" x14ac:dyDescent="0.3">
      <c r="B34" t="s">
        <v>150</v>
      </c>
      <c r="C34" s="2">
        <v>600058048</v>
      </c>
      <c r="D34" s="2">
        <v>692648484</v>
      </c>
      <c r="E34" s="2">
        <v>694387671</v>
      </c>
      <c r="F34" s="2">
        <v>714427226</v>
      </c>
      <c r="G34" s="2">
        <v>824624056</v>
      </c>
      <c r="H34" s="2">
        <v>842120414</v>
      </c>
      <c r="I34" s="2"/>
      <c r="J34" s="2"/>
      <c r="K34" s="2"/>
      <c r="L34" s="2"/>
      <c r="M34" s="2"/>
      <c r="N34" s="2"/>
      <c r="O34" s="2"/>
      <c r="P34" s="2"/>
    </row>
    <row r="35" spans="2:16" x14ac:dyDescent="0.3">
      <c r="B35" t="s">
        <v>151</v>
      </c>
      <c r="C35" s="2">
        <v>113192698</v>
      </c>
      <c r="D35" s="2">
        <v>137588618</v>
      </c>
      <c r="E35" s="2">
        <v>152785345</v>
      </c>
      <c r="F35" s="2">
        <v>146750563</v>
      </c>
      <c r="G35" s="2">
        <v>169120449</v>
      </c>
      <c r="H35" s="2">
        <v>228254025</v>
      </c>
      <c r="I35" s="2"/>
      <c r="J35" s="2"/>
      <c r="K35" s="2"/>
      <c r="L35" s="2"/>
      <c r="M35" s="2"/>
      <c r="N35" s="2"/>
      <c r="O35" s="2"/>
      <c r="P35" s="2"/>
    </row>
    <row r="36" spans="2:16" x14ac:dyDescent="0.3">
      <c r="B36" t="s">
        <v>152</v>
      </c>
      <c r="C36" s="2">
        <v>892245</v>
      </c>
      <c r="D36" s="2">
        <v>952806</v>
      </c>
      <c r="E36" s="2">
        <v>1297284</v>
      </c>
      <c r="F36" s="2">
        <v>1512981</v>
      </c>
      <c r="G36" s="2">
        <v>1369259</v>
      </c>
      <c r="H36" s="2">
        <v>2307564</v>
      </c>
      <c r="I36" s="2"/>
      <c r="J36" s="2"/>
      <c r="K36" s="2"/>
      <c r="L36" s="2"/>
      <c r="M36" s="2"/>
      <c r="N36" s="2"/>
      <c r="O36" s="2"/>
      <c r="P36" s="2"/>
    </row>
    <row r="37" spans="2:16" x14ac:dyDescent="0.3">
      <c r="B37" t="s">
        <v>153</v>
      </c>
      <c r="C37" s="2">
        <v>1500772</v>
      </c>
      <c r="D37" s="2">
        <v>1850804</v>
      </c>
      <c r="E37" s="2">
        <v>6671660</v>
      </c>
      <c r="F37" s="2">
        <v>9548883</v>
      </c>
      <c r="G37" s="2">
        <v>5507223</v>
      </c>
      <c r="H37" s="2">
        <v>6239416</v>
      </c>
      <c r="I37" s="2"/>
      <c r="J37" s="2"/>
      <c r="K37" s="2"/>
      <c r="L37" s="2"/>
      <c r="M37" s="2"/>
      <c r="N37" s="2"/>
      <c r="O37" s="2"/>
      <c r="P37" s="2"/>
    </row>
    <row r="38" spans="2:16" x14ac:dyDescent="0.3">
      <c r="B38" t="s">
        <v>154</v>
      </c>
      <c r="C38" s="2">
        <v>690992</v>
      </c>
      <c r="D38" s="2">
        <v>611436</v>
      </c>
      <c r="E38" s="2">
        <v>609115</v>
      </c>
      <c r="F38" s="2">
        <v>708584</v>
      </c>
      <c r="G38" s="2">
        <v>502605</v>
      </c>
      <c r="H38" s="2">
        <v>721089</v>
      </c>
      <c r="I38" s="2"/>
      <c r="J38" s="2"/>
      <c r="K38" s="2"/>
      <c r="L38" s="2"/>
      <c r="M38" s="2"/>
      <c r="N38" s="2"/>
      <c r="O38" s="2"/>
      <c r="P38" s="2"/>
    </row>
    <row r="39" spans="2:16" x14ac:dyDescent="0.3">
      <c r="B39" t="s">
        <v>155</v>
      </c>
      <c r="C39" s="2">
        <v>135765</v>
      </c>
      <c r="D39" s="2">
        <v>176039</v>
      </c>
      <c r="E39" s="2">
        <v>286695</v>
      </c>
      <c r="F39" s="2">
        <v>187489</v>
      </c>
      <c r="G39" s="2">
        <v>175531</v>
      </c>
      <c r="H39" s="2">
        <v>252705</v>
      </c>
      <c r="I39" s="2"/>
      <c r="J39" s="2"/>
      <c r="K39" s="2"/>
      <c r="L39" s="2"/>
      <c r="M39" s="2"/>
      <c r="N39" s="2"/>
      <c r="O39" s="2"/>
      <c r="P39" s="2"/>
    </row>
    <row r="40" spans="2:16" x14ac:dyDescent="0.3">
      <c r="B40" t="s">
        <v>178</v>
      </c>
      <c r="C40" s="2">
        <v>5504</v>
      </c>
      <c r="D40" s="2">
        <v>0</v>
      </c>
      <c r="E40" s="2">
        <v>2512</v>
      </c>
      <c r="F40" s="2">
        <v>0</v>
      </c>
      <c r="G40" s="2">
        <v>0</v>
      </c>
      <c r="H40" s="2">
        <v>0</v>
      </c>
      <c r="I40" s="2"/>
      <c r="J40" s="2"/>
      <c r="K40" s="2"/>
      <c r="L40" s="2"/>
      <c r="M40" s="2"/>
      <c r="N40" s="2"/>
      <c r="O40" s="2"/>
      <c r="P40" s="2"/>
    </row>
    <row r="41" spans="2:16" x14ac:dyDescent="0.3">
      <c r="B41" t="s">
        <v>156</v>
      </c>
      <c r="C41" s="2">
        <v>43164009</v>
      </c>
      <c r="D41" s="2">
        <v>62142187</v>
      </c>
      <c r="E41" s="2">
        <v>71252778</v>
      </c>
      <c r="F41" s="2">
        <v>84659542</v>
      </c>
      <c r="G41" s="2">
        <v>89272959</v>
      </c>
      <c r="H41" s="2">
        <v>157652152</v>
      </c>
      <c r="I41" s="2"/>
      <c r="J41" s="2"/>
      <c r="K41" s="2"/>
      <c r="L41" s="2"/>
      <c r="M41" s="2"/>
      <c r="N41" s="2"/>
      <c r="O41" s="2"/>
      <c r="P41" s="2"/>
    </row>
    <row r="42" spans="2:16" x14ac:dyDescent="0.3">
      <c r="B42" t="s">
        <v>157</v>
      </c>
      <c r="C42" s="16">
        <v>737167</v>
      </c>
      <c r="D42" s="16">
        <v>1909104</v>
      </c>
      <c r="E42" s="16">
        <v>3141714</v>
      </c>
      <c r="F42" s="2">
        <v>3611052</v>
      </c>
      <c r="G42" s="2">
        <v>4074842</v>
      </c>
      <c r="H42" s="2">
        <v>8074579</v>
      </c>
      <c r="I42" s="2"/>
      <c r="J42" s="16"/>
      <c r="K42" s="2"/>
      <c r="L42" s="2"/>
      <c r="M42" s="2"/>
      <c r="N42" s="2"/>
      <c r="O42" s="2"/>
      <c r="P42" s="2"/>
    </row>
    <row r="43" spans="2:16" x14ac:dyDescent="0.3">
      <c r="B43" t="s">
        <v>158</v>
      </c>
      <c r="C43" s="16">
        <v>76737</v>
      </c>
      <c r="D43" s="16">
        <v>76318</v>
      </c>
      <c r="E43" s="16">
        <v>302617</v>
      </c>
      <c r="F43" s="2">
        <v>452798</v>
      </c>
      <c r="G43" s="2">
        <v>283958</v>
      </c>
      <c r="H43" s="2">
        <v>548271</v>
      </c>
      <c r="I43" s="2"/>
      <c r="J43" s="16"/>
      <c r="K43" s="2"/>
      <c r="L43" s="2"/>
      <c r="M43" s="2"/>
      <c r="N43" s="2"/>
      <c r="O43" s="2"/>
      <c r="P43" s="2"/>
    </row>
    <row r="44" spans="2:16" ht="15" thickBot="1" x14ac:dyDescent="0.35">
      <c r="C44" s="17">
        <f t="shared" ref="C44:H44" si="1">SUM(C34:C43)</f>
        <v>760453937</v>
      </c>
      <c r="D44" s="17">
        <f t="shared" si="1"/>
        <v>897955796</v>
      </c>
      <c r="E44" s="17">
        <f t="shared" si="1"/>
        <v>930737391</v>
      </c>
      <c r="F44" s="17">
        <f t="shared" si="1"/>
        <v>961859118</v>
      </c>
      <c r="G44" s="17">
        <f t="shared" si="1"/>
        <v>1094930882</v>
      </c>
      <c r="H44" s="17">
        <f t="shared" si="1"/>
        <v>1246170215</v>
      </c>
      <c r="I44" s="2"/>
      <c r="J44" s="2"/>
      <c r="K44" s="2"/>
      <c r="L44" s="2"/>
      <c r="M44" s="2"/>
      <c r="N44" s="2"/>
      <c r="O44" s="2"/>
      <c r="P44" s="2"/>
    </row>
    <row r="45" spans="2:16" ht="15" thickTop="1" x14ac:dyDescent="0.3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2:16" x14ac:dyDescent="0.3">
      <c r="B46" s="3" t="s">
        <v>205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2:16" x14ac:dyDescent="0.3">
      <c r="B47" s="3" t="s">
        <v>175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2:16" x14ac:dyDescent="0.3">
      <c r="B48" t="s">
        <v>160</v>
      </c>
      <c r="C48" s="2">
        <v>71041888</v>
      </c>
      <c r="D48" s="2">
        <v>84677466</v>
      </c>
      <c r="E48" s="2">
        <v>68775119</v>
      </c>
      <c r="F48" s="2">
        <v>78617259</v>
      </c>
      <c r="G48" s="2">
        <v>93304092</v>
      </c>
      <c r="H48" s="43">
        <v>126475449</v>
      </c>
      <c r="I48" s="115">
        <f t="shared" ref="I48:I56" si="2">H48/$H$63</f>
        <v>0.10149131112076852</v>
      </c>
      <c r="J48" s="2"/>
      <c r="K48" s="2"/>
      <c r="L48" s="2"/>
      <c r="M48" s="2"/>
      <c r="N48" s="2"/>
      <c r="O48" s="2"/>
      <c r="P48" s="2"/>
    </row>
    <row r="49" spans="2:16" x14ac:dyDescent="0.3">
      <c r="B49" t="s">
        <v>161</v>
      </c>
      <c r="C49" s="2"/>
      <c r="D49" s="2">
        <v>949302</v>
      </c>
      <c r="E49" s="2">
        <v>1118938</v>
      </c>
      <c r="F49" s="2">
        <v>1288474</v>
      </c>
      <c r="G49" s="2">
        <v>1172974</v>
      </c>
      <c r="H49" s="2">
        <v>1488736</v>
      </c>
      <c r="I49" s="115">
        <f t="shared" si="2"/>
        <v>1.1946489990534721E-3</v>
      </c>
      <c r="J49" s="2"/>
      <c r="K49" s="2"/>
      <c r="L49" s="2"/>
      <c r="M49" s="2"/>
      <c r="N49" s="2"/>
      <c r="O49" s="2"/>
      <c r="P49" s="2"/>
    </row>
    <row r="50" spans="2:16" x14ac:dyDescent="0.3">
      <c r="B50" t="s">
        <v>162</v>
      </c>
      <c r="C50" s="2">
        <v>106784977</v>
      </c>
      <c r="D50" s="2">
        <v>40689218</v>
      </c>
      <c r="E50" s="2">
        <v>45439269</v>
      </c>
      <c r="F50" s="2">
        <v>46454293</v>
      </c>
      <c r="G50" s="2">
        <v>56370508</v>
      </c>
      <c r="H50" s="2">
        <v>54627371</v>
      </c>
      <c r="I50" s="115">
        <f t="shared" si="2"/>
        <v>4.3836203387351863E-2</v>
      </c>
      <c r="J50" s="2"/>
      <c r="K50" s="2"/>
      <c r="L50" s="2"/>
      <c r="M50" s="2"/>
      <c r="N50" s="2"/>
      <c r="O50" s="2"/>
      <c r="P50" s="2"/>
    </row>
    <row r="51" spans="2:16" x14ac:dyDescent="0.3">
      <c r="B51" t="s">
        <v>163</v>
      </c>
      <c r="C51" s="2"/>
      <c r="D51" s="2">
        <v>176273517</v>
      </c>
      <c r="E51" s="2">
        <v>201412039</v>
      </c>
      <c r="F51" s="2">
        <v>216286919</v>
      </c>
      <c r="G51" s="2">
        <v>168260117</v>
      </c>
      <c r="H51" s="43">
        <v>129274363</v>
      </c>
      <c r="I51" s="115">
        <f t="shared" si="2"/>
        <v>0.10373732371704936</v>
      </c>
      <c r="J51" s="2"/>
      <c r="K51" s="2"/>
      <c r="L51" s="2"/>
      <c r="M51" s="2"/>
      <c r="N51" s="2"/>
      <c r="O51" s="2"/>
      <c r="P51" s="2"/>
    </row>
    <row r="52" spans="2:16" x14ac:dyDescent="0.3">
      <c r="B52" t="s">
        <v>164</v>
      </c>
      <c r="C52" s="2">
        <v>64040605</v>
      </c>
      <c r="D52" s="2">
        <v>2670021</v>
      </c>
      <c r="E52" s="2">
        <v>3225133</v>
      </c>
      <c r="F52" s="2">
        <v>3470636</v>
      </c>
      <c r="G52" s="2">
        <v>4295475</v>
      </c>
      <c r="H52" s="2">
        <v>3774937</v>
      </c>
      <c r="I52" s="115">
        <f t="shared" si="2"/>
        <v>3.0292306416583709E-3</v>
      </c>
      <c r="J52" s="2"/>
      <c r="K52" s="2"/>
      <c r="L52" s="2"/>
      <c r="M52" s="2"/>
      <c r="N52" s="2"/>
      <c r="O52" s="2"/>
      <c r="P52" s="2"/>
    </row>
    <row r="53" spans="2:16" x14ac:dyDescent="0.3">
      <c r="B53" t="s">
        <v>165</v>
      </c>
      <c r="C53" s="2">
        <v>46764237</v>
      </c>
      <c r="D53" s="2">
        <v>40046006</v>
      </c>
      <c r="E53" s="2">
        <v>35777329</v>
      </c>
      <c r="F53" s="2">
        <v>36023186</v>
      </c>
      <c r="G53" s="2">
        <v>70326837</v>
      </c>
      <c r="H53" s="2">
        <v>95254707</v>
      </c>
      <c r="I53" s="115">
        <f t="shared" si="2"/>
        <v>7.6437958357077243E-2</v>
      </c>
      <c r="J53" s="2"/>
      <c r="K53" s="2"/>
      <c r="L53" s="2"/>
      <c r="M53" s="2"/>
      <c r="N53" s="2"/>
      <c r="O53" s="2"/>
      <c r="P53" s="2"/>
    </row>
    <row r="54" spans="2:16" x14ac:dyDescent="0.3">
      <c r="B54" t="s">
        <v>166</v>
      </c>
      <c r="C54" s="2"/>
      <c r="D54" s="2">
        <v>18546251</v>
      </c>
      <c r="E54" s="2">
        <v>18605625</v>
      </c>
      <c r="F54" s="2">
        <v>18480398</v>
      </c>
      <c r="G54" s="2">
        <v>26354594</v>
      </c>
      <c r="H54" s="2">
        <v>24631507</v>
      </c>
      <c r="I54" s="115">
        <f t="shared" si="2"/>
        <v>1.9765764502724853E-2</v>
      </c>
    </row>
    <row r="55" spans="2:16" x14ac:dyDescent="0.3">
      <c r="B55" t="s">
        <v>167</v>
      </c>
      <c r="C55" s="2">
        <v>17479610</v>
      </c>
      <c r="D55" s="2">
        <v>12835806</v>
      </c>
      <c r="E55" s="2">
        <v>11403418</v>
      </c>
      <c r="F55" s="2">
        <v>11633615</v>
      </c>
      <c r="G55" s="2">
        <v>15155899</v>
      </c>
      <c r="H55" s="2">
        <v>17387197</v>
      </c>
      <c r="I55" s="115">
        <f t="shared" si="2"/>
        <v>1.3952505677565083E-2</v>
      </c>
    </row>
    <row r="56" spans="2:16" x14ac:dyDescent="0.3">
      <c r="B56" t="s">
        <v>168</v>
      </c>
      <c r="C56" s="2">
        <v>20886155</v>
      </c>
      <c r="D56" s="2">
        <v>19215514</v>
      </c>
      <c r="E56" s="2">
        <v>17083131</v>
      </c>
      <c r="F56" s="2">
        <v>17421563</v>
      </c>
      <c r="G56" s="2">
        <v>26786632</v>
      </c>
      <c r="H56" s="2">
        <v>33981732</v>
      </c>
      <c r="I56" s="115">
        <f t="shared" si="2"/>
        <v>2.7268932920211063E-2</v>
      </c>
    </row>
    <row r="57" spans="2:16" x14ac:dyDescent="0.3">
      <c r="B57" t="s">
        <v>169</v>
      </c>
      <c r="C57" s="2"/>
      <c r="D57" s="2">
        <v>85552523</v>
      </c>
      <c r="E57" s="2">
        <v>108985813</v>
      </c>
      <c r="F57" s="2">
        <v>129398136</v>
      </c>
      <c r="G57" s="2">
        <v>144737204</v>
      </c>
      <c r="H57" s="43">
        <v>208063238</v>
      </c>
      <c r="I57" s="115">
        <f>H57/$H$63</f>
        <v>0.16696213366004739</v>
      </c>
    </row>
    <row r="58" spans="2:16" x14ac:dyDescent="0.3">
      <c r="B58" t="s">
        <v>170</v>
      </c>
      <c r="C58" s="2">
        <v>115028848</v>
      </c>
      <c r="D58" s="2">
        <v>103027652</v>
      </c>
      <c r="E58" s="2">
        <v>123625669</v>
      </c>
      <c r="F58" s="2">
        <v>122921837</v>
      </c>
      <c r="G58" s="2">
        <v>147215372</v>
      </c>
      <c r="H58" s="43">
        <v>152676544</v>
      </c>
      <c r="I58" s="115">
        <f t="shared" ref="I58:I62" si="3">H58/$H$63</f>
        <v>0.12251660500487889</v>
      </c>
    </row>
    <row r="59" spans="2:16" x14ac:dyDescent="0.3">
      <c r="B59" t="s">
        <v>171</v>
      </c>
      <c r="C59" s="2">
        <v>138916147</v>
      </c>
      <c r="D59" s="2">
        <v>23318540</v>
      </c>
      <c r="E59" s="2">
        <v>23782598</v>
      </c>
      <c r="F59" s="2">
        <v>26000516</v>
      </c>
      <c r="G59" s="2">
        <v>26850133</v>
      </c>
      <c r="H59" s="2">
        <v>27476630</v>
      </c>
      <c r="I59" s="115">
        <f t="shared" si="3"/>
        <v>2.2048857908227248E-2</v>
      </c>
    </row>
    <row r="60" spans="2:16" x14ac:dyDescent="0.3">
      <c r="B60" t="s">
        <v>172</v>
      </c>
      <c r="C60" s="2">
        <v>47671546</v>
      </c>
      <c r="D60" s="2">
        <v>60387096</v>
      </c>
      <c r="E60" s="2">
        <v>62811790</v>
      </c>
      <c r="F60" s="2">
        <v>66751110</v>
      </c>
      <c r="G60" s="2">
        <v>68495166</v>
      </c>
      <c r="H60" s="2">
        <v>86703188</v>
      </c>
      <c r="I60" s="115">
        <f t="shared" si="3"/>
        <v>6.9575718434258998E-2</v>
      </c>
    </row>
    <row r="61" spans="2:16" x14ac:dyDescent="0.3">
      <c r="B61" t="s">
        <v>173</v>
      </c>
      <c r="C61" s="2">
        <v>17190601</v>
      </c>
      <c r="D61" s="2">
        <v>11480382</v>
      </c>
      <c r="E61" s="2">
        <v>12906113</v>
      </c>
      <c r="F61" s="2">
        <v>13055953</v>
      </c>
      <c r="G61" s="2">
        <v>20968768</v>
      </c>
      <c r="H61" s="2">
        <v>22594696</v>
      </c>
      <c r="I61" s="115">
        <f t="shared" si="3"/>
        <v>1.8131308009155075E-2</v>
      </c>
    </row>
    <row r="62" spans="2:16" x14ac:dyDescent="0.3">
      <c r="B62" t="s">
        <v>174</v>
      </c>
      <c r="C62" s="2">
        <v>114649323</v>
      </c>
      <c r="D62" s="2">
        <v>218286502</v>
      </c>
      <c r="E62" s="2">
        <v>195785407</v>
      </c>
      <c r="F62" s="2">
        <v>174055223</v>
      </c>
      <c r="G62" s="2">
        <v>224637111</v>
      </c>
      <c r="H62" s="43">
        <v>261759920</v>
      </c>
      <c r="I62" s="115">
        <f t="shared" si="3"/>
        <v>0.21005149765997255</v>
      </c>
    </row>
    <row r="63" spans="2:16" ht="15" thickBot="1" x14ac:dyDescent="0.35">
      <c r="C63" s="17">
        <f>SUM(C48:C62)</f>
        <v>760453937</v>
      </c>
      <c r="D63" s="17">
        <f t="shared" ref="D63:F63" si="4">SUM(D48:D62)</f>
        <v>897955796</v>
      </c>
      <c r="E63" s="17">
        <f t="shared" si="4"/>
        <v>930737391</v>
      </c>
      <c r="F63" s="17">
        <f t="shared" si="4"/>
        <v>961859118</v>
      </c>
      <c r="G63" s="17">
        <f>SUM(G48:G62)</f>
        <v>1094930882</v>
      </c>
      <c r="H63" s="17">
        <f>SUM(H48:H62)</f>
        <v>1246170215</v>
      </c>
      <c r="I63" s="2"/>
    </row>
    <row r="64" spans="2:16" ht="15" thickTop="1" x14ac:dyDescent="0.3">
      <c r="C64" s="2"/>
      <c r="D64" s="2"/>
      <c r="E64" s="2"/>
      <c r="F64" s="2"/>
      <c r="G64" s="2"/>
      <c r="H64" s="2"/>
      <c r="I64" s="2"/>
    </row>
    <row r="65" spans="2:9" x14ac:dyDescent="0.3">
      <c r="B65" s="33" t="s">
        <v>179</v>
      </c>
      <c r="C65" s="34" t="str">
        <f>IF(C63=Drivers!C305,"OK","FLAG")</f>
        <v>OK</v>
      </c>
      <c r="D65" s="34" t="str">
        <f>IF(D63=Drivers!D305,"OK","FLAG")</f>
        <v>OK</v>
      </c>
      <c r="E65" s="34" t="str">
        <f>IF(E63=Drivers!E305,"OK","FLAG")</f>
        <v>OK</v>
      </c>
      <c r="F65" s="34" t="str">
        <f>IF(F63=Drivers!F305,"OK","FLAG")</f>
        <v>OK</v>
      </c>
      <c r="G65" s="34" t="str">
        <f>IF(G63=Drivers!G305,"OK","FLAG")</f>
        <v>OK</v>
      </c>
      <c r="H65" s="34" t="str">
        <f>IF(H63=Drivers!H305,"OK","FLAG")</f>
        <v>OK</v>
      </c>
      <c r="I65" s="2"/>
    </row>
    <row r="66" spans="2:9" x14ac:dyDescent="0.3">
      <c r="C66" s="2"/>
      <c r="D66" s="2"/>
      <c r="E66" s="2"/>
      <c r="F66" s="2"/>
      <c r="G66" s="2"/>
      <c r="H66" s="2"/>
      <c r="I66" s="2"/>
    </row>
    <row r="67" spans="2:9" s="7" customFormat="1" x14ac:dyDescent="0.3">
      <c r="C67" s="23"/>
      <c r="D67" s="23"/>
      <c r="E67" s="23"/>
      <c r="F67" s="23"/>
      <c r="G67" s="23"/>
      <c r="H67" s="23"/>
      <c r="I67" s="23"/>
    </row>
    <row r="68" spans="2:9" x14ac:dyDescent="0.3">
      <c r="C68" s="2"/>
      <c r="D68" s="2"/>
      <c r="E68" s="2"/>
      <c r="F68" s="2"/>
      <c r="G68" s="2"/>
      <c r="H68" s="2"/>
      <c r="I68" s="2"/>
    </row>
    <row r="69" spans="2:9" x14ac:dyDescent="0.3">
      <c r="B69" t="s">
        <v>40</v>
      </c>
      <c r="C69" s="2"/>
      <c r="D69" s="2"/>
      <c r="E69" s="2"/>
      <c r="F69" s="2"/>
      <c r="G69" s="2"/>
      <c r="H69" s="2"/>
      <c r="I69" s="2"/>
    </row>
    <row r="70" spans="2:9" x14ac:dyDescent="0.3">
      <c r="C70" s="2"/>
      <c r="D70" s="2"/>
      <c r="E70" s="2"/>
      <c r="F70" s="2"/>
      <c r="G70" s="2"/>
      <c r="H70" s="2"/>
      <c r="I70" s="2"/>
    </row>
    <row r="71" spans="2:9" x14ac:dyDescent="0.3">
      <c r="C71" s="2"/>
      <c r="D71" s="2"/>
      <c r="E71" s="2"/>
      <c r="F71" s="2"/>
      <c r="G71" s="2"/>
      <c r="H71" s="2"/>
      <c r="I71" s="2"/>
    </row>
    <row r="72" spans="2:9" x14ac:dyDescent="0.3">
      <c r="B72" t="s">
        <v>199</v>
      </c>
      <c r="C72" s="2"/>
      <c r="D72" s="2"/>
      <c r="E72" s="2"/>
      <c r="F72" s="2"/>
      <c r="G72" s="2">
        <v>80317</v>
      </c>
      <c r="H72" s="2">
        <v>80317</v>
      </c>
      <c r="I72" s="2"/>
    </row>
    <row r="73" spans="2:9" x14ac:dyDescent="0.3">
      <c r="B73" t="s">
        <v>200</v>
      </c>
      <c r="C73" s="2"/>
      <c r="D73" s="2"/>
      <c r="E73" s="2"/>
      <c r="F73" s="2"/>
      <c r="G73" s="2">
        <v>152870</v>
      </c>
      <c r="H73" s="2">
        <v>152870</v>
      </c>
      <c r="I73" s="2"/>
    </row>
    <row r="74" spans="2:9" x14ac:dyDescent="0.3">
      <c r="B74" t="s">
        <v>201</v>
      </c>
      <c r="C74" s="2"/>
      <c r="D74" s="2"/>
      <c r="E74" s="2"/>
      <c r="F74" s="2"/>
      <c r="G74" s="2">
        <v>328529</v>
      </c>
      <c r="H74" s="2">
        <v>328529</v>
      </c>
      <c r="I74" s="2"/>
    </row>
    <row r="75" spans="2:9" x14ac:dyDescent="0.3">
      <c r="B75" s="42" t="s">
        <v>202</v>
      </c>
      <c r="C75" s="2"/>
      <c r="D75" s="2"/>
      <c r="E75" s="2"/>
      <c r="F75" s="2"/>
      <c r="G75" s="2">
        <v>5333014</v>
      </c>
      <c r="H75" s="2">
        <v>5333014</v>
      </c>
      <c r="I75" s="2"/>
    </row>
    <row r="76" spans="2:9" x14ac:dyDescent="0.3">
      <c r="B76" t="s">
        <v>203</v>
      </c>
      <c r="C76" s="2"/>
      <c r="D76" s="2"/>
      <c r="E76" s="2"/>
      <c r="F76" s="2"/>
      <c r="G76" s="2">
        <v>626823</v>
      </c>
      <c r="H76" s="2">
        <v>626823</v>
      </c>
      <c r="I76" s="2"/>
    </row>
    <row r="77" spans="2:9" x14ac:dyDescent="0.3">
      <c r="C77" s="2"/>
      <c r="D77" s="2"/>
      <c r="E77" s="2"/>
      <c r="F77" s="2"/>
      <c r="G77" s="2"/>
      <c r="H77" s="2"/>
      <c r="I77" s="2"/>
    </row>
    <row r="78" spans="2:9" x14ac:dyDescent="0.3">
      <c r="C78" s="2"/>
      <c r="D78" s="2"/>
      <c r="E78" s="2"/>
      <c r="F78" s="2"/>
      <c r="G78" s="2"/>
      <c r="H78" s="2"/>
      <c r="I78" s="2"/>
    </row>
    <row r="79" spans="2:9" s="7" customFormat="1" x14ac:dyDescent="0.3">
      <c r="C79" s="23"/>
      <c r="D79" s="23"/>
      <c r="E79" s="23"/>
      <c r="F79" s="23"/>
      <c r="G79" s="23"/>
      <c r="H79" s="23"/>
      <c r="I79" s="23"/>
    </row>
    <row r="80" spans="2:9" x14ac:dyDescent="0.3">
      <c r="B80" t="s">
        <v>52</v>
      </c>
      <c r="C80" s="27">
        <v>857269981</v>
      </c>
      <c r="D80" s="27">
        <v>994370875</v>
      </c>
      <c r="E80" s="27">
        <v>1068982587</v>
      </c>
      <c r="F80" s="27">
        <v>1286616399</v>
      </c>
      <c r="G80" s="27">
        <v>1472640456</v>
      </c>
      <c r="H80" s="27">
        <v>1977743661</v>
      </c>
    </row>
    <row r="81" spans="2:10" x14ac:dyDescent="0.3">
      <c r="C81" s="27"/>
      <c r="D81" s="27"/>
      <c r="E81" s="27"/>
      <c r="F81" s="27"/>
      <c r="G81" s="27"/>
      <c r="H81" s="27"/>
    </row>
    <row r="82" spans="2:10" x14ac:dyDescent="0.3">
      <c r="B82" t="s">
        <v>221</v>
      </c>
      <c r="C82" s="2"/>
      <c r="D82" s="2"/>
      <c r="E82" s="2"/>
      <c r="F82" s="2"/>
      <c r="G82" s="2"/>
      <c r="H82" s="2"/>
      <c r="I82" s="2"/>
    </row>
    <row r="83" spans="2:10" x14ac:dyDescent="0.3">
      <c r="B83" t="s">
        <v>159</v>
      </c>
      <c r="C83" s="2"/>
      <c r="D83" s="2"/>
      <c r="E83" s="2"/>
      <c r="F83" s="2"/>
      <c r="G83" s="2"/>
      <c r="H83" s="2"/>
      <c r="I83" s="2"/>
    </row>
    <row r="84" spans="2:10" x14ac:dyDescent="0.3">
      <c r="B84" t="s">
        <v>223</v>
      </c>
      <c r="C84" s="2"/>
      <c r="D84" s="2"/>
      <c r="E84" s="2"/>
      <c r="F84" s="2"/>
      <c r="G84" s="2">
        <v>1063799085</v>
      </c>
      <c r="H84" s="2">
        <v>1243427990</v>
      </c>
      <c r="J84" s="115">
        <f>H84/$H$92</f>
        <v>0.62871039079517999</v>
      </c>
    </row>
    <row r="85" spans="2:10" x14ac:dyDescent="0.3">
      <c r="B85" t="s">
        <v>151</v>
      </c>
      <c r="C85" s="2"/>
      <c r="D85" s="2"/>
      <c r="E85" s="2"/>
      <c r="F85" s="2"/>
      <c r="G85" s="2">
        <v>249019760</v>
      </c>
      <c r="H85" s="2">
        <v>473669803</v>
      </c>
      <c r="J85" s="115">
        <f t="shared" ref="J85:J92" si="5">H85/$H$92</f>
        <v>0.23950009919915502</v>
      </c>
    </row>
    <row r="86" spans="2:10" x14ac:dyDescent="0.3">
      <c r="B86" t="s">
        <v>152</v>
      </c>
      <c r="C86" s="2"/>
      <c r="D86" s="2"/>
      <c r="E86" s="2"/>
      <c r="F86" s="2"/>
      <c r="G86" s="2">
        <v>10899892</v>
      </c>
      <c r="H86" s="2">
        <v>16735916</v>
      </c>
      <c r="J86" s="115">
        <f t="shared" si="5"/>
        <v>8.46212597214842E-3</v>
      </c>
    </row>
    <row r="87" spans="2:10" x14ac:dyDescent="0.3">
      <c r="B87" t="s">
        <v>153</v>
      </c>
      <c r="C87" s="2"/>
      <c r="D87" s="2"/>
      <c r="E87" s="2"/>
      <c r="F87" s="2"/>
      <c r="G87" s="2">
        <v>9627165</v>
      </c>
      <c r="H87" s="2">
        <v>14773285</v>
      </c>
      <c r="J87" s="115">
        <f t="shared" si="5"/>
        <v>7.4697673370522815E-3</v>
      </c>
    </row>
    <row r="88" spans="2:10" x14ac:dyDescent="0.3">
      <c r="B88" t="s">
        <v>154</v>
      </c>
      <c r="C88" s="2"/>
      <c r="D88" s="2"/>
      <c r="E88" s="2"/>
      <c r="F88" s="2"/>
      <c r="G88" s="2">
        <v>6520439</v>
      </c>
      <c r="H88" s="2">
        <v>9739962</v>
      </c>
      <c r="J88" s="115">
        <f t="shared" si="5"/>
        <v>4.9247848404556207E-3</v>
      </c>
    </row>
    <row r="89" spans="2:10" x14ac:dyDescent="0.3">
      <c r="B89" t="s">
        <v>156</v>
      </c>
      <c r="C89" s="2"/>
      <c r="D89" s="2"/>
      <c r="E89" s="2"/>
      <c r="F89" s="2"/>
      <c r="G89" s="2">
        <v>119743557</v>
      </c>
      <c r="H89" s="2">
        <v>190211877</v>
      </c>
      <c r="J89" s="115">
        <f t="shared" si="5"/>
        <v>9.6176203595476975E-2</v>
      </c>
    </row>
    <row r="90" spans="2:10" x14ac:dyDescent="0.3">
      <c r="B90" t="s">
        <v>157</v>
      </c>
      <c r="C90" s="2"/>
      <c r="D90" s="2"/>
      <c r="E90" s="2"/>
      <c r="F90" s="2"/>
      <c r="G90" s="2">
        <v>11029795</v>
      </c>
      <c r="H90" s="2">
        <v>26095923</v>
      </c>
      <c r="J90" s="115">
        <f t="shared" si="5"/>
        <v>1.319479541995104E-2</v>
      </c>
    </row>
    <row r="91" spans="2:10" x14ac:dyDescent="0.3">
      <c r="B91" t="s">
        <v>222</v>
      </c>
      <c r="C91" s="2"/>
      <c r="D91" s="2"/>
      <c r="E91" s="2"/>
      <c r="F91" s="2"/>
      <c r="G91" s="2">
        <v>2000763</v>
      </c>
      <c r="H91" s="2">
        <v>3088905</v>
      </c>
      <c r="J91" s="115">
        <f t="shared" si="5"/>
        <v>1.561832840580648E-3</v>
      </c>
    </row>
    <row r="92" spans="2:10" ht="15" thickBot="1" x14ac:dyDescent="0.35">
      <c r="C92" s="17">
        <f t="shared" ref="C92:G92" si="6">SUM(C84:C91)</f>
        <v>0</v>
      </c>
      <c r="D92" s="17">
        <f t="shared" si="6"/>
        <v>0</v>
      </c>
      <c r="E92" s="17">
        <f t="shared" si="6"/>
        <v>0</v>
      </c>
      <c r="F92" s="17">
        <f t="shared" si="6"/>
        <v>0</v>
      </c>
      <c r="G92" s="17">
        <f t="shared" si="6"/>
        <v>1472640456</v>
      </c>
      <c r="H92" s="17">
        <f>SUM(H84:H91)</f>
        <v>1977743661</v>
      </c>
      <c r="J92" s="115">
        <f t="shared" si="5"/>
        <v>1</v>
      </c>
    </row>
    <row r="93" spans="2:10" ht="15" thickTop="1" x14ac:dyDescent="0.3">
      <c r="C93" s="2"/>
      <c r="D93" s="2"/>
      <c r="E93" s="2"/>
      <c r="F93" s="2"/>
      <c r="G93" s="2"/>
      <c r="H93" s="2"/>
    </row>
    <row r="94" spans="2:10" x14ac:dyDescent="0.3">
      <c r="B94" t="s">
        <v>227</v>
      </c>
      <c r="C94" s="2"/>
      <c r="D94" s="2"/>
      <c r="E94" s="2"/>
      <c r="F94" s="2"/>
      <c r="G94" s="2"/>
      <c r="H94" s="2"/>
    </row>
    <row r="95" spans="2:10" x14ac:dyDescent="0.3">
      <c r="B95" t="s">
        <v>226</v>
      </c>
      <c r="C95" s="2"/>
      <c r="D95" s="2"/>
      <c r="E95" s="2"/>
      <c r="F95" s="2"/>
      <c r="G95" s="2">
        <v>9496875</v>
      </c>
      <c r="H95" s="2">
        <v>8063822</v>
      </c>
    </row>
    <row r="96" spans="2:10" x14ac:dyDescent="0.3">
      <c r="B96" t="s">
        <v>224</v>
      </c>
      <c r="C96" s="2"/>
      <c r="D96" s="2"/>
      <c r="E96" s="2"/>
      <c r="F96" s="2"/>
      <c r="G96" s="2">
        <v>4503781</v>
      </c>
      <c r="H96" s="2">
        <v>5446405</v>
      </c>
    </row>
    <row r="97" spans="2:8" x14ac:dyDescent="0.3">
      <c r="B97" t="s">
        <v>225</v>
      </c>
      <c r="C97" s="2"/>
      <c r="D97" s="2"/>
      <c r="E97" s="2"/>
      <c r="F97" s="2"/>
      <c r="G97" s="2">
        <v>1458639800</v>
      </c>
      <c r="H97" s="2">
        <v>1964233434</v>
      </c>
    </row>
    <row r="98" spans="2:8" x14ac:dyDescent="0.3">
      <c r="C98" s="2"/>
      <c r="D98" s="2"/>
      <c r="E98" s="2"/>
      <c r="F98" s="2"/>
      <c r="G98" s="2"/>
      <c r="H98" s="2"/>
    </row>
    <row r="99" spans="2:8" s="33" customFormat="1" x14ac:dyDescent="0.3">
      <c r="B99" s="33" t="s">
        <v>179</v>
      </c>
      <c r="C99" s="46">
        <f t="shared" ref="C99:G99" si="7">SUM(C84:C91)-SUM(C95:C97)+C92-C80</f>
        <v>-857269981</v>
      </c>
      <c r="D99" s="46">
        <f t="shared" si="7"/>
        <v>-994370875</v>
      </c>
      <c r="E99" s="46">
        <f t="shared" si="7"/>
        <v>-1068982587</v>
      </c>
      <c r="F99" s="46">
        <f t="shared" si="7"/>
        <v>-1286616399</v>
      </c>
      <c r="G99" s="46">
        <f t="shared" si="7"/>
        <v>0</v>
      </c>
      <c r="H99" s="46">
        <f>SUM(H84:H91)-SUM(H95:H97)+H92-H80</f>
        <v>0</v>
      </c>
    </row>
    <row r="102" spans="2:8" x14ac:dyDescent="0.3">
      <c r="B102" s="3" t="s">
        <v>361</v>
      </c>
    </row>
    <row r="122" spans="2:2" x14ac:dyDescent="0.3">
      <c r="B122" s="3" t="s">
        <v>360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02EA-683A-451A-B7C2-98D14B3C5175}">
  <dimension ref="B2:X1174"/>
  <sheetViews>
    <sheetView showGridLines="0" topLeftCell="B1" workbookViewId="0">
      <selection activeCell="AA26" sqref="AA26"/>
    </sheetView>
  </sheetViews>
  <sheetFormatPr defaultRowHeight="14.4" x14ac:dyDescent="0.3"/>
  <cols>
    <col min="2" max="2" width="13.109375" customWidth="1"/>
    <col min="3" max="3" width="8.88671875" customWidth="1"/>
    <col min="6" max="6" width="18" customWidth="1"/>
    <col min="11" max="11" width="10.5546875" bestFit="1" customWidth="1"/>
    <col min="23" max="23" width="10.5546875" bestFit="1" customWidth="1"/>
  </cols>
  <sheetData>
    <row r="2" spans="2:24" x14ac:dyDescent="0.3">
      <c r="B2" t="s">
        <v>2</v>
      </c>
      <c r="F2" t="s">
        <v>2</v>
      </c>
    </row>
    <row r="3" spans="2:24" x14ac:dyDescent="0.3">
      <c r="B3" t="s">
        <v>0</v>
      </c>
      <c r="C3" t="s">
        <v>1</v>
      </c>
      <c r="F3" t="s">
        <v>0</v>
      </c>
      <c r="G3" t="s">
        <v>4</v>
      </c>
    </row>
    <row r="4" spans="2:24" x14ac:dyDescent="0.3">
      <c r="B4" s="1">
        <v>45183</v>
      </c>
      <c r="C4">
        <v>0.58779999999999999</v>
      </c>
      <c r="F4" s="1">
        <v>45183</v>
      </c>
      <c r="G4">
        <v>93</v>
      </c>
      <c r="K4" t="s">
        <v>0</v>
      </c>
      <c r="L4" t="s">
        <v>3</v>
      </c>
    </row>
    <row r="5" spans="2:24" x14ac:dyDescent="0.3">
      <c r="B5" s="1">
        <v>45182</v>
      </c>
      <c r="C5">
        <v>0.58399999999999996</v>
      </c>
      <c r="F5" s="1">
        <v>45182</v>
      </c>
      <c r="G5">
        <v>91.5</v>
      </c>
      <c r="K5" s="1">
        <v>45302</v>
      </c>
      <c r="L5">
        <v>5.1871999999999998</v>
      </c>
      <c r="W5" t="s">
        <v>0</v>
      </c>
      <c r="X5" t="s">
        <v>1</v>
      </c>
    </row>
    <row r="6" spans="2:24" x14ac:dyDescent="0.3">
      <c r="B6" s="1">
        <v>45181</v>
      </c>
      <c r="C6">
        <v>0.57699999999999996</v>
      </c>
      <c r="F6" s="1">
        <v>45181</v>
      </c>
      <c r="G6">
        <v>90.4</v>
      </c>
      <c r="K6" s="1">
        <v>45301</v>
      </c>
      <c r="L6">
        <v>5.2718999999999996</v>
      </c>
      <c r="W6" s="1">
        <v>45302</v>
      </c>
      <c r="X6">
        <v>0.56420000000000003</v>
      </c>
    </row>
    <row r="7" spans="2:24" x14ac:dyDescent="0.3">
      <c r="B7" s="1">
        <v>45180</v>
      </c>
      <c r="C7">
        <v>0.5776</v>
      </c>
      <c r="F7" s="1">
        <v>45180</v>
      </c>
      <c r="G7">
        <v>90.5</v>
      </c>
      <c r="K7" s="1">
        <v>45300</v>
      </c>
      <c r="L7">
        <v>5.3284000000000002</v>
      </c>
      <c r="W7" s="1">
        <v>45301</v>
      </c>
      <c r="X7">
        <v>0.57340000000000002</v>
      </c>
    </row>
    <row r="8" spans="2:24" x14ac:dyDescent="0.3">
      <c r="B8" s="1">
        <v>45177</v>
      </c>
      <c r="C8">
        <v>0.59230000000000005</v>
      </c>
      <c r="F8" s="1">
        <v>45177</v>
      </c>
      <c r="G8">
        <v>92.8</v>
      </c>
      <c r="K8" s="1">
        <v>45299</v>
      </c>
      <c r="L8">
        <v>5.3680000000000003</v>
      </c>
      <c r="W8" s="1">
        <v>45300</v>
      </c>
      <c r="X8">
        <v>0.5796</v>
      </c>
    </row>
    <row r="9" spans="2:24" x14ac:dyDescent="0.3">
      <c r="B9" s="1">
        <v>45176</v>
      </c>
      <c r="C9">
        <v>0.58779999999999999</v>
      </c>
      <c r="F9" s="1">
        <v>45176</v>
      </c>
      <c r="G9">
        <v>92.1</v>
      </c>
      <c r="K9" s="1">
        <v>45296</v>
      </c>
      <c r="L9">
        <v>5.3792999999999997</v>
      </c>
      <c r="W9" s="1">
        <v>45299</v>
      </c>
      <c r="X9">
        <v>0.58389999999999997</v>
      </c>
    </row>
    <row r="10" spans="2:24" x14ac:dyDescent="0.3">
      <c r="B10" s="1">
        <v>45175</v>
      </c>
      <c r="C10">
        <v>0.58850000000000002</v>
      </c>
      <c r="F10" s="1">
        <v>45175</v>
      </c>
      <c r="G10">
        <v>92.2</v>
      </c>
      <c r="K10" s="1">
        <v>45295</v>
      </c>
      <c r="L10">
        <v>5.3963000000000001</v>
      </c>
      <c r="W10" s="1">
        <v>45296</v>
      </c>
      <c r="X10">
        <v>0.58509999999999995</v>
      </c>
    </row>
    <row r="11" spans="2:24" x14ac:dyDescent="0.3">
      <c r="B11" s="1">
        <v>45174</v>
      </c>
      <c r="C11">
        <v>0.60629999999999995</v>
      </c>
      <c r="F11" s="1">
        <v>45174</v>
      </c>
      <c r="G11">
        <v>95</v>
      </c>
      <c r="K11" s="1">
        <v>45294</v>
      </c>
      <c r="L11">
        <v>5.4188999999999998</v>
      </c>
      <c r="W11" s="1">
        <v>45295</v>
      </c>
      <c r="X11">
        <v>0.58699999999999997</v>
      </c>
    </row>
    <row r="12" spans="2:24" x14ac:dyDescent="0.3">
      <c r="B12" s="1">
        <v>45173</v>
      </c>
      <c r="C12">
        <v>0.59550000000000003</v>
      </c>
      <c r="F12" s="1">
        <v>45173</v>
      </c>
      <c r="G12">
        <v>93.3</v>
      </c>
      <c r="K12" s="1">
        <v>45293</v>
      </c>
      <c r="L12">
        <v>5.4753999999999996</v>
      </c>
      <c r="W12" s="1">
        <v>45294</v>
      </c>
      <c r="X12">
        <v>0.58940000000000003</v>
      </c>
    </row>
    <row r="13" spans="2:24" x14ac:dyDescent="0.3">
      <c r="B13" s="1">
        <v>45170</v>
      </c>
      <c r="C13">
        <v>0.56420000000000003</v>
      </c>
      <c r="F13" s="1">
        <v>45170</v>
      </c>
      <c r="G13">
        <v>88.4</v>
      </c>
      <c r="K13" s="1">
        <v>45289</v>
      </c>
      <c r="L13">
        <v>5.3963000000000001</v>
      </c>
      <c r="W13" s="1">
        <v>45293</v>
      </c>
      <c r="X13">
        <v>0.59560000000000002</v>
      </c>
    </row>
    <row r="14" spans="2:24" x14ac:dyDescent="0.3">
      <c r="B14" s="1">
        <v>45169</v>
      </c>
      <c r="C14">
        <v>0.55269999999999997</v>
      </c>
      <c r="F14" s="1">
        <v>45169</v>
      </c>
      <c r="G14">
        <v>86.6</v>
      </c>
      <c r="K14" s="1">
        <v>45288</v>
      </c>
      <c r="L14">
        <v>5.3284000000000002</v>
      </c>
      <c r="W14" s="1">
        <v>45289</v>
      </c>
      <c r="X14">
        <v>0.58699999999999997</v>
      </c>
    </row>
    <row r="15" spans="2:24" x14ac:dyDescent="0.3">
      <c r="B15" s="1">
        <v>45167</v>
      </c>
      <c r="C15">
        <v>0.55530000000000002</v>
      </c>
      <c r="F15" s="1">
        <v>45167</v>
      </c>
      <c r="G15">
        <v>87</v>
      </c>
      <c r="K15" s="1">
        <v>45287</v>
      </c>
      <c r="L15">
        <v>5.2606000000000002</v>
      </c>
      <c r="W15" s="1">
        <v>45288</v>
      </c>
      <c r="X15">
        <v>0.5796</v>
      </c>
    </row>
    <row r="16" spans="2:24" x14ac:dyDescent="0.3">
      <c r="B16" s="1">
        <v>45166</v>
      </c>
      <c r="C16">
        <v>0.55530000000000002</v>
      </c>
      <c r="F16" s="1">
        <v>45166</v>
      </c>
      <c r="G16">
        <v>87</v>
      </c>
      <c r="K16" s="1">
        <v>45282</v>
      </c>
      <c r="L16">
        <v>5.2492999999999999</v>
      </c>
      <c r="W16" s="1">
        <v>45287</v>
      </c>
      <c r="X16">
        <v>0.57220000000000004</v>
      </c>
    </row>
    <row r="17" spans="2:24" x14ac:dyDescent="0.3">
      <c r="B17" s="1">
        <v>45163</v>
      </c>
      <c r="C17">
        <v>0.55530000000000002</v>
      </c>
      <c r="F17" s="1">
        <v>45163</v>
      </c>
      <c r="G17">
        <v>87</v>
      </c>
      <c r="K17" s="1">
        <v>45281</v>
      </c>
      <c r="L17">
        <v>5.2663000000000002</v>
      </c>
      <c r="W17" s="1">
        <v>45282</v>
      </c>
      <c r="X17">
        <v>0.57099999999999995</v>
      </c>
    </row>
    <row r="18" spans="2:24" x14ac:dyDescent="0.3">
      <c r="B18" s="1">
        <v>45162</v>
      </c>
      <c r="C18">
        <v>0.57569999999999999</v>
      </c>
      <c r="F18" s="1">
        <v>45162</v>
      </c>
      <c r="G18">
        <v>90.2</v>
      </c>
      <c r="K18" s="1">
        <v>45280</v>
      </c>
      <c r="L18">
        <v>5.2945000000000002</v>
      </c>
      <c r="W18" s="1">
        <v>45281</v>
      </c>
      <c r="X18">
        <v>0.57279999999999998</v>
      </c>
    </row>
    <row r="19" spans="2:24" x14ac:dyDescent="0.3">
      <c r="B19" s="1">
        <v>45161</v>
      </c>
      <c r="C19">
        <v>0.59419999999999995</v>
      </c>
      <c r="F19" s="1">
        <v>45161</v>
      </c>
      <c r="G19">
        <v>93.1</v>
      </c>
      <c r="K19" s="1">
        <v>45279</v>
      </c>
      <c r="L19">
        <v>5.3057999999999996</v>
      </c>
      <c r="W19" s="1">
        <v>45280</v>
      </c>
      <c r="X19">
        <v>0.57589999999999997</v>
      </c>
    </row>
    <row r="20" spans="2:24" x14ac:dyDescent="0.3">
      <c r="B20" s="1">
        <v>45160</v>
      </c>
      <c r="C20">
        <v>0.57440000000000002</v>
      </c>
      <c r="F20" s="1">
        <v>45160</v>
      </c>
      <c r="G20">
        <v>90</v>
      </c>
      <c r="K20" s="1">
        <v>45278</v>
      </c>
      <c r="L20">
        <v>5.3057999999999996</v>
      </c>
      <c r="W20" s="1">
        <v>45279</v>
      </c>
      <c r="X20">
        <v>0.57709999999999995</v>
      </c>
    </row>
    <row r="21" spans="2:24" x14ac:dyDescent="0.3">
      <c r="B21" s="1">
        <v>45159</v>
      </c>
      <c r="C21">
        <v>0.58850000000000002</v>
      </c>
      <c r="F21" s="1">
        <v>45159</v>
      </c>
      <c r="G21">
        <v>92.2</v>
      </c>
      <c r="K21" s="1">
        <v>45275</v>
      </c>
      <c r="L21">
        <v>5.3057999999999996</v>
      </c>
      <c r="W21" s="1">
        <v>45278</v>
      </c>
      <c r="X21">
        <v>0.57709999999999995</v>
      </c>
    </row>
    <row r="22" spans="2:24" x14ac:dyDescent="0.3">
      <c r="B22" s="1">
        <v>45156</v>
      </c>
      <c r="C22">
        <v>0.59740000000000004</v>
      </c>
      <c r="F22" s="1">
        <v>45156</v>
      </c>
      <c r="G22">
        <v>93.6</v>
      </c>
      <c r="K22" s="1">
        <v>45274</v>
      </c>
      <c r="L22">
        <v>5.2888999999999999</v>
      </c>
      <c r="W22" s="1">
        <v>45275</v>
      </c>
      <c r="X22">
        <v>0.57709999999999995</v>
      </c>
    </row>
    <row r="23" spans="2:24" x14ac:dyDescent="0.3">
      <c r="B23" s="1">
        <v>45155</v>
      </c>
      <c r="C23">
        <v>0.61209999999999998</v>
      </c>
      <c r="F23" s="1">
        <v>45155</v>
      </c>
      <c r="G23">
        <v>95.9</v>
      </c>
      <c r="K23" s="1">
        <v>45273</v>
      </c>
      <c r="L23">
        <v>5.3341000000000003</v>
      </c>
      <c r="W23" s="1">
        <v>45274</v>
      </c>
      <c r="X23">
        <v>0.57530000000000003</v>
      </c>
    </row>
    <row r="24" spans="2:24" x14ac:dyDescent="0.3">
      <c r="B24" s="1">
        <v>45154</v>
      </c>
      <c r="C24">
        <v>0.61719999999999997</v>
      </c>
      <c r="F24" s="1">
        <v>45154</v>
      </c>
      <c r="G24">
        <v>96.7</v>
      </c>
      <c r="K24" s="1">
        <v>45272</v>
      </c>
      <c r="L24">
        <v>5.3680000000000003</v>
      </c>
      <c r="W24" s="1">
        <v>45273</v>
      </c>
      <c r="X24">
        <v>0.58020000000000005</v>
      </c>
    </row>
    <row r="25" spans="2:24" x14ac:dyDescent="0.3">
      <c r="B25" s="1">
        <v>45153</v>
      </c>
      <c r="C25">
        <v>0.59360000000000002</v>
      </c>
      <c r="F25" s="1">
        <v>45153</v>
      </c>
      <c r="G25">
        <v>93</v>
      </c>
      <c r="K25" s="1">
        <v>45271</v>
      </c>
      <c r="L25">
        <v>5.3228</v>
      </c>
      <c r="W25" s="1">
        <v>45272</v>
      </c>
      <c r="X25">
        <v>0.58389999999999997</v>
      </c>
    </row>
    <row r="26" spans="2:24" x14ac:dyDescent="0.3">
      <c r="B26" s="1">
        <v>45152</v>
      </c>
      <c r="C26">
        <v>0.61970000000000003</v>
      </c>
      <c r="F26" s="1">
        <v>45152</v>
      </c>
      <c r="G26">
        <v>97.1</v>
      </c>
      <c r="K26" s="1">
        <v>45268</v>
      </c>
      <c r="L26">
        <v>5.3057999999999996</v>
      </c>
      <c r="W26" s="1">
        <v>45271</v>
      </c>
      <c r="X26">
        <v>0.57899999999999996</v>
      </c>
    </row>
    <row r="27" spans="2:24" x14ac:dyDescent="0.3">
      <c r="B27" s="1">
        <v>45149</v>
      </c>
      <c r="C27">
        <v>0.65739999999999998</v>
      </c>
      <c r="F27" s="1">
        <v>45149</v>
      </c>
      <c r="G27">
        <v>103</v>
      </c>
      <c r="K27" s="1">
        <v>45267</v>
      </c>
      <c r="L27">
        <v>5.1871999999999998</v>
      </c>
      <c r="W27" s="1">
        <v>45268</v>
      </c>
      <c r="X27">
        <v>0.57709999999999995</v>
      </c>
    </row>
    <row r="28" spans="2:24" x14ac:dyDescent="0.3">
      <c r="B28" s="1">
        <v>45148</v>
      </c>
      <c r="C28">
        <v>0.67010000000000003</v>
      </c>
      <c r="F28" s="1">
        <v>45148</v>
      </c>
      <c r="G28">
        <v>105</v>
      </c>
      <c r="K28" s="1">
        <v>45266</v>
      </c>
      <c r="L28">
        <v>5.0854999999999997</v>
      </c>
      <c r="W28" s="1">
        <v>45267</v>
      </c>
      <c r="X28">
        <v>0.56420000000000003</v>
      </c>
    </row>
    <row r="29" spans="2:24" x14ac:dyDescent="0.3">
      <c r="B29" s="1">
        <v>45147</v>
      </c>
      <c r="C29">
        <v>0.66379999999999995</v>
      </c>
      <c r="F29" s="1">
        <v>45147</v>
      </c>
      <c r="G29">
        <v>104</v>
      </c>
      <c r="K29" s="1">
        <v>45265</v>
      </c>
      <c r="L29">
        <v>5.0685000000000002</v>
      </c>
      <c r="W29" s="1">
        <v>45266</v>
      </c>
      <c r="X29">
        <v>0.55320000000000003</v>
      </c>
    </row>
    <row r="30" spans="2:24" x14ac:dyDescent="0.3">
      <c r="B30" s="1">
        <v>45146</v>
      </c>
      <c r="C30">
        <v>0.67010000000000003</v>
      </c>
      <c r="F30" s="1">
        <v>45146</v>
      </c>
      <c r="G30">
        <v>105</v>
      </c>
      <c r="K30" s="1">
        <v>45264</v>
      </c>
      <c r="L30">
        <v>5.1363000000000003</v>
      </c>
      <c r="W30" s="1">
        <v>45265</v>
      </c>
      <c r="X30">
        <v>0.55130000000000001</v>
      </c>
    </row>
    <row r="31" spans="2:24" x14ac:dyDescent="0.3">
      <c r="B31" s="1">
        <v>45145</v>
      </c>
      <c r="C31">
        <v>0.66059999999999997</v>
      </c>
      <c r="F31" s="1">
        <v>45145</v>
      </c>
      <c r="G31">
        <v>103.5</v>
      </c>
      <c r="K31" s="1">
        <v>45261</v>
      </c>
      <c r="L31">
        <v>5.0797999999999996</v>
      </c>
      <c r="W31" s="1">
        <v>45264</v>
      </c>
      <c r="X31">
        <v>0.55869999999999997</v>
      </c>
    </row>
    <row r="32" spans="2:24" x14ac:dyDescent="0.3">
      <c r="B32" s="1">
        <v>45142</v>
      </c>
      <c r="C32">
        <v>0.6462</v>
      </c>
      <c r="F32" s="1">
        <v>45142</v>
      </c>
      <c r="G32">
        <v>101.25</v>
      </c>
      <c r="K32" s="1">
        <v>45260</v>
      </c>
      <c r="L32">
        <v>4.9215999999999998</v>
      </c>
      <c r="W32" s="1">
        <v>45261</v>
      </c>
      <c r="X32">
        <v>0.55249999999999999</v>
      </c>
    </row>
    <row r="33" spans="2:24" x14ac:dyDescent="0.3">
      <c r="B33" s="1">
        <v>45141</v>
      </c>
      <c r="C33">
        <v>0.63819999999999999</v>
      </c>
      <c r="F33" s="1">
        <v>45141</v>
      </c>
      <c r="G33">
        <v>100</v>
      </c>
      <c r="K33" s="1">
        <v>45259</v>
      </c>
      <c r="L33">
        <v>4.8425000000000002</v>
      </c>
      <c r="W33" s="1">
        <v>45260</v>
      </c>
      <c r="X33">
        <v>0.5353</v>
      </c>
    </row>
    <row r="34" spans="2:24" x14ac:dyDescent="0.3">
      <c r="B34" s="1">
        <v>45140</v>
      </c>
      <c r="C34">
        <v>0.60950000000000004</v>
      </c>
      <c r="F34" s="1">
        <v>45140</v>
      </c>
      <c r="G34">
        <v>95.5</v>
      </c>
      <c r="K34" s="1">
        <v>45258</v>
      </c>
      <c r="L34">
        <v>4.8311999999999999</v>
      </c>
      <c r="W34" s="1">
        <v>45259</v>
      </c>
      <c r="X34">
        <v>0.52669999999999995</v>
      </c>
    </row>
    <row r="35" spans="2:24" x14ac:dyDescent="0.3">
      <c r="B35" s="1">
        <v>45138</v>
      </c>
      <c r="C35">
        <v>0.59289999999999998</v>
      </c>
      <c r="F35" s="1">
        <v>45138</v>
      </c>
      <c r="G35">
        <v>92.9</v>
      </c>
      <c r="K35" s="1">
        <v>45257</v>
      </c>
      <c r="L35">
        <v>4.8198999999999996</v>
      </c>
      <c r="W35" s="1">
        <v>45258</v>
      </c>
      <c r="X35">
        <v>0.52549999999999997</v>
      </c>
    </row>
    <row r="36" spans="2:24" x14ac:dyDescent="0.3">
      <c r="B36" s="1">
        <v>45135</v>
      </c>
      <c r="C36">
        <v>0.59160000000000001</v>
      </c>
      <c r="F36" s="1">
        <v>45135</v>
      </c>
      <c r="G36">
        <v>92.7</v>
      </c>
      <c r="K36" s="1">
        <v>45254</v>
      </c>
      <c r="L36">
        <v>4.7859999999999996</v>
      </c>
      <c r="W36" s="1">
        <v>45257</v>
      </c>
      <c r="X36">
        <v>0.52429999999999999</v>
      </c>
    </row>
    <row r="37" spans="2:24" x14ac:dyDescent="0.3">
      <c r="B37" s="1">
        <v>45134</v>
      </c>
      <c r="C37">
        <v>0.59099999999999997</v>
      </c>
      <c r="F37" s="1">
        <v>45134</v>
      </c>
      <c r="G37">
        <v>92.6</v>
      </c>
      <c r="K37" s="1">
        <v>45253</v>
      </c>
      <c r="L37">
        <v>4.8029000000000002</v>
      </c>
      <c r="W37" s="1">
        <v>45254</v>
      </c>
      <c r="X37">
        <v>0.52059999999999995</v>
      </c>
    </row>
    <row r="38" spans="2:24" x14ac:dyDescent="0.3">
      <c r="B38" s="1">
        <v>45133</v>
      </c>
      <c r="C38">
        <v>0.56420000000000003</v>
      </c>
      <c r="F38" s="1">
        <v>45133</v>
      </c>
      <c r="G38">
        <v>88.4</v>
      </c>
      <c r="K38" s="1">
        <v>45252</v>
      </c>
      <c r="L38">
        <v>4.7859999999999996</v>
      </c>
      <c r="W38" s="1">
        <v>45253</v>
      </c>
      <c r="X38">
        <v>0.52239999999999998</v>
      </c>
    </row>
    <row r="39" spans="2:24" x14ac:dyDescent="0.3">
      <c r="B39" s="1">
        <v>45132</v>
      </c>
      <c r="C39">
        <v>0.56679999999999997</v>
      </c>
      <c r="F39" s="1">
        <v>45132</v>
      </c>
      <c r="G39">
        <v>88.8</v>
      </c>
      <c r="K39" s="1">
        <v>45251</v>
      </c>
      <c r="L39">
        <v>4.7464000000000004</v>
      </c>
      <c r="W39" s="1">
        <v>45252</v>
      </c>
      <c r="X39">
        <v>0.52059999999999995</v>
      </c>
    </row>
    <row r="40" spans="2:24" x14ac:dyDescent="0.3">
      <c r="B40" s="1">
        <v>45131</v>
      </c>
      <c r="C40">
        <v>0.57310000000000005</v>
      </c>
      <c r="F40" s="1">
        <v>45131</v>
      </c>
      <c r="G40">
        <v>89.8</v>
      </c>
      <c r="K40" s="1">
        <v>45250</v>
      </c>
      <c r="L40">
        <v>4.6898999999999997</v>
      </c>
      <c r="W40" s="1">
        <v>45251</v>
      </c>
      <c r="X40">
        <v>0.51629999999999998</v>
      </c>
    </row>
    <row r="41" spans="2:24" x14ac:dyDescent="0.3">
      <c r="B41" s="1">
        <v>45128</v>
      </c>
      <c r="C41">
        <v>0.56289999999999996</v>
      </c>
      <c r="F41" s="1">
        <v>45128</v>
      </c>
      <c r="G41">
        <v>88.2</v>
      </c>
      <c r="K41" s="1">
        <v>45247</v>
      </c>
      <c r="L41">
        <v>4.7747000000000002</v>
      </c>
      <c r="W41" s="1">
        <v>45250</v>
      </c>
      <c r="X41">
        <v>0.5101</v>
      </c>
    </row>
    <row r="42" spans="2:24" x14ac:dyDescent="0.3">
      <c r="B42" s="1">
        <v>45127</v>
      </c>
      <c r="C42">
        <v>0.56159999999999999</v>
      </c>
      <c r="F42" s="1">
        <v>45127</v>
      </c>
      <c r="G42">
        <v>88</v>
      </c>
      <c r="K42" s="1">
        <v>45246</v>
      </c>
      <c r="L42">
        <v>4.7747000000000002</v>
      </c>
      <c r="W42" s="1">
        <v>45247</v>
      </c>
      <c r="X42">
        <v>0.51939999999999997</v>
      </c>
    </row>
    <row r="43" spans="2:24" x14ac:dyDescent="0.3">
      <c r="B43" s="1">
        <v>45126</v>
      </c>
      <c r="C43">
        <v>0.56869999999999998</v>
      </c>
      <c r="F43" s="1">
        <v>45126</v>
      </c>
      <c r="G43">
        <v>89.1</v>
      </c>
      <c r="K43" s="1">
        <v>45245</v>
      </c>
      <c r="L43">
        <v>4.7972999999999999</v>
      </c>
      <c r="W43" s="1">
        <v>45246</v>
      </c>
      <c r="X43">
        <v>0.51939999999999997</v>
      </c>
    </row>
    <row r="44" spans="2:24" x14ac:dyDescent="0.3">
      <c r="B44" s="1">
        <v>45125</v>
      </c>
      <c r="C44">
        <v>0.5534</v>
      </c>
      <c r="F44" s="1">
        <v>45125</v>
      </c>
      <c r="G44">
        <v>86.7</v>
      </c>
      <c r="K44" s="1">
        <v>45244</v>
      </c>
      <c r="L44">
        <v>4.8086000000000002</v>
      </c>
      <c r="W44" s="1">
        <v>45245</v>
      </c>
      <c r="X44">
        <v>0.52180000000000004</v>
      </c>
    </row>
    <row r="45" spans="2:24" x14ac:dyDescent="0.3">
      <c r="B45" s="1">
        <v>45124</v>
      </c>
      <c r="C45">
        <v>0.5393</v>
      </c>
      <c r="F45" s="1">
        <v>45124</v>
      </c>
      <c r="G45">
        <v>84.5</v>
      </c>
      <c r="K45" s="1">
        <v>45243</v>
      </c>
      <c r="L45">
        <v>4.9160000000000004</v>
      </c>
      <c r="W45" s="1">
        <v>45244</v>
      </c>
      <c r="X45">
        <v>0.52300000000000002</v>
      </c>
    </row>
    <row r="46" spans="2:24" x14ac:dyDescent="0.3">
      <c r="B46" s="1">
        <v>45121</v>
      </c>
      <c r="C46">
        <v>0.51190000000000002</v>
      </c>
      <c r="E46" s="1"/>
      <c r="F46" s="1">
        <v>45121</v>
      </c>
      <c r="G46">
        <v>80.2</v>
      </c>
      <c r="K46" s="1">
        <v>45240</v>
      </c>
      <c r="L46">
        <v>4.8594999999999997</v>
      </c>
      <c r="W46" s="1">
        <v>45243</v>
      </c>
      <c r="X46">
        <v>0.53469999999999995</v>
      </c>
    </row>
    <row r="47" spans="2:24" x14ac:dyDescent="0.3">
      <c r="B47" s="1">
        <v>45120</v>
      </c>
      <c r="C47">
        <v>0.49969999999999998</v>
      </c>
      <c r="F47" s="1">
        <v>45120</v>
      </c>
      <c r="G47">
        <v>78.3</v>
      </c>
      <c r="K47" s="1">
        <v>45239</v>
      </c>
      <c r="L47">
        <v>4.8876999999999997</v>
      </c>
      <c r="W47" s="1">
        <v>45240</v>
      </c>
      <c r="X47">
        <v>0.52859999999999996</v>
      </c>
    </row>
    <row r="48" spans="2:24" x14ac:dyDescent="0.3">
      <c r="B48" s="1">
        <v>45119</v>
      </c>
      <c r="C48">
        <v>0.51380000000000003</v>
      </c>
      <c r="F48" s="1">
        <v>45119</v>
      </c>
      <c r="G48">
        <v>80.5</v>
      </c>
      <c r="K48" s="1">
        <v>45238</v>
      </c>
      <c r="L48">
        <v>4.9103000000000003</v>
      </c>
      <c r="W48" s="1">
        <v>45239</v>
      </c>
      <c r="X48">
        <v>0.53169999999999995</v>
      </c>
    </row>
    <row r="49" spans="2:24" x14ac:dyDescent="0.3">
      <c r="B49" s="1">
        <v>45118</v>
      </c>
      <c r="C49">
        <v>0.49780000000000002</v>
      </c>
      <c r="F49" s="1">
        <v>45118</v>
      </c>
      <c r="G49">
        <v>78</v>
      </c>
      <c r="K49" s="1">
        <v>45237</v>
      </c>
      <c r="L49">
        <v>4.8029000000000002</v>
      </c>
      <c r="W49" s="1">
        <v>45238</v>
      </c>
      <c r="X49">
        <v>0.53410000000000002</v>
      </c>
    </row>
    <row r="50" spans="2:24" x14ac:dyDescent="0.3">
      <c r="B50" s="1">
        <v>45117</v>
      </c>
      <c r="C50">
        <v>0.501</v>
      </c>
      <c r="F50" s="1">
        <v>45117</v>
      </c>
      <c r="G50">
        <v>78.5</v>
      </c>
      <c r="K50" s="1">
        <v>45236</v>
      </c>
      <c r="L50">
        <v>4.7464000000000004</v>
      </c>
      <c r="W50" s="1">
        <v>45237</v>
      </c>
      <c r="X50">
        <v>0.52239999999999998</v>
      </c>
    </row>
    <row r="51" spans="2:24" x14ac:dyDescent="0.3">
      <c r="B51" s="1">
        <v>45114</v>
      </c>
      <c r="C51">
        <v>0.50609999999999999</v>
      </c>
      <c r="F51" s="1">
        <v>45114</v>
      </c>
      <c r="G51">
        <v>79.3</v>
      </c>
      <c r="K51" s="1">
        <v>45233</v>
      </c>
      <c r="L51">
        <v>4.7859999999999996</v>
      </c>
      <c r="W51" s="1">
        <v>45236</v>
      </c>
      <c r="X51">
        <v>0.51629999999999998</v>
      </c>
    </row>
    <row r="52" spans="2:24" x14ac:dyDescent="0.3">
      <c r="B52" s="1">
        <v>45113</v>
      </c>
      <c r="C52">
        <v>0.50800000000000001</v>
      </c>
      <c r="F52" s="1">
        <v>45113</v>
      </c>
      <c r="G52">
        <v>79.599999999999994</v>
      </c>
      <c r="K52" s="1">
        <v>45232</v>
      </c>
      <c r="L52">
        <v>4.7747000000000002</v>
      </c>
      <c r="W52" s="1">
        <v>45233</v>
      </c>
      <c r="X52">
        <v>0.52059999999999995</v>
      </c>
    </row>
    <row r="53" spans="2:24" x14ac:dyDescent="0.3">
      <c r="B53" s="1">
        <v>45112</v>
      </c>
      <c r="C53">
        <v>0.51890000000000003</v>
      </c>
      <c r="F53" s="1">
        <v>45112</v>
      </c>
      <c r="G53">
        <v>81.3</v>
      </c>
      <c r="K53" s="1">
        <v>45231</v>
      </c>
      <c r="L53">
        <v>4.7351000000000001</v>
      </c>
      <c r="W53" s="1">
        <v>45232</v>
      </c>
      <c r="X53">
        <v>0.51939999999999997</v>
      </c>
    </row>
    <row r="54" spans="2:24" x14ac:dyDescent="0.3">
      <c r="B54" s="1">
        <v>45111</v>
      </c>
      <c r="C54">
        <v>4.5982000000000003</v>
      </c>
      <c r="D54">
        <v>4.5982000000000003</v>
      </c>
      <c r="F54" s="1">
        <v>45111</v>
      </c>
      <c r="G54">
        <v>80.900000000000006</v>
      </c>
      <c r="K54" s="1">
        <v>45230</v>
      </c>
      <c r="L54">
        <v>4.6447000000000003</v>
      </c>
      <c r="W54" s="1">
        <v>45231</v>
      </c>
      <c r="X54">
        <v>0.5151</v>
      </c>
    </row>
    <row r="55" spans="2:24" x14ac:dyDescent="0.3">
      <c r="B55" s="1">
        <v>45105</v>
      </c>
      <c r="C55">
        <v>0.43459999999999999</v>
      </c>
      <c r="F55" s="1">
        <v>45105</v>
      </c>
      <c r="G55">
        <v>68.099999999999994</v>
      </c>
      <c r="K55" s="1">
        <v>45229</v>
      </c>
      <c r="L55">
        <v>4.6843000000000004</v>
      </c>
      <c r="W55" s="1">
        <v>45230</v>
      </c>
      <c r="X55">
        <v>0.50519999999999998</v>
      </c>
    </row>
    <row r="56" spans="2:24" x14ac:dyDescent="0.3">
      <c r="B56" s="1">
        <v>45104</v>
      </c>
      <c r="C56">
        <v>0.40910000000000002</v>
      </c>
      <c r="F56" s="1">
        <v>45104</v>
      </c>
      <c r="G56">
        <v>67.7</v>
      </c>
      <c r="K56" s="1">
        <v>45226</v>
      </c>
      <c r="L56">
        <v>4.6955999999999998</v>
      </c>
      <c r="W56" s="1">
        <v>45229</v>
      </c>
      <c r="X56">
        <v>0.50949999999999995</v>
      </c>
    </row>
    <row r="57" spans="2:24" x14ac:dyDescent="0.3">
      <c r="B57" s="1">
        <v>45103</v>
      </c>
      <c r="C57">
        <v>0.4128</v>
      </c>
      <c r="F57" s="1">
        <v>45103</v>
      </c>
      <c r="G57">
        <v>68.3</v>
      </c>
      <c r="K57" s="1">
        <v>45225</v>
      </c>
      <c r="L57">
        <v>4.6447000000000003</v>
      </c>
      <c r="W57" s="1">
        <v>45226</v>
      </c>
      <c r="X57">
        <v>0.51080000000000003</v>
      </c>
    </row>
    <row r="58" spans="2:24" x14ac:dyDescent="0.3">
      <c r="B58" s="1">
        <v>45100</v>
      </c>
      <c r="C58">
        <v>0.39950000000000002</v>
      </c>
      <c r="E58" s="1"/>
      <c r="F58" s="1">
        <v>45100</v>
      </c>
      <c r="G58">
        <v>66.099999999999994</v>
      </c>
      <c r="K58" s="1">
        <v>45224</v>
      </c>
      <c r="L58">
        <v>4.6843000000000004</v>
      </c>
      <c r="W58" s="1">
        <v>45225</v>
      </c>
      <c r="X58">
        <v>0.50519999999999998</v>
      </c>
    </row>
    <row r="59" spans="2:24" x14ac:dyDescent="0.3">
      <c r="B59" s="1">
        <v>45099</v>
      </c>
      <c r="C59">
        <v>0.39950000000000002</v>
      </c>
      <c r="F59" s="1">
        <v>45099</v>
      </c>
      <c r="G59">
        <v>66.099999999999994</v>
      </c>
      <c r="K59" s="1">
        <v>45223</v>
      </c>
      <c r="L59">
        <v>4.7972999999999999</v>
      </c>
      <c r="W59" s="1">
        <v>45224</v>
      </c>
      <c r="X59">
        <v>0.50949999999999995</v>
      </c>
    </row>
    <row r="60" spans="2:24" x14ac:dyDescent="0.3">
      <c r="B60" s="1">
        <v>45098</v>
      </c>
      <c r="C60">
        <v>0.40010000000000001</v>
      </c>
      <c r="F60" s="1">
        <v>45098</v>
      </c>
      <c r="G60">
        <v>66.2</v>
      </c>
      <c r="K60" s="1">
        <v>45222</v>
      </c>
      <c r="L60">
        <v>4.9047000000000001</v>
      </c>
      <c r="W60" s="1">
        <v>45223</v>
      </c>
      <c r="X60">
        <v>0.52180000000000004</v>
      </c>
    </row>
    <row r="61" spans="2:24" x14ac:dyDescent="0.3">
      <c r="B61" s="1">
        <v>45097</v>
      </c>
      <c r="C61">
        <v>0.38679999999999998</v>
      </c>
      <c r="F61" s="1">
        <v>45097</v>
      </c>
      <c r="G61">
        <v>64</v>
      </c>
      <c r="K61" s="1">
        <v>45219</v>
      </c>
      <c r="L61">
        <v>4.9047000000000001</v>
      </c>
      <c r="W61" s="1">
        <v>45222</v>
      </c>
      <c r="X61">
        <v>0.53349999999999997</v>
      </c>
    </row>
    <row r="62" spans="2:24" x14ac:dyDescent="0.3">
      <c r="B62" s="1">
        <v>45096</v>
      </c>
      <c r="C62">
        <v>0.39279999999999998</v>
      </c>
      <c r="F62" s="1">
        <v>45096</v>
      </c>
      <c r="G62">
        <v>65</v>
      </c>
      <c r="K62" s="1">
        <v>45218</v>
      </c>
      <c r="L62">
        <v>4.6165000000000003</v>
      </c>
      <c r="W62" s="1">
        <v>45219</v>
      </c>
      <c r="X62">
        <v>0.53349999999999997</v>
      </c>
    </row>
    <row r="63" spans="2:24" x14ac:dyDescent="0.3">
      <c r="B63" s="1">
        <v>45093</v>
      </c>
      <c r="C63">
        <v>0.39889999999999998</v>
      </c>
      <c r="F63" s="1">
        <v>45093</v>
      </c>
      <c r="G63">
        <v>66</v>
      </c>
      <c r="K63" s="1">
        <v>45217</v>
      </c>
      <c r="L63">
        <v>4.5487000000000002</v>
      </c>
      <c r="W63" s="1">
        <v>45218</v>
      </c>
      <c r="X63">
        <v>0.50219999999999998</v>
      </c>
    </row>
    <row r="64" spans="2:24" x14ac:dyDescent="0.3">
      <c r="B64" s="1">
        <v>45092</v>
      </c>
      <c r="C64">
        <v>0.4007</v>
      </c>
      <c r="F64" s="1">
        <v>45092</v>
      </c>
      <c r="G64">
        <v>66.3</v>
      </c>
      <c r="K64" s="1">
        <v>45216</v>
      </c>
      <c r="L64">
        <v>4.5655999999999999</v>
      </c>
      <c r="W64" s="1">
        <v>45217</v>
      </c>
      <c r="X64">
        <v>0.49480000000000002</v>
      </c>
    </row>
    <row r="65" spans="2:24" x14ac:dyDescent="0.3">
      <c r="B65" s="1">
        <v>45091</v>
      </c>
      <c r="C65">
        <v>0.39279999999999998</v>
      </c>
      <c r="F65" s="1">
        <v>45091</v>
      </c>
      <c r="G65">
        <v>65</v>
      </c>
      <c r="K65" s="1">
        <v>45215</v>
      </c>
      <c r="L65">
        <v>4.5430000000000001</v>
      </c>
      <c r="W65" s="1">
        <v>45216</v>
      </c>
      <c r="X65">
        <v>0.49659999999999999</v>
      </c>
    </row>
    <row r="66" spans="2:24" x14ac:dyDescent="0.3">
      <c r="B66" s="1">
        <v>45090</v>
      </c>
      <c r="C66">
        <v>0.36919999999999997</v>
      </c>
      <c r="F66" s="1">
        <v>45090</v>
      </c>
      <c r="G66">
        <v>61.1</v>
      </c>
      <c r="K66" s="1">
        <v>45212</v>
      </c>
      <c r="L66">
        <v>4.7464000000000004</v>
      </c>
      <c r="W66" s="1">
        <v>45215</v>
      </c>
      <c r="X66">
        <v>0.49419999999999997</v>
      </c>
    </row>
    <row r="67" spans="2:24" x14ac:dyDescent="0.3">
      <c r="B67" s="1">
        <v>45089</v>
      </c>
      <c r="C67">
        <v>0.3735</v>
      </c>
      <c r="F67" s="1">
        <v>45089</v>
      </c>
      <c r="G67">
        <v>61.8</v>
      </c>
      <c r="K67" s="1">
        <v>45211</v>
      </c>
      <c r="L67">
        <v>4.7633999999999999</v>
      </c>
      <c r="W67" s="1">
        <v>45212</v>
      </c>
      <c r="X67">
        <v>0.51629999999999998</v>
      </c>
    </row>
    <row r="68" spans="2:24" x14ac:dyDescent="0.3">
      <c r="B68" s="1">
        <v>45086</v>
      </c>
      <c r="C68">
        <v>0.36259999999999998</v>
      </c>
      <c r="F68" s="1">
        <v>45086</v>
      </c>
      <c r="G68">
        <v>60</v>
      </c>
      <c r="K68" s="1">
        <v>45210</v>
      </c>
      <c r="L68">
        <v>4.7182000000000004</v>
      </c>
      <c r="W68" s="1">
        <v>45211</v>
      </c>
      <c r="X68">
        <v>0.5181</v>
      </c>
    </row>
    <row r="69" spans="2:24" x14ac:dyDescent="0.3">
      <c r="B69" s="1">
        <v>45085</v>
      </c>
      <c r="C69">
        <v>0.35599999999999998</v>
      </c>
      <c r="F69" s="1">
        <v>45085</v>
      </c>
      <c r="G69">
        <v>58.9</v>
      </c>
      <c r="K69" s="1">
        <v>45209</v>
      </c>
      <c r="L69">
        <v>4.7747000000000002</v>
      </c>
      <c r="W69" s="1">
        <v>45210</v>
      </c>
      <c r="X69">
        <v>0.51319999999999999</v>
      </c>
    </row>
    <row r="70" spans="2:24" x14ac:dyDescent="0.3">
      <c r="B70" s="1">
        <v>45084</v>
      </c>
      <c r="C70">
        <v>0.3463</v>
      </c>
      <c r="F70" s="1">
        <v>45084</v>
      </c>
      <c r="G70">
        <v>57.3</v>
      </c>
      <c r="K70" s="1">
        <v>45208</v>
      </c>
      <c r="L70">
        <v>4.7803000000000004</v>
      </c>
      <c r="W70" s="1">
        <v>45209</v>
      </c>
      <c r="X70">
        <v>0.51939999999999997</v>
      </c>
    </row>
    <row r="71" spans="2:24" x14ac:dyDescent="0.3">
      <c r="B71" s="1">
        <v>45083</v>
      </c>
      <c r="C71">
        <v>0.35049999999999998</v>
      </c>
      <c r="F71" s="1">
        <v>45083</v>
      </c>
      <c r="G71">
        <v>58</v>
      </c>
      <c r="K71" s="1">
        <v>45205</v>
      </c>
      <c r="L71">
        <v>4.9047000000000001</v>
      </c>
      <c r="W71" s="1">
        <v>45208</v>
      </c>
      <c r="X71">
        <v>0.52</v>
      </c>
    </row>
    <row r="72" spans="2:24" x14ac:dyDescent="0.3">
      <c r="B72" s="1">
        <v>45082</v>
      </c>
      <c r="C72">
        <v>0.35110000000000002</v>
      </c>
      <c r="F72" s="1">
        <v>45082</v>
      </c>
      <c r="G72">
        <v>58.1</v>
      </c>
      <c r="K72" s="1">
        <v>45204</v>
      </c>
      <c r="L72">
        <v>4.9272999999999998</v>
      </c>
      <c r="W72" s="1">
        <v>45205</v>
      </c>
      <c r="X72">
        <v>0.53349999999999997</v>
      </c>
    </row>
    <row r="73" spans="2:24" x14ac:dyDescent="0.3">
      <c r="B73" s="1">
        <v>45079</v>
      </c>
      <c r="C73">
        <v>0.35110000000000002</v>
      </c>
      <c r="F73" s="1">
        <v>45079</v>
      </c>
      <c r="G73">
        <v>58.1</v>
      </c>
      <c r="K73" s="1">
        <v>45203</v>
      </c>
      <c r="L73">
        <v>4.9329000000000001</v>
      </c>
      <c r="W73" s="1">
        <v>45204</v>
      </c>
      <c r="X73">
        <v>0.53600000000000003</v>
      </c>
    </row>
    <row r="74" spans="2:24" x14ac:dyDescent="0.3">
      <c r="B74" s="1">
        <v>45078</v>
      </c>
      <c r="C74">
        <v>0.34989999999999999</v>
      </c>
      <c r="F74" s="1">
        <v>45078</v>
      </c>
      <c r="G74">
        <v>57.9</v>
      </c>
      <c r="K74" s="1">
        <v>45202</v>
      </c>
      <c r="L74">
        <v>4.9499000000000004</v>
      </c>
      <c r="W74" s="1">
        <v>45203</v>
      </c>
      <c r="X74">
        <v>0.53659999999999997</v>
      </c>
    </row>
    <row r="75" spans="2:24" x14ac:dyDescent="0.3">
      <c r="B75" s="1">
        <v>45077</v>
      </c>
      <c r="C75">
        <v>0.3427</v>
      </c>
      <c r="F75" s="1">
        <v>45077</v>
      </c>
      <c r="G75">
        <v>56.7</v>
      </c>
      <c r="K75" s="1">
        <v>45201</v>
      </c>
      <c r="L75">
        <v>4.9725000000000001</v>
      </c>
      <c r="W75" s="1">
        <v>45202</v>
      </c>
      <c r="X75">
        <v>0.53839999999999999</v>
      </c>
    </row>
    <row r="76" spans="2:24" x14ac:dyDescent="0.3">
      <c r="B76" s="1">
        <v>45076</v>
      </c>
      <c r="C76">
        <v>0.34389999999999998</v>
      </c>
      <c r="F76" s="1">
        <v>45076</v>
      </c>
      <c r="G76">
        <v>56.9</v>
      </c>
      <c r="K76" s="1">
        <v>45196</v>
      </c>
      <c r="L76">
        <v>5.0968</v>
      </c>
      <c r="W76" s="1">
        <v>45201</v>
      </c>
      <c r="X76">
        <v>0.54090000000000005</v>
      </c>
    </row>
    <row r="77" spans="2:24" x14ac:dyDescent="0.3">
      <c r="B77" s="1">
        <v>45075</v>
      </c>
      <c r="C77">
        <v>0.34449999999999997</v>
      </c>
      <c r="F77" s="1">
        <v>45075</v>
      </c>
      <c r="G77">
        <v>57</v>
      </c>
      <c r="K77" s="1">
        <v>45195</v>
      </c>
      <c r="L77">
        <v>5.0073999999999996</v>
      </c>
      <c r="W77" s="1">
        <v>45196</v>
      </c>
      <c r="X77">
        <v>0.5544</v>
      </c>
    </row>
    <row r="78" spans="2:24" x14ac:dyDescent="0.3">
      <c r="B78" s="1">
        <v>45072</v>
      </c>
      <c r="C78">
        <v>0.35599999999999998</v>
      </c>
      <c r="F78" s="1">
        <v>45072</v>
      </c>
      <c r="G78">
        <v>58.9</v>
      </c>
      <c r="K78" s="1">
        <v>45194</v>
      </c>
      <c r="L78">
        <v>5.0073999999999996</v>
      </c>
      <c r="W78" s="1">
        <v>45195</v>
      </c>
      <c r="X78">
        <v>0.56230000000000002</v>
      </c>
    </row>
    <row r="79" spans="2:24" x14ac:dyDescent="0.3">
      <c r="B79" s="1">
        <v>45071</v>
      </c>
      <c r="C79">
        <v>0.35170000000000001</v>
      </c>
      <c r="F79" s="1">
        <v>45071</v>
      </c>
      <c r="G79">
        <v>58.2</v>
      </c>
      <c r="K79" s="1">
        <v>45191</v>
      </c>
      <c r="L79">
        <v>5.1040000000000001</v>
      </c>
      <c r="W79" s="1">
        <v>45194</v>
      </c>
      <c r="X79">
        <v>0.56230000000000002</v>
      </c>
    </row>
    <row r="80" spans="2:24" x14ac:dyDescent="0.3">
      <c r="B80" s="1">
        <v>45070</v>
      </c>
      <c r="C80">
        <v>0.35349999999999998</v>
      </c>
      <c r="F80" s="1">
        <v>45070</v>
      </c>
      <c r="G80">
        <v>58.5</v>
      </c>
      <c r="K80" s="1">
        <v>45190</v>
      </c>
      <c r="L80">
        <v>5.0016999999999996</v>
      </c>
      <c r="W80" s="1">
        <v>45191</v>
      </c>
      <c r="X80">
        <v>0.57310000000000005</v>
      </c>
    </row>
    <row r="81" spans="2:24" x14ac:dyDescent="0.3">
      <c r="B81" s="1">
        <v>45069</v>
      </c>
      <c r="C81">
        <v>0.34389999999999998</v>
      </c>
      <c r="F81" s="1">
        <v>45069</v>
      </c>
      <c r="G81">
        <v>56.9</v>
      </c>
      <c r="K81" s="1">
        <v>45189</v>
      </c>
      <c r="L81">
        <v>5.0585000000000004</v>
      </c>
      <c r="W81" s="1">
        <v>45190</v>
      </c>
      <c r="X81">
        <v>0.56159999999999999</v>
      </c>
    </row>
    <row r="82" spans="2:24" x14ac:dyDescent="0.3">
      <c r="B82" s="1">
        <v>45068</v>
      </c>
      <c r="C82">
        <v>0.33239999999999997</v>
      </c>
      <c r="F82" s="1">
        <v>45068</v>
      </c>
      <c r="G82">
        <v>55</v>
      </c>
      <c r="K82" s="1">
        <v>45188</v>
      </c>
      <c r="L82">
        <v>4.9619</v>
      </c>
      <c r="W82" s="1">
        <v>45189</v>
      </c>
      <c r="X82">
        <v>0.56799999999999995</v>
      </c>
    </row>
    <row r="83" spans="2:24" x14ac:dyDescent="0.3">
      <c r="B83" s="1">
        <v>45065</v>
      </c>
      <c r="C83">
        <v>0.34079999999999999</v>
      </c>
      <c r="F83" s="1">
        <v>45065</v>
      </c>
      <c r="G83">
        <v>56.4</v>
      </c>
      <c r="K83" s="1">
        <v>45187</v>
      </c>
      <c r="L83">
        <v>5.1154000000000002</v>
      </c>
      <c r="W83" s="1">
        <v>45188</v>
      </c>
      <c r="X83">
        <v>0.55720000000000003</v>
      </c>
    </row>
    <row r="84" spans="2:24" x14ac:dyDescent="0.3">
      <c r="B84" s="1">
        <v>45064</v>
      </c>
      <c r="C84">
        <v>0.34989999999999999</v>
      </c>
      <c r="F84" s="1">
        <v>45064</v>
      </c>
      <c r="G84">
        <v>57.9</v>
      </c>
      <c r="K84" s="1">
        <v>45184</v>
      </c>
      <c r="L84">
        <v>5.1836000000000002</v>
      </c>
      <c r="W84" s="1">
        <v>45187</v>
      </c>
      <c r="X84">
        <v>0.57440000000000002</v>
      </c>
    </row>
    <row r="85" spans="2:24" x14ac:dyDescent="0.3">
      <c r="B85" s="1">
        <v>45063</v>
      </c>
      <c r="C85">
        <v>0.35049999999999998</v>
      </c>
      <c r="F85" s="1">
        <v>45063</v>
      </c>
      <c r="G85">
        <v>58</v>
      </c>
      <c r="K85" s="1">
        <v>45183</v>
      </c>
      <c r="L85">
        <v>5.2290000000000001</v>
      </c>
      <c r="W85" s="1">
        <v>45184</v>
      </c>
      <c r="X85">
        <v>0.58209999999999995</v>
      </c>
    </row>
    <row r="86" spans="2:24" x14ac:dyDescent="0.3">
      <c r="B86" s="1">
        <v>45062</v>
      </c>
      <c r="C86">
        <v>0.35049999999999998</v>
      </c>
      <c r="F86" s="1">
        <v>45062</v>
      </c>
      <c r="G86">
        <v>58</v>
      </c>
      <c r="K86" s="1">
        <v>45182</v>
      </c>
      <c r="L86">
        <v>5.2005999999999997</v>
      </c>
      <c r="W86" s="1">
        <v>45183</v>
      </c>
      <c r="X86">
        <v>0.58720000000000006</v>
      </c>
    </row>
    <row r="87" spans="2:24" x14ac:dyDescent="0.3">
      <c r="B87" s="1">
        <v>45061</v>
      </c>
      <c r="C87">
        <v>0.35170000000000001</v>
      </c>
      <c r="F87" s="1">
        <v>45061</v>
      </c>
      <c r="G87">
        <v>58.2</v>
      </c>
      <c r="K87" s="1">
        <v>45181</v>
      </c>
      <c r="L87">
        <v>5.1380999999999997</v>
      </c>
      <c r="W87" s="1">
        <v>45182</v>
      </c>
      <c r="X87">
        <v>0.58399999999999996</v>
      </c>
    </row>
    <row r="88" spans="2:24" x14ac:dyDescent="0.3">
      <c r="B88" s="1">
        <v>45058</v>
      </c>
      <c r="C88">
        <v>0.35780000000000001</v>
      </c>
      <c r="F88" s="1">
        <v>45058</v>
      </c>
      <c r="G88">
        <v>59.2</v>
      </c>
      <c r="K88" s="1">
        <v>45180</v>
      </c>
      <c r="L88">
        <v>5.1437999999999997</v>
      </c>
      <c r="W88" s="1">
        <v>45181</v>
      </c>
      <c r="X88">
        <v>0.57699999999999996</v>
      </c>
    </row>
    <row r="89" spans="2:24" x14ac:dyDescent="0.3">
      <c r="B89" s="1">
        <v>45057</v>
      </c>
      <c r="C89">
        <v>0.36380000000000001</v>
      </c>
      <c r="F89" s="1">
        <v>45057</v>
      </c>
      <c r="G89">
        <v>60.2</v>
      </c>
      <c r="K89" s="1">
        <v>45177</v>
      </c>
      <c r="L89">
        <v>5.2744999999999997</v>
      </c>
      <c r="W89" s="1">
        <v>45180</v>
      </c>
      <c r="X89">
        <v>0.5776</v>
      </c>
    </row>
    <row r="90" spans="2:24" x14ac:dyDescent="0.3">
      <c r="B90" s="1">
        <v>45056</v>
      </c>
      <c r="C90">
        <v>0.34449999999999997</v>
      </c>
      <c r="F90" s="1">
        <v>45056</v>
      </c>
      <c r="G90">
        <v>57</v>
      </c>
      <c r="K90" s="1">
        <v>45176</v>
      </c>
      <c r="L90">
        <v>5.2347000000000001</v>
      </c>
      <c r="W90" s="1">
        <v>45177</v>
      </c>
      <c r="X90">
        <v>0.59230000000000005</v>
      </c>
    </row>
    <row r="91" spans="2:24" x14ac:dyDescent="0.3">
      <c r="B91" s="1">
        <v>45055</v>
      </c>
      <c r="C91">
        <v>0.34570000000000001</v>
      </c>
      <c r="F91" s="1">
        <v>45055</v>
      </c>
      <c r="G91">
        <v>57.2</v>
      </c>
      <c r="K91" s="1">
        <v>45175</v>
      </c>
      <c r="L91">
        <v>5.2404000000000002</v>
      </c>
      <c r="W91" s="1">
        <v>45176</v>
      </c>
      <c r="X91">
        <v>0.58779999999999999</v>
      </c>
    </row>
    <row r="92" spans="2:24" x14ac:dyDescent="0.3">
      <c r="B92" s="1">
        <v>45054</v>
      </c>
      <c r="C92">
        <v>0.34079999999999999</v>
      </c>
      <c r="F92" s="1">
        <v>45054</v>
      </c>
      <c r="G92">
        <v>56.4</v>
      </c>
      <c r="K92" s="1">
        <v>45174</v>
      </c>
      <c r="L92">
        <v>5.3996000000000004</v>
      </c>
      <c r="W92" s="1">
        <v>45175</v>
      </c>
      <c r="X92">
        <v>0.58850000000000002</v>
      </c>
    </row>
    <row r="93" spans="2:24" x14ac:dyDescent="0.3">
      <c r="B93" s="1">
        <v>45050</v>
      </c>
      <c r="C93">
        <v>0.32879999999999998</v>
      </c>
      <c r="F93" s="1">
        <v>45050</v>
      </c>
      <c r="G93">
        <v>54.4</v>
      </c>
      <c r="K93" s="1">
        <v>45173</v>
      </c>
      <c r="L93">
        <v>5.3029000000000002</v>
      </c>
      <c r="W93" s="1">
        <v>45174</v>
      </c>
      <c r="X93">
        <v>0.60629999999999995</v>
      </c>
    </row>
    <row r="94" spans="2:24" x14ac:dyDescent="0.3">
      <c r="B94" s="1">
        <v>45049</v>
      </c>
      <c r="C94">
        <v>0.32029999999999997</v>
      </c>
      <c r="F94" s="1">
        <v>45049</v>
      </c>
      <c r="G94">
        <v>53</v>
      </c>
      <c r="K94" s="1">
        <v>45170</v>
      </c>
      <c r="L94">
        <v>5.0244</v>
      </c>
      <c r="W94" s="1">
        <v>45173</v>
      </c>
      <c r="X94">
        <v>0.59550000000000003</v>
      </c>
    </row>
    <row r="95" spans="2:24" x14ac:dyDescent="0.3">
      <c r="B95" s="1">
        <v>45048</v>
      </c>
      <c r="C95">
        <v>0.32750000000000001</v>
      </c>
      <c r="F95" s="1">
        <v>45048</v>
      </c>
      <c r="G95">
        <v>54.2</v>
      </c>
      <c r="K95" s="1">
        <v>45169</v>
      </c>
      <c r="L95">
        <v>4.9221000000000004</v>
      </c>
      <c r="W95" s="1">
        <v>45170</v>
      </c>
      <c r="X95">
        <v>0.56420000000000003</v>
      </c>
    </row>
    <row r="96" spans="2:24" x14ac:dyDescent="0.3">
      <c r="B96" s="1">
        <v>45044</v>
      </c>
      <c r="C96">
        <v>0.3427</v>
      </c>
      <c r="F96" s="1">
        <v>45044</v>
      </c>
      <c r="G96">
        <v>56.7</v>
      </c>
      <c r="K96" s="1">
        <v>45167</v>
      </c>
      <c r="L96">
        <v>4.9448999999999996</v>
      </c>
      <c r="W96" s="1">
        <v>45169</v>
      </c>
      <c r="X96">
        <v>0.55269999999999997</v>
      </c>
    </row>
    <row r="97" spans="2:24" x14ac:dyDescent="0.3">
      <c r="B97" s="1">
        <v>45043</v>
      </c>
      <c r="C97">
        <v>0.34510000000000002</v>
      </c>
      <c r="F97" s="1">
        <v>45043</v>
      </c>
      <c r="G97">
        <v>57.1</v>
      </c>
      <c r="K97" s="1">
        <v>45166</v>
      </c>
      <c r="L97">
        <v>4.9448999999999996</v>
      </c>
      <c r="W97" s="1">
        <v>45167</v>
      </c>
      <c r="X97">
        <v>0.55530000000000002</v>
      </c>
    </row>
    <row r="98" spans="2:24" x14ac:dyDescent="0.3">
      <c r="B98" s="1">
        <v>45042</v>
      </c>
      <c r="C98">
        <v>0.35049999999999998</v>
      </c>
      <c r="F98" s="1">
        <v>45042</v>
      </c>
      <c r="G98">
        <v>58</v>
      </c>
      <c r="K98" s="1">
        <v>45163</v>
      </c>
      <c r="L98">
        <v>4.9448999999999996</v>
      </c>
      <c r="W98" s="1">
        <v>45166</v>
      </c>
      <c r="X98">
        <v>0.55530000000000002</v>
      </c>
    </row>
    <row r="99" spans="2:24" x14ac:dyDescent="0.3">
      <c r="B99" s="1">
        <v>45041</v>
      </c>
      <c r="C99">
        <v>0.34989999999999999</v>
      </c>
      <c r="F99" s="1">
        <v>45041</v>
      </c>
      <c r="G99">
        <v>57.9</v>
      </c>
      <c r="K99" s="1">
        <v>45162</v>
      </c>
      <c r="L99">
        <v>5.1266999999999996</v>
      </c>
      <c r="W99" s="1">
        <v>45163</v>
      </c>
      <c r="X99">
        <v>0.55530000000000002</v>
      </c>
    </row>
    <row r="100" spans="2:24" x14ac:dyDescent="0.3">
      <c r="B100" s="1">
        <v>45040</v>
      </c>
      <c r="C100">
        <v>0.35110000000000002</v>
      </c>
      <c r="F100" s="1">
        <v>45040</v>
      </c>
      <c r="G100">
        <v>58.1</v>
      </c>
      <c r="K100" s="1">
        <v>45161</v>
      </c>
      <c r="L100">
        <v>5.2915999999999999</v>
      </c>
      <c r="W100" s="1">
        <v>45162</v>
      </c>
      <c r="X100">
        <v>0.57569999999999999</v>
      </c>
    </row>
    <row r="101" spans="2:24" x14ac:dyDescent="0.3">
      <c r="B101" s="1">
        <v>45037</v>
      </c>
      <c r="C101">
        <v>0.36199999999999999</v>
      </c>
      <c r="F101" s="1">
        <v>45037</v>
      </c>
      <c r="G101">
        <v>59.9</v>
      </c>
      <c r="K101" s="1">
        <v>45160</v>
      </c>
      <c r="L101">
        <v>5.1154000000000002</v>
      </c>
      <c r="W101" s="1">
        <v>45161</v>
      </c>
      <c r="X101">
        <v>0.59419999999999995</v>
      </c>
    </row>
    <row r="102" spans="2:24" x14ac:dyDescent="0.3">
      <c r="B102" s="1">
        <v>45036</v>
      </c>
      <c r="C102">
        <v>0.36320000000000002</v>
      </c>
      <c r="F102" s="1">
        <v>45036</v>
      </c>
      <c r="G102">
        <v>60.1</v>
      </c>
      <c r="K102" s="1">
        <v>45159</v>
      </c>
      <c r="L102">
        <v>5.2404000000000002</v>
      </c>
      <c r="W102" s="1">
        <v>45160</v>
      </c>
      <c r="X102">
        <v>0.57440000000000002</v>
      </c>
    </row>
    <row r="103" spans="2:24" x14ac:dyDescent="0.3">
      <c r="B103" s="1">
        <v>45035</v>
      </c>
      <c r="C103">
        <v>0.3644</v>
      </c>
      <c r="F103" s="1">
        <v>45035</v>
      </c>
      <c r="G103">
        <v>60.3</v>
      </c>
      <c r="K103" s="1">
        <v>45156</v>
      </c>
      <c r="L103">
        <v>5.32</v>
      </c>
      <c r="W103" s="1">
        <v>45159</v>
      </c>
      <c r="X103">
        <v>0.58850000000000002</v>
      </c>
    </row>
    <row r="104" spans="2:24" x14ac:dyDescent="0.3">
      <c r="B104" s="1">
        <v>45034</v>
      </c>
      <c r="C104">
        <v>0.36320000000000002</v>
      </c>
      <c r="F104" s="1">
        <v>45034</v>
      </c>
      <c r="G104">
        <v>60.1</v>
      </c>
      <c r="K104" s="1">
        <v>45155</v>
      </c>
      <c r="L104">
        <v>5.4507000000000003</v>
      </c>
      <c r="W104" s="1">
        <v>45156</v>
      </c>
      <c r="X104">
        <v>0.59740000000000004</v>
      </c>
    </row>
    <row r="105" spans="2:24" x14ac:dyDescent="0.3">
      <c r="B105" s="1">
        <v>45033</v>
      </c>
      <c r="C105">
        <v>0.38069999999999998</v>
      </c>
      <c r="F105" s="1">
        <v>45033</v>
      </c>
      <c r="G105">
        <v>63</v>
      </c>
      <c r="K105" s="1">
        <v>45154</v>
      </c>
      <c r="L105">
        <v>5.4962</v>
      </c>
      <c r="W105" s="1">
        <v>45155</v>
      </c>
      <c r="X105">
        <v>0.61209999999999998</v>
      </c>
    </row>
    <row r="106" spans="2:24" x14ac:dyDescent="0.3">
      <c r="B106" s="1">
        <v>45028</v>
      </c>
      <c r="C106">
        <v>0.38069999999999998</v>
      </c>
      <c r="F106" s="1">
        <v>45028</v>
      </c>
      <c r="G106">
        <v>63</v>
      </c>
      <c r="K106" s="1">
        <v>45153</v>
      </c>
      <c r="L106">
        <v>5.2858999999999998</v>
      </c>
      <c r="W106" s="1">
        <v>45154</v>
      </c>
      <c r="X106">
        <v>0.61719999999999997</v>
      </c>
    </row>
    <row r="107" spans="2:24" x14ac:dyDescent="0.3">
      <c r="B107" s="1">
        <v>45027</v>
      </c>
      <c r="C107">
        <v>0.38069999999999998</v>
      </c>
      <c r="F107" s="1">
        <v>45027</v>
      </c>
      <c r="G107">
        <v>63</v>
      </c>
      <c r="K107" s="1">
        <v>45152</v>
      </c>
      <c r="L107">
        <v>5.5189000000000004</v>
      </c>
      <c r="W107" s="1">
        <v>45153</v>
      </c>
      <c r="X107">
        <v>0.59360000000000002</v>
      </c>
    </row>
    <row r="108" spans="2:24" x14ac:dyDescent="0.3">
      <c r="B108" s="1">
        <v>45026</v>
      </c>
      <c r="C108">
        <v>0.37769999999999998</v>
      </c>
      <c r="F108" s="1">
        <v>45026</v>
      </c>
      <c r="G108">
        <v>62.5</v>
      </c>
      <c r="K108" s="1">
        <v>45149</v>
      </c>
      <c r="L108">
        <v>5.8543000000000003</v>
      </c>
      <c r="W108" s="1">
        <v>45152</v>
      </c>
      <c r="X108">
        <v>0.61970000000000003</v>
      </c>
    </row>
    <row r="109" spans="2:24" x14ac:dyDescent="0.3">
      <c r="B109" s="1">
        <v>45022</v>
      </c>
      <c r="C109">
        <v>0.37530000000000002</v>
      </c>
      <c r="F109" s="1">
        <v>45022</v>
      </c>
      <c r="G109">
        <v>62.1</v>
      </c>
      <c r="K109" s="1">
        <v>45148</v>
      </c>
      <c r="L109">
        <v>5.9679000000000002</v>
      </c>
      <c r="W109" s="1">
        <v>45149</v>
      </c>
      <c r="X109">
        <v>0.65739999999999998</v>
      </c>
    </row>
    <row r="110" spans="2:24" x14ac:dyDescent="0.3">
      <c r="B110" s="1">
        <v>45020</v>
      </c>
      <c r="C110">
        <v>0.37469999999999998</v>
      </c>
      <c r="F110" s="1">
        <v>45020</v>
      </c>
      <c r="G110">
        <v>62</v>
      </c>
      <c r="K110" s="1">
        <v>45147</v>
      </c>
      <c r="L110">
        <v>5.9111000000000002</v>
      </c>
      <c r="W110" s="1">
        <v>45148</v>
      </c>
      <c r="X110">
        <v>0.67010000000000003</v>
      </c>
    </row>
    <row r="111" spans="2:24" x14ac:dyDescent="0.3">
      <c r="B111" s="1">
        <v>45019</v>
      </c>
      <c r="C111">
        <v>0.36919999999999997</v>
      </c>
      <c r="F111" s="1">
        <v>45019</v>
      </c>
      <c r="G111">
        <v>61.1</v>
      </c>
      <c r="K111" s="1">
        <v>45146</v>
      </c>
      <c r="L111">
        <v>5.9679000000000002</v>
      </c>
      <c r="W111" s="1">
        <v>45147</v>
      </c>
      <c r="X111">
        <v>0.66379999999999995</v>
      </c>
    </row>
    <row r="112" spans="2:24" x14ac:dyDescent="0.3">
      <c r="B112" s="1">
        <v>45016</v>
      </c>
      <c r="C112">
        <v>0.38440000000000002</v>
      </c>
      <c r="F112" s="1">
        <v>45016</v>
      </c>
      <c r="G112">
        <v>63.6</v>
      </c>
      <c r="K112" s="1">
        <v>45145</v>
      </c>
      <c r="L112">
        <v>5.8826999999999998</v>
      </c>
      <c r="W112" s="1">
        <v>45146</v>
      </c>
      <c r="X112">
        <v>0.67010000000000003</v>
      </c>
    </row>
    <row r="113" spans="2:24" x14ac:dyDescent="0.3">
      <c r="B113" s="1">
        <v>45015</v>
      </c>
      <c r="C113">
        <v>0.38879999999999998</v>
      </c>
      <c r="F113" s="1">
        <v>45015</v>
      </c>
      <c r="G113">
        <v>61.86</v>
      </c>
      <c r="K113" s="1">
        <v>45142</v>
      </c>
      <c r="L113">
        <v>5.7548000000000004</v>
      </c>
      <c r="W113" s="1">
        <v>45145</v>
      </c>
      <c r="X113">
        <v>0.66059999999999997</v>
      </c>
    </row>
    <row r="114" spans="2:24" x14ac:dyDescent="0.3">
      <c r="B114" s="1">
        <v>45014</v>
      </c>
      <c r="C114">
        <v>0.39529999999999998</v>
      </c>
      <c r="F114" s="1">
        <v>45014</v>
      </c>
      <c r="G114">
        <v>62.9</v>
      </c>
      <c r="K114" s="1">
        <v>45141</v>
      </c>
      <c r="L114">
        <v>5.6837</v>
      </c>
      <c r="W114" s="1">
        <v>45142</v>
      </c>
      <c r="X114">
        <v>0.6462</v>
      </c>
    </row>
    <row r="115" spans="2:24" x14ac:dyDescent="0.3">
      <c r="B115" s="1">
        <v>45013</v>
      </c>
      <c r="C115">
        <v>0.38879999999999998</v>
      </c>
      <c r="F115" s="1">
        <v>45013</v>
      </c>
      <c r="G115">
        <v>61.86</v>
      </c>
      <c r="K115" s="1">
        <v>45140</v>
      </c>
      <c r="L115">
        <v>5.4279999999999999</v>
      </c>
      <c r="W115" s="1">
        <v>45141</v>
      </c>
      <c r="X115">
        <v>0.63819999999999999</v>
      </c>
    </row>
    <row r="116" spans="2:24" x14ac:dyDescent="0.3">
      <c r="B116" s="1">
        <v>45012</v>
      </c>
      <c r="C116">
        <v>0.39</v>
      </c>
      <c r="F116" s="1">
        <v>45012</v>
      </c>
      <c r="G116">
        <v>62.05</v>
      </c>
      <c r="K116" s="1">
        <v>45138</v>
      </c>
      <c r="L116">
        <v>5.2801999999999998</v>
      </c>
      <c r="W116" s="1">
        <v>45140</v>
      </c>
      <c r="X116">
        <v>0.60950000000000004</v>
      </c>
    </row>
    <row r="117" spans="2:24" x14ac:dyDescent="0.3">
      <c r="B117" s="1">
        <v>45009</v>
      </c>
      <c r="C117">
        <v>0.39179999999999998</v>
      </c>
      <c r="F117" s="1">
        <v>45009</v>
      </c>
      <c r="G117">
        <v>62.33</v>
      </c>
      <c r="K117" s="1">
        <v>45135</v>
      </c>
      <c r="L117">
        <v>5.2687999999999997</v>
      </c>
      <c r="W117" s="1">
        <v>45138</v>
      </c>
      <c r="X117">
        <v>0.59289999999999998</v>
      </c>
    </row>
    <row r="118" spans="2:24" x14ac:dyDescent="0.3">
      <c r="B118" s="1">
        <v>45008</v>
      </c>
      <c r="C118">
        <v>0.38579999999999998</v>
      </c>
      <c r="F118" s="1">
        <v>45008</v>
      </c>
      <c r="G118">
        <v>61.39</v>
      </c>
      <c r="K118" s="1">
        <v>45134</v>
      </c>
      <c r="L118">
        <v>5.2630999999999997</v>
      </c>
      <c r="W118" s="1">
        <v>45135</v>
      </c>
      <c r="X118">
        <v>0.59160000000000001</v>
      </c>
    </row>
    <row r="119" spans="2:24" x14ac:dyDescent="0.3">
      <c r="B119" s="1">
        <v>45007</v>
      </c>
      <c r="C119">
        <v>0.40010000000000001</v>
      </c>
      <c r="F119" s="1">
        <v>45007</v>
      </c>
      <c r="G119">
        <v>63.65</v>
      </c>
      <c r="K119" s="1">
        <v>45133</v>
      </c>
      <c r="L119">
        <v>5.0244</v>
      </c>
      <c r="W119" s="1">
        <v>45134</v>
      </c>
      <c r="X119">
        <v>0.59099999999999997</v>
      </c>
    </row>
    <row r="120" spans="2:24" x14ac:dyDescent="0.3">
      <c r="B120" s="1">
        <v>45006</v>
      </c>
      <c r="C120">
        <v>0.40720000000000001</v>
      </c>
      <c r="F120" s="1">
        <v>45006</v>
      </c>
      <c r="G120">
        <v>64.790000000000006</v>
      </c>
      <c r="K120" s="1">
        <v>45132</v>
      </c>
      <c r="L120">
        <v>5.0472000000000001</v>
      </c>
      <c r="W120" s="1">
        <v>45133</v>
      </c>
      <c r="X120">
        <v>0.56420000000000003</v>
      </c>
    </row>
    <row r="121" spans="2:24" x14ac:dyDescent="0.3">
      <c r="B121" s="1">
        <v>45005</v>
      </c>
      <c r="C121">
        <v>0.40960000000000002</v>
      </c>
      <c r="F121" s="1">
        <v>45005</v>
      </c>
      <c r="G121">
        <v>65.17</v>
      </c>
      <c r="K121" s="1">
        <v>45131</v>
      </c>
      <c r="L121">
        <v>5.1040000000000001</v>
      </c>
      <c r="W121" s="1">
        <v>45132</v>
      </c>
      <c r="X121">
        <v>0.56679999999999997</v>
      </c>
    </row>
    <row r="122" spans="2:24" x14ac:dyDescent="0.3">
      <c r="B122" s="1">
        <v>45002</v>
      </c>
      <c r="C122">
        <v>0.4143</v>
      </c>
      <c r="F122" s="1">
        <v>45002</v>
      </c>
      <c r="G122">
        <v>65.92</v>
      </c>
      <c r="K122" s="1">
        <v>45128</v>
      </c>
      <c r="L122">
        <v>5.0130999999999997</v>
      </c>
      <c r="W122" s="1">
        <v>45131</v>
      </c>
      <c r="X122">
        <v>0.57310000000000005</v>
      </c>
    </row>
    <row r="123" spans="2:24" x14ac:dyDescent="0.3">
      <c r="B123" s="1">
        <v>45001</v>
      </c>
      <c r="C123">
        <v>0.40129999999999999</v>
      </c>
      <c r="F123" s="1">
        <v>45001</v>
      </c>
      <c r="G123">
        <v>63.84</v>
      </c>
      <c r="K123" s="1">
        <v>45127</v>
      </c>
      <c r="L123">
        <v>5.0016999999999996</v>
      </c>
      <c r="W123" s="1">
        <v>45128</v>
      </c>
      <c r="X123">
        <v>0.56289999999999996</v>
      </c>
    </row>
    <row r="124" spans="2:24" x14ac:dyDescent="0.3">
      <c r="B124" s="1">
        <v>45000</v>
      </c>
      <c r="C124">
        <v>0.39950000000000002</v>
      </c>
      <c r="F124" s="1">
        <v>45000</v>
      </c>
      <c r="G124">
        <v>63.56</v>
      </c>
      <c r="K124" s="1">
        <v>45126</v>
      </c>
      <c r="L124">
        <v>5.0641999999999996</v>
      </c>
      <c r="W124" s="1">
        <v>45127</v>
      </c>
      <c r="X124">
        <v>0.56159999999999999</v>
      </c>
    </row>
    <row r="125" spans="2:24" x14ac:dyDescent="0.3">
      <c r="B125" s="1">
        <v>44999</v>
      </c>
      <c r="C125">
        <v>0.3947</v>
      </c>
      <c r="F125" s="1">
        <v>44999</v>
      </c>
      <c r="G125">
        <v>62.8</v>
      </c>
      <c r="K125" s="1">
        <v>45125</v>
      </c>
      <c r="L125">
        <v>4.9278000000000004</v>
      </c>
      <c r="W125" s="1">
        <v>45126</v>
      </c>
      <c r="X125">
        <v>0.56869999999999998</v>
      </c>
    </row>
    <row r="126" spans="2:24" x14ac:dyDescent="0.3">
      <c r="B126" s="1">
        <v>44998</v>
      </c>
      <c r="C126">
        <v>0.39589999999999997</v>
      </c>
      <c r="F126" s="1">
        <v>44998</v>
      </c>
      <c r="G126">
        <v>62.99</v>
      </c>
      <c r="K126" s="1">
        <v>45124</v>
      </c>
      <c r="L126">
        <v>4.8028000000000004</v>
      </c>
      <c r="W126" s="1">
        <v>45125</v>
      </c>
      <c r="X126">
        <v>0.5534</v>
      </c>
    </row>
    <row r="127" spans="2:24" x14ac:dyDescent="0.3">
      <c r="B127" s="1">
        <v>44995</v>
      </c>
      <c r="C127">
        <v>0.3977</v>
      </c>
      <c r="F127" s="1">
        <v>44995</v>
      </c>
      <c r="G127">
        <v>63.28</v>
      </c>
      <c r="K127" s="1">
        <v>45121</v>
      </c>
      <c r="L127">
        <v>4.5583999999999998</v>
      </c>
      <c r="W127" s="1">
        <v>45124</v>
      </c>
      <c r="X127">
        <v>0.5393</v>
      </c>
    </row>
    <row r="128" spans="2:24" x14ac:dyDescent="0.3">
      <c r="B128" s="1">
        <v>44994</v>
      </c>
      <c r="C128">
        <v>0.41020000000000001</v>
      </c>
      <c r="F128" s="1">
        <v>44994</v>
      </c>
      <c r="G128">
        <v>65.260000000000005</v>
      </c>
      <c r="K128" s="1">
        <v>45120</v>
      </c>
      <c r="L128">
        <v>4.4504000000000001</v>
      </c>
      <c r="W128" s="1">
        <v>45121</v>
      </c>
      <c r="X128">
        <v>0.51190000000000002</v>
      </c>
    </row>
    <row r="129" spans="2:24" x14ac:dyDescent="0.3">
      <c r="B129" s="1">
        <v>44993</v>
      </c>
      <c r="C129">
        <v>0.41610000000000003</v>
      </c>
      <c r="F129" s="1">
        <v>44993</v>
      </c>
      <c r="G129">
        <v>66.2</v>
      </c>
      <c r="K129" s="1">
        <v>45119</v>
      </c>
      <c r="L129">
        <v>4.5754000000000001</v>
      </c>
      <c r="W129" s="1">
        <v>45120</v>
      </c>
      <c r="X129">
        <v>0.49969999999999998</v>
      </c>
    </row>
    <row r="130" spans="2:24" x14ac:dyDescent="0.3">
      <c r="B130" s="1">
        <v>44992</v>
      </c>
      <c r="C130">
        <v>0.4173</v>
      </c>
      <c r="F130" s="1">
        <v>44992</v>
      </c>
      <c r="G130">
        <v>66.39</v>
      </c>
      <c r="K130" s="1">
        <v>45118</v>
      </c>
      <c r="L130">
        <v>4.4333</v>
      </c>
      <c r="W130" s="1">
        <v>45119</v>
      </c>
      <c r="X130">
        <v>0.51380000000000003</v>
      </c>
    </row>
    <row r="131" spans="2:24" x14ac:dyDescent="0.3">
      <c r="B131" s="1">
        <v>44988</v>
      </c>
      <c r="C131">
        <v>0.40960000000000002</v>
      </c>
      <c r="F131" s="1">
        <v>44988</v>
      </c>
      <c r="G131">
        <v>65.17</v>
      </c>
      <c r="K131" s="1">
        <v>45117</v>
      </c>
      <c r="L131">
        <v>4.4617000000000004</v>
      </c>
      <c r="W131" s="1">
        <v>45118</v>
      </c>
      <c r="X131">
        <v>0.49780000000000002</v>
      </c>
    </row>
    <row r="132" spans="2:24" x14ac:dyDescent="0.3">
      <c r="B132" s="1">
        <v>44987</v>
      </c>
      <c r="C132">
        <v>0.3977</v>
      </c>
      <c r="F132" s="1">
        <v>44987</v>
      </c>
      <c r="G132">
        <v>63.28</v>
      </c>
      <c r="K132" s="1">
        <v>45114</v>
      </c>
      <c r="L132">
        <v>4.5072000000000001</v>
      </c>
      <c r="W132" s="1">
        <v>45117</v>
      </c>
      <c r="X132">
        <v>0.501</v>
      </c>
    </row>
    <row r="133" spans="2:24" x14ac:dyDescent="0.3">
      <c r="B133" s="1">
        <v>44986</v>
      </c>
      <c r="C133">
        <v>0.38579999999999998</v>
      </c>
      <c r="F133" s="1">
        <v>44986</v>
      </c>
      <c r="G133">
        <v>61.39</v>
      </c>
      <c r="K133" s="1">
        <v>45113</v>
      </c>
      <c r="L133">
        <v>4.5243000000000002</v>
      </c>
      <c r="W133" s="1">
        <v>45114</v>
      </c>
      <c r="X133">
        <v>0.50609999999999999</v>
      </c>
    </row>
    <row r="134" spans="2:24" x14ac:dyDescent="0.3">
      <c r="B134" s="1">
        <v>44985</v>
      </c>
      <c r="C134">
        <v>0.38579999999999998</v>
      </c>
      <c r="F134" s="1">
        <v>44985</v>
      </c>
      <c r="G134">
        <v>61.39</v>
      </c>
      <c r="K134" s="1">
        <v>45112</v>
      </c>
      <c r="L134">
        <v>4.6208999999999998</v>
      </c>
      <c r="W134" s="1">
        <v>45113</v>
      </c>
      <c r="X134">
        <v>0.50800000000000001</v>
      </c>
    </row>
    <row r="135" spans="2:24" x14ac:dyDescent="0.3">
      <c r="B135" s="1">
        <v>44984</v>
      </c>
      <c r="C135">
        <v>0.38579999999999998</v>
      </c>
      <c r="F135" s="1">
        <v>44984</v>
      </c>
      <c r="G135">
        <v>61.39</v>
      </c>
      <c r="K135" s="1">
        <v>45111</v>
      </c>
      <c r="L135">
        <v>4.5982000000000003</v>
      </c>
      <c r="W135" s="1">
        <v>45112</v>
      </c>
      <c r="X135">
        <v>0.51890000000000003</v>
      </c>
    </row>
    <row r="136" spans="2:24" x14ac:dyDescent="0.3">
      <c r="B136" s="1">
        <v>44981</v>
      </c>
      <c r="C136">
        <v>0.39240000000000003</v>
      </c>
      <c r="F136" s="1">
        <v>44981</v>
      </c>
      <c r="G136">
        <v>62.43</v>
      </c>
      <c r="K136" s="1">
        <v>45105</v>
      </c>
      <c r="L136">
        <v>3.8706</v>
      </c>
      <c r="W136" s="1">
        <v>45111</v>
      </c>
      <c r="X136">
        <v>0.51629999999999998</v>
      </c>
    </row>
    <row r="137" spans="2:24" x14ac:dyDescent="0.3">
      <c r="B137" s="1">
        <v>44980</v>
      </c>
      <c r="C137">
        <v>0.38579999999999998</v>
      </c>
      <c r="F137" s="1">
        <v>44980</v>
      </c>
      <c r="G137">
        <v>61.39</v>
      </c>
      <c r="K137" s="1">
        <v>45104</v>
      </c>
      <c r="L137">
        <v>5.3531000000000004</v>
      </c>
      <c r="W137" s="1">
        <v>45105</v>
      </c>
      <c r="X137">
        <v>0.43459999999999999</v>
      </c>
    </row>
    <row r="138" spans="2:24" x14ac:dyDescent="0.3">
      <c r="B138" s="1">
        <v>44979</v>
      </c>
      <c r="C138">
        <v>0.38350000000000001</v>
      </c>
      <c r="F138" s="1">
        <v>44979</v>
      </c>
      <c r="G138">
        <v>61.01</v>
      </c>
      <c r="K138" s="1">
        <v>45103</v>
      </c>
      <c r="L138">
        <v>5.4005999999999998</v>
      </c>
      <c r="W138" s="1">
        <v>45104</v>
      </c>
      <c r="X138">
        <v>0.40910000000000002</v>
      </c>
    </row>
    <row r="139" spans="2:24" x14ac:dyDescent="0.3">
      <c r="B139" s="1">
        <v>44978</v>
      </c>
      <c r="C139">
        <v>0.38350000000000001</v>
      </c>
      <c r="F139" s="1">
        <v>44978</v>
      </c>
      <c r="G139">
        <v>61.01</v>
      </c>
      <c r="K139" s="1">
        <v>45100</v>
      </c>
      <c r="L139">
        <v>5.2266000000000004</v>
      </c>
      <c r="W139" s="1">
        <v>45103</v>
      </c>
      <c r="X139">
        <v>0.4128</v>
      </c>
    </row>
    <row r="140" spans="2:24" x14ac:dyDescent="0.3">
      <c r="B140" s="1">
        <v>44977</v>
      </c>
      <c r="C140">
        <v>0.3876</v>
      </c>
      <c r="F140" s="1">
        <v>44977</v>
      </c>
      <c r="G140">
        <v>61.67</v>
      </c>
      <c r="K140" s="1">
        <v>45099</v>
      </c>
      <c r="L140">
        <v>5.2266000000000004</v>
      </c>
      <c r="W140" s="1">
        <v>45100</v>
      </c>
      <c r="X140">
        <v>0.39950000000000002</v>
      </c>
    </row>
    <row r="141" spans="2:24" x14ac:dyDescent="0.3">
      <c r="B141" s="1">
        <v>44974</v>
      </c>
      <c r="C141">
        <v>0.371</v>
      </c>
      <c r="F141" s="1">
        <v>44974</v>
      </c>
      <c r="G141">
        <v>59.03</v>
      </c>
      <c r="K141" s="1">
        <v>45098</v>
      </c>
      <c r="L141">
        <v>5.2344999999999997</v>
      </c>
      <c r="W141" s="1">
        <v>45099</v>
      </c>
      <c r="X141">
        <v>0.39950000000000002</v>
      </c>
    </row>
    <row r="142" spans="2:24" x14ac:dyDescent="0.3">
      <c r="B142" s="1">
        <v>44973</v>
      </c>
      <c r="C142">
        <v>0.3579</v>
      </c>
      <c r="F142" s="1">
        <v>44973</v>
      </c>
      <c r="G142">
        <v>56.95</v>
      </c>
      <c r="K142" s="1">
        <v>45097</v>
      </c>
      <c r="L142">
        <v>5.0605000000000002</v>
      </c>
      <c r="W142" s="1">
        <v>45098</v>
      </c>
      <c r="X142">
        <v>0.40010000000000001</v>
      </c>
    </row>
    <row r="143" spans="2:24" x14ac:dyDescent="0.3">
      <c r="B143" s="1">
        <v>44972</v>
      </c>
      <c r="C143">
        <v>0.34720000000000001</v>
      </c>
      <c r="F143" s="1">
        <v>44972</v>
      </c>
      <c r="G143">
        <v>55.25</v>
      </c>
      <c r="K143" s="1">
        <v>45096</v>
      </c>
      <c r="L143">
        <v>5.1395999999999997</v>
      </c>
      <c r="W143" s="1">
        <v>45097</v>
      </c>
      <c r="X143">
        <v>0.38679999999999998</v>
      </c>
    </row>
    <row r="144" spans="2:24" x14ac:dyDescent="0.3">
      <c r="B144" s="1">
        <v>44971</v>
      </c>
      <c r="C144">
        <v>0.3478</v>
      </c>
      <c r="F144" s="1">
        <v>44971</v>
      </c>
      <c r="G144">
        <v>55.34</v>
      </c>
      <c r="K144" s="1">
        <v>45093</v>
      </c>
      <c r="L144">
        <v>5.2187000000000001</v>
      </c>
      <c r="W144" s="1">
        <v>45096</v>
      </c>
      <c r="X144">
        <v>0.39279999999999998</v>
      </c>
    </row>
    <row r="145" spans="2:24" x14ac:dyDescent="0.3">
      <c r="B145" s="1">
        <v>44970</v>
      </c>
      <c r="C145">
        <v>0.35670000000000002</v>
      </c>
      <c r="F145" s="1">
        <v>44970</v>
      </c>
      <c r="G145">
        <v>56.76</v>
      </c>
      <c r="K145" s="1">
        <v>45092</v>
      </c>
      <c r="L145">
        <v>5.2423999999999999</v>
      </c>
      <c r="W145" s="1">
        <v>45093</v>
      </c>
      <c r="X145">
        <v>0.39889999999999998</v>
      </c>
    </row>
    <row r="146" spans="2:24" x14ac:dyDescent="0.3">
      <c r="B146" s="1">
        <v>44967</v>
      </c>
      <c r="C146">
        <v>0.36559999999999998</v>
      </c>
      <c r="F146" s="1">
        <v>44967</v>
      </c>
      <c r="G146">
        <v>58.18</v>
      </c>
      <c r="K146" s="1">
        <v>45091</v>
      </c>
      <c r="L146">
        <v>5.1395999999999997</v>
      </c>
      <c r="W146" s="1">
        <v>45092</v>
      </c>
      <c r="X146">
        <v>0.4007</v>
      </c>
    </row>
    <row r="147" spans="2:24" x14ac:dyDescent="0.3">
      <c r="B147" s="1">
        <v>44966</v>
      </c>
      <c r="C147">
        <v>0.36509999999999998</v>
      </c>
      <c r="F147" s="1">
        <v>44966</v>
      </c>
      <c r="G147">
        <v>58.08</v>
      </c>
      <c r="K147" s="1">
        <v>45090</v>
      </c>
      <c r="L147">
        <v>4.8311999999999999</v>
      </c>
      <c r="W147" s="1">
        <v>45091</v>
      </c>
      <c r="X147">
        <v>0.39279999999999998</v>
      </c>
    </row>
    <row r="148" spans="2:24" x14ac:dyDescent="0.3">
      <c r="B148" s="1">
        <v>44965</v>
      </c>
      <c r="C148">
        <v>0.36620000000000003</v>
      </c>
      <c r="F148" s="1">
        <v>44965</v>
      </c>
      <c r="G148">
        <v>58.27</v>
      </c>
      <c r="K148" s="1">
        <v>45089</v>
      </c>
      <c r="L148">
        <v>4.8865999999999996</v>
      </c>
      <c r="W148" s="1">
        <v>45090</v>
      </c>
      <c r="X148">
        <v>0.36919999999999997</v>
      </c>
    </row>
    <row r="149" spans="2:24" x14ac:dyDescent="0.3">
      <c r="B149" s="1">
        <v>44964</v>
      </c>
      <c r="C149">
        <v>0.36559999999999998</v>
      </c>
      <c r="F149" s="1">
        <v>44964</v>
      </c>
      <c r="G149">
        <v>58.18</v>
      </c>
      <c r="K149" s="1">
        <v>45086</v>
      </c>
      <c r="L149">
        <v>4.7443</v>
      </c>
      <c r="W149" s="1">
        <v>45089</v>
      </c>
      <c r="X149">
        <v>0.3735</v>
      </c>
    </row>
    <row r="150" spans="2:24" x14ac:dyDescent="0.3">
      <c r="B150" s="1">
        <v>44963</v>
      </c>
      <c r="C150">
        <v>0.3674</v>
      </c>
      <c r="F150" s="1">
        <v>44963</v>
      </c>
      <c r="G150">
        <v>58.46</v>
      </c>
      <c r="K150" s="1">
        <v>45085</v>
      </c>
      <c r="L150">
        <v>4.6573000000000002</v>
      </c>
      <c r="W150" s="1">
        <v>45086</v>
      </c>
      <c r="X150">
        <v>0.36259999999999998</v>
      </c>
    </row>
    <row r="151" spans="2:24" x14ac:dyDescent="0.3">
      <c r="B151" s="1">
        <v>44960</v>
      </c>
      <c r="C151">
        <v>0.38290000000000002</v>
      </c>
      <c r="F151" s="1">
        <v>44960</v>
      </c>
      <c r="G151">
        <v>60.92</v>
      </c>
      <c r="K151" s="1">
        <v>45084</v>
      </c>
      <c r="L151">
        <v>4.5308000000000002</v>
      </c>
      <c r="W151" s="1">
        <v>45085</v>
      </c>
      <c r="X151">
        <v>0.35599999999999998</v>
      </c>
    </row>
    <row r="152" spans="2:24" x14ac:dyDescent="0.3">
      <c r="B152" s="1">
        <v>44959</v>
      </c>
      <c r="C152">
        <v>0.3579</v>
      </c>
      <c r="F152" s="1">
        <v>44959</v>
      </c>
      <c r="G152">
        <v>56.95</v>
      </c>
      <c r="K152" s="1">
        <v>45083</v>
      </c>
      <c r="L152">
        <v>4.5861000000000001</v>
      </c>
      <c r="W152" s="1">
        <v>45084</v>
      </c>
      <c r="X152">
        <v>0.3463</v>
      </c>
    </row>
    <row r="153" spans="2:24" x14ac:dyDescent="0.3">
      <c r="B153" s="1">
        <v>44958</v>
      </c>
      <c r="C153">
        <v>0.3508</v>
      </c>
      <c r="F153" s="1">
        <v>44958</v>
      </c>
      <c r="G153">
        <v>55.82</v>
      </c>
      <c r="K153" s="1">
        <v>45082</v>
      </c>
      <c r="L153">
        <v>4.5940000000000003</v>
      </c>
      <c r="W153" s="1">
        <v>45083</v>
      </c>
      <c r="X153">
        <v>0.35049999999999998</v>
      </c>
    </row>
    <row r="154" spans="2:24" x14ac:dyDescent="0.3">
      <c r="B154" s="1">
        <v>44957</v>
      </c>
      <c r="C154">
        <v>0.33360000000000001</v>
      </c>
      <c r="F154" s="1">
        <v>44957</v>
      </c>
      <c r="G154">
        <v>53.08</v>
      </c>
      <c r="K154" s="1">
        <v>45079</v>
      </c>
      <c r="L154">
        <v>4.5940000000000003</v>
      </c>
      <c r="W154" s="1">
        <v>45082</v>
      </c>
      <c r="X154">
        <v>0.35110000000000002</v>
      </c>
    </row>
    <row r="155" spans="2:24" x14ac:dyDescent="0.3">
      <c r="B155" s="1">
        <v>44956</v>
      </c>
      <c r="C155">
        <v>0.33179999999999998</v>
      </c>
      <c r="F155" s="1">
        <v>44956</v>
      </c>
      <c r="G155">
        <v>52.79</v>
      </c>
      <c r="K155" s="1">
        <v>45078</v>
      </c>
      <c r="L155">
        <v>4.5781999999999998</v>
      </c>
      <c r="W155" s="1">
        <v>45079</v>
      </c>
      <c r="X155">
        <v>0.35110000000000002</v>
      </c>
    </row>
    <row r="156" spans="2:24" x14ac:dyDescent="0.3">
      <c r="B156" s="1">
        <v>44953</v>
      </c>
      <c r="C156">
        <v>0.33360000000000001</v>
      </c>
      <c r="F156" s="1">
        <v>44953</v>
      </c>
      <c r="G156">
        <v>53.08</v>
      </c>
      <c r="K156" s="1">
        <v>45077</v>
      </c>
      <c r="L156">
        <v>4.4832999999999998</v>
      </c>
      <c r="W156" s="1">
        <v>45078</v>
      </c>
      <c r="X156">
        <v>0.34989999999999999</v>
      </c>
    </row>
    <row r="157" spans="2:24" x14ac:dyDescent="0.3">
      <c r="B157" s="1">
        <v>44952</v>
      </c>
      <c r="C157">
        <v>0.33179999999999998</v>
      </c>
      <c r="F157" s="1">
        <v>44952</v>
      </c>
      <c r="G157">
        <v>52.79</v>
      </c>
      <c r="K157" s="1">
        <v>45076</v>
      </c>
      <c r="L157">
        <v>4.4991000000000003</v>
      </c>
      <c r="W157" s="1">
        <v>45077</v>
      </c>
      <c r="X157">
        <v>0.3427</v>
      </c>
    </row>
    <row r="158" spans="2:24" x14ac:dyDescent="0.3">
      <c r="B158" s="1">
        <v>44951</v>
      </c>
      <c r="C158">
        <v>0.33</v>
      </c>
      <c r="F158" s="1">
        <v>44951</v>
      </c>
      <c r="G158">
        <v>52.51</v>
      </c>
      <c r="K158" s="1">
        <v>45075</v>
      </c>
      <c r="L158">
        <v>4.5071000000000003</v>
      </c>
      <c r="W158" s="1">
        <v>45076</v>
      </c>
      <c r="X158">
        <v>0.34389999999999998</v>
      </c>
    </row>
    <row r="159" spans="2:24" x14ac:dyDescent="0.3">
      <c r="B159" s="1">
        <v>44950</v>
      </c>
      <c r="C159">
        <v>0.33239999999999997</v>
      </c>
      <c r="F159" s="1">
        <v>44950</v>
      </c>
      <c r="G159">
        <v>52.89</v>
      </c>
      <c r="K159" s="1">
        <v>45072</v>
      </c>
      <c r="L159">
        <v>4.6573000000000002</v>
      </c>
      <c r="W159" s="1">
        <v>45075</v>
      </c>
      <c r="X159">
        <v>0.34449999999999997</v>
      </c>
    </row>
    <row r="160" spans="2:24" x14ac:dyDescent="0.3">
      <c r="B160" s="1">
        <v>44949</v>
      </c>
      <c r="C160">
        <v>0.33829999999999999</v>
      </c>
      <c r="F160" s="1">
        <v>44949</v>
      </c>
      <c r="G160">
        <v>53.83</v>
      </c>
      <c r="K160" s="1">
        <v>45071</v>
      </c>
      <c r="L160">
        <v>4.6018999999999997</v>
      </c>
      <c r="W160" s="1">
        <v>45072</v>
      </c>
      <c r="X160">
        <v>0.35599999999999998</v>
      </c>
    </row>
    <row r="161" spans="2:24" x14ac:dyDescent="0.3">
      <c r="B161" s="1">
        <v>44946</v>
      </c>
      <c r="C161">
        <v>0.31159999999999999</v>
      </c>
      <c r="F161" s="1">
        <v>44946</v>
      </c>
      <c r="G161">
        <v>49.58</v>
      </c>
      <c r="K161" s="1">
        <v>45070</v>
      </c>
      <c r="L161">
        <v>4.6257000000000001</v>
      </c>
      <c r="W161" s="1">
        <v>45071</v>
      </c>
      <c r="X161">
        <v>0.35170000000000001</v>
      </c>
    </row>
    <row r="162" spans="2:24" x14ac:dyDescent="0.3">
      <c r="B162" s="1">
        <v>44945</v>
      </c>
      <c r="C162">
        <v>0.29859999999999998</v>
      </c>
      <c r="F162" s="1">
        <v>44945</v>
      </c>
      <c r="G162">
        <v>47.5</v>
      </c>
      <c r="K162" s="1">
        <v>45069</v>
      </c>
      <c r="L162">
        <v>4.4991000000000003</v>
      </c>
      <c r="W162" s="1">
        <v>45070</v>
      </c>
      <c r="X162">
        <v>0.35349999999999998</v>
      </c>
    </row>
    <row r="163" spans="2:24" x14ac:dyDescent="0.3">
      <c r="B163" s="1">
        <v>44944</v>
      </c>
      <c r="C163">
        <v>0.29920000000000002</v>
      </c>
      <c r="F163" s="1">
        <v>44944</v>
      </c>
      <c r="G163">
        <v>47.6</v>
      </c>
      <c r="K163" s="1">
        <v>45068</v>
      </c>
      <c r="L163">
        <v>4.3489000000000004</v>
      </c>
      <c r="W163" s="1">
        <v>45069</v>
      </c>
      <c r="X163">
        <v>0.34389999999999998</v>
      </c>
    </row>
    <row r="164" spans="2:24" x14ac:dyDescent="0.3">
      <c r="B164" s="1">
        <v>44943</v>
      </c>
      <c r="C164">
        <v>0.30149999999999999</v>
      </c>
      <c r="F164" s="1">
        <v>44943</v>
      </c>
      <c r="G164">
        <v>47.98</v>
      </c>
      <c r="K164" s="1">
        <v>45065</v>
      </c>
      <c r="L164">
        <v>4.4596</v>
      </c>
      <c r="W164" s="1">
        <v>45068</v>
      </c>
      <c r="X164">
        <v>0.33239999999999997</v>
      </c>
    </row>
    <row r="165" spans="2:24" x14ac:dyDescent="0.3">
      <c r="B165" s="1">
        <v>44939</v>
      </c>
      <c r="C165">
        <v>0.29799999999999999</v>
      </c>
      <c r="F165" s="1">
        <v>44939</v>
      </c>
      <c r="G165">
        <v>47.41</v>
      </c>
      <c r="K165" s="1">
        <v>45064</v>
      </c>
      <c r="L165">
        <v>4.5781999999999998</v>
      </c>
      <c r="W165" s="1">
        <v>45065</v>
      </c>
      <c r="X165">
        <v>0.34079999999999999</v>
      </c>
    </row>
    <row r="166" spans="2:24" x14ac:dyDescent="0.3">
      <c r="B166" s="1">
        <v>44938</v>
      </c>
      <c r="C166">
        <v>0.30330000000000001</v>
      </c>
      <c r="F166" s="1">
        <v>44938</v>
      </c>
      <c r="G166">
        <v>48.26</v>
      </c>
      <c r="K166" s="1">
        <v>45063</v>
      </c>
      <c r="L166">
        <v>4.5861000000000001</v>
      </c>
      <c r="W166" s="1">
        <v>45064</v>
      </c>
      <c r="X166">
        <v>0.34989999999999999</v>
      </c>
    </row>
    <row r="167" spans="2:24" x14ac:dyDescent="0.3">
      <c r="B167" s="1">
        <v>44937</v>
      </c>
      <c r="C167">
        <v>0.3004</v>
      </c>
      <c r="F167" s="1">
        <v>44937</v>
      </c>
      <c r="G167">
        <v>47.79</v>
      </c>
      <c r="K167" s="1">
        <v>45062</v>
      </c>
      <c r="L167">
        <v>4.5861000000000001</v>
      </c>
      <c r="W167" s="1">
        <v>45063</v>
      </c>
      <c r="X167">
        <v>0.35049999999999998</v>
      </c>
    </row>
    <row r="168" spans="2:24" x14ac:dyDescent="0.3">
      <c r="B168" s="1">
        <v>44936</v>
      </c>
      <c r="C168">
        <v>0.30270000000000002</v>
      </c>
      <c r="F168" s="1">
        <v>44936</v>
      </c>
      <c r="G168">
        <v>48.17</v>
      </c>
      <c r="K168" s="1">
        <v>45061</v>
      </c>
      <c r="L168">
        <v>4.6018999999999997</v>
      </c>
      <c r="W168" s="1">
        <v>45062</v>
      </c>
      <c r="X168">
        <v>0.35049999999999998</v>
      </c>
    </row>
    <row r="169" spans="2:24" x14ac:dyDescent="0.3">
      <c r="B169" s="1">
        <v>44935</v>
      </c>
      <c r="C169">
        <v>0.30449999999999999</v>
      </c>
      <c r="F169" s="1">
        <v>44935</v>
      </c>
      <c r="G169">
        <v>48.45</v>
      </c>
      <c r="K169" s="1">
        <v>45058</v>
      </c>
      <c r="L169">
        <v>4.681</v>
      </c>
      <c r="W169" s="1">
        <v>45061</v>
      </c>
      <c r="X169">
        <v>0.35170000000000001</v>
      </c>
    </row>
    <row r="170" spans="2:24" x14ac:dyDescent="0.3">
      <c r="B170" s="1">
        <v>44931</v>
      </c>
      <c r="C170">
        <v>0.3004</v>
      </c>
      <c r="F170" s="1">
        <v>44931</v>
      </c>
      <c r="G170">
        <v>47.79</v>
      </c>
      <c r="K170" s="1">
        <v>45057</v>
      </c>
      <c r="L170">
        <v>4.7601000000000004</v>
      </c>
      <c r="W170" s="1">
        <v>45058</v>
      </c>
      <c r="X170">
        <v>0.35780000000000001</v>
      </c>
    </row>
    <row r="171" spans="2:24" x14ac:dyDescent="0.3">
      <c r="B171" s="1">
        <v>44930</v>
      </c>
      <c r="C171">
        <v>0.30630000000000002</v>
      </c>
      <c r="F171" s="1">
        <v>44930</v>
      </c>
      <c r="G171">
        <v>48.73</v>
      </c>
      <c r="K171" s="1">
        <v>45056</v>
      </c>
      <c r="L171">
        <v>4.5071000000000003</v>
      </c>
      <c r="W171" s="1">
        <v>45057</v>
      </c>
      <c r="X171">
        <v>0.36380000000000001</v>
      </c>
    </row>
    <row r="172" spans="2:24" x14ac:dyDescent="0.3">
      <c r="B172" s="1">
        <v>44929</v>
      </c>
      <c r="C172">
        <v>0.30690000000000001</v>
      </c>
      <c r="F172" s="1">
        <v>44929</v>
      </c>
      <c r="G172">
        <v>48.83</v>
      </c>
      <c r="K172" s="1">
        <v>45055</v>
      </c>
      <c r="L172">
        <v>4.5228999999999999</v>
      </c>
      <c r="W172" s="1">
        <v>45056</v>
      </c>
      <c r="X172">
        <v>0.34449999999999997</v>
      </c>
    </row>
    <row r="173" spans="2:24" x14ac:dyDescent="0.3">
      <c r="B173" s="1">
        <v>44928</v>
      </c>
      <c r="C173">
        <v>0.2974</v>
      </c>
      <c r="F173" s="1">
        <v>44928</v>
      </c>
      <c r="G173">
        <v>47.32</v>
      </c>
      <c r="K173" s="1">
        <v>45054</v>
      </c>
      <c r="L173">
        <v>4.4596</v>
      </c>
      <c r="W173" s="1">
        <v>45055</v>
      </c>
      <c r="X173">
        <v>0.34570000000000001</v>
      </c>
    </row>
    <row r="174" spans="2:24" x14ac:dyDescent="0.3">
      <c r="B174" s="1">
        <v>44925</v>
      </c>
      <c r="C174">
        <v>0.29799999999999999</v>
      </c>
      <c r="F174" s="1">
        <v>44925</v>
      </c>
      <c r="G174">
        <v>47.41</v>
      </c>
      <c r="K174" s="1">
        <v>45050</v>
      </c>
      <c r="L174">
        <v>4.3014999999999999</v>
      </c>
      <c r="W174" s="1">
        <v>45054</v>
      </c>
      <c r="X174">
        <v>0.34079999999999999</v>
      </c>
    </row>
    <row r="175" spans="2:24" x14ac:dyDescent="0.3">
      <c r="B175" s="1">
        <v>44924</v>
      </c>
      <c r="C175">
        <v>0.31059999999999999</v>
      </c>
      <c r="F175" s="1">
        <v>44924</v>
      </c>
      <c r="G175">
        <v>47.41</v>
      </c>
      <c r="K175" s="1">
        <v>45049</v>
      </c>
      <c r="L175">
        <v>4.1908000000000003</v>
      </c>
      <c r="W175" s="1">
        <v>45050</v>
      </c>
      <c r="X175">
        <v>0.32879999999999998</v>
      </c>
    </row>
    <row r="176" spans="2:24" x14ac:dyDescent="0.3">
      <c r="B176" s="1">
        <v>44923</v>
      </c>
      <c r="C176">
        <v>0.31</v>
      </c>
      <c r="F176" s="1">
        <v>44923</v>
      </c>
      <c r="G176">
        <v>47.32</v>
      </c>
      <c r="K176" s="1">
        <v>45048</v>
      </c>
      <c r="L176">
        <v>4.2857000000000003</v>
      </c>
      <c r="W176" s="1">
        <v>45049</v>
      </c>
      <c r="X176">
        <v>0.32029999999999997</v>
      </c>
    </row>
    <row r="177" spans="2:24" x14ac:dyDescent="0.3">
      <c r="B177" s="1">
        <v>44922</v>
      </c>
      <c r="C177">
        <v>0.30940000000000001</v>
      </c>
      <c r="F177" s="1">
        <v>44922</v>
      </c>
      <c r="G177">
        <v>47.22</v>
      </c>
      <c r="K177" s="1">
        <v>45044</v>
      </c>
      <c r="L177">
        <v>4.4832999999999998</v>
      </c>
      <c r="W177" s="1">
        <v>45048</v>
      </c>
      <c r="X177">
        <v>0.32750000000000001</v>
      </c>
    </row>
    <row r="178" spans="2:24" x14ac:dyDescent="0.3">
      <c r="B178" s="1">
        <v>44918</v>
      </c>
      <c r="C178">
        <v>0.31180000000000002</v>
      </c>
      <c r="F178" s="1">
        <v>44918</v>
      </c>
      <c r="G178">
        <v>47.6</v>
      </c>
      <c r="K178" s="1">
        <v>45043</v>
      </c>
      <c r="L178">
        <v>4.5149999999999997</v>
      </c>
      <c r="W178" s="1">
        <v>45044</v>
      </c>
      <c r="X178">
        <v>0.3427</v>
      </c>
    </row>
    <row r="179" spans="2:24" x14ac:dyDescent="0.3">
      <c r="B179" s="1">
        <v>44917</v>
      </c>
      <c r="C179">
        <v>0.31</v>
      </c>
      <c r="F179" s="1">
        <v>44917</v>
      </c>
      <c r="G179">
        <v>47.32</v>
      </c>
      <c r="K179" s="1">
        <v>45042</v>
      </c>
      <c r="L179">
        <v>4.5861000000000001</v>
      </c>
      <c r="W179" s="1">
        <v>45043</v>
      </c>
      <c r="X179">
        <v>0.34510000000000002</v>
      </c>
    </row>
    <row r="180" spans="2:24" x14ac:dyDescent="0.3">
      <c r="B180" s="1">
        <v>44916</v>
      </c>
      <c r="C180">
        <v>0.30940000000000001</v>
      </c>
      <c r="F180" s="1">
        <v>44916</v>
      </c>
      <c r="G180">
        <v>47.22</v>
      </c>
      <c r="K180" s="1">
        <v>45041</v>
      </c>
      <c r="L180">
        <v>4.5781999999999998</v>
      </c>
      <c r="W180" s="1">
        <v>45042</v>
      </c>
      <c r="X180">
        <v>0.35049999999999998</v>
      </c>
    </row>
    <row r="181" spans="2:24" x14ac:dyDescent="0.3">
      <c r="B181" s="1">
        <v>44915</v>
      </c>
      <c r="C181">
        <v>0.31119999999999998</v>
      </c>
      <c r="F181" s="1">
        <v>44915</v>
      </c>
      <c r="G181">
        <v>47.5</v>
      </c>
      <c r="K181" s="1">
        <v>45040</v>
      </c>
      <c r="L181">
        <v>4.5940000000000003</v>
      </c>
      <c r="W181" s="1">
        <v>45041</v>
      </c>
      <c r="X181">
        <v>0.34989999999999999</v>
      </c>
    </row>
    <row r="182" spans="2:24" x14ac:dyDescent="0.3">
      <c r="B182" s="1">
        <v>44914</v>
      </c>
      <c r="C182">
        <v>0.31490000000000001</v>
      </c>
      <c r="F182" s="1">
        <v>44914</v>
      </c>
      <c r="G182">
        <v>48.07</v>
      </c>
      <c r="K182" s="1">
        <v>45037</v>
      </c>
      <c r="L182">
        <v>4.7363999999999997</v>
      </c>
      <c r="W182" s="1">
        <v>45040</v>
      </c>
      <c r="X182">
        <v>0.35110000000000002</v>
      </c>
    </row>
    <row r="183" spans="2:24" x14ac:dyDescent="0.3">
      <c r="B183" s="1">
        <v>44911</v>
      </c>
      <c r="C183">
        <v>0.31869999999999998</v>
      </c>
      <c r="F183" s="1">
        <v>44911</v>
      </c>
      <c r="G183">
        <v>48.64</v>
      </c>
      <c r="K183" s="1">
        <v>45036</v>
      </c>
      <c r="L183">
        <v>4.7522000000000002</v>
      </c>
      <c r="W183" s="1">
        <v>45037</v>
      </c>
      <c r="X183">
        <v>0.36199999999999999</v>
      </c>
    </row>
    <row r="184" spans="2:24" x14ac:dyDescent="0.3">
      <c r="B184" s="1">
        <v>44910</v>
      </c>
      <c r="C184">
        <v>0.31619999999999998</v>
      </c>
      <c r="F184" s="1">
        <v>44910</v>
      </c>
      <c r="G184">
        <v>48.26</v>
      </c>
      <c r="K184" s="1">
        <v>45035</v>
      </c>
      <c r="L184">
        <v>4.7679999999999998</v>
      </c>
      <c r="W184" s="1">
        <v>45036</v>
      </c>
      <c r="X184">
        <v>0.36320000000000002</v>
      </c>
    </row>
    <row r="185" spans="2:24" x14ac:dyDescent="0.3">
      <c r="B185" s="1">
        <v>44909</v>
      </c>
      <c r="C185">
        <v>0.3236</v>
      </c>
      <c r="F185" s="1">
        <v>44909</v>
      </c>
      <c r="G185">
        <v>49.39</v>
      </c>
      <c r="K185" s="1">
        <v>45034</v>
      </c>
      <c r="L185">
        <v>4.7522000000000002</v>
      </c>
      <c r="W185" s="1">
        <v>45035</v>
      </c>
      <c r="X185">
        <v>0.3644</v>
      </c>
    </row>
    <row r="186" spans="2:24" x14ac:dyDescent="0.3">
      <c r="B186" s="1">
        <v>44908</v>
      </c>
      <c r="C186">
        <v>0.32169999999999999</v>
      </c>
      <c r="F186" s="1">
        <v>44908</v>
      </c>
      <c r="G186">
        <v>49.11</v>
      </c>
      <c r="K186" s="1">
        <v>45033</v>
      </c>
      <c r="L186">
        <v>4.9814999999999996</v>
      </c>
      <c r="W186" s="1">
        <v>45034</v>
      </c>
      <c r="X186">
        <v>0.36320000000000002</v>
      </c>
    </row>
    <row r="187" spans="2:24" x14ac:dyDescent="0.3">
      <c r="B187" s="1">
        <v>44907</v>
      </c>
      <c r="C187">
        <v>0.31430000000000002</v>
      </c>
      <c r="F187" s="1">
        <v>44907</v>
      </c>
      <c r="G187">
        <v>47.98</v>
      </c>
      <c r="K187" s="1">
        <v>45028</v>
      </c>
      <c r="L187">
        <v>4.9814999999999996</v>
      </c>
      <c r="W187" s="1">
        <v>45033</v>
      </c>
      <c r="X187">
        <v>0.38069999999999998</v>
      </c>
    </row>
    <row r="188" spans="2:24" x14ac:dyDescent="0.3">
      <c r="B188" s="1">
        <v>44904</v>
      </c>
      <c r="C188">
        <v>0.3125</v>
      </c>
      <c r="F188" s="1">
        <v>44904</v>
      </c>
      <c r="G188">
        <v>47.69</v>
      </c>
      <c r="K188" s="1">
        <v>45027</v>
      </c>
      <c r="L188">
        <v>4.9814999999999996</v>
      </c>
      <c r="W188" s="1">
        <v>45028</v>
      </c>
      <c r="X188">
        <v>0.38069999999999998</v>
      </c>
    </row>
    <row r="189" spans="2:24" x14ac:dyDescent="0.3">
      <c r="B189" s="1">
        <v>44903</v>
      </c>
      <c r="C189">
        <v>0.31680000000000003</v>
      </c>
      <c r="F189" s="1">
        <v>44903</v>
      </c>
      <c r="G189">
        <v>48.35</v>
      </c>
      <c r="K189" s="1">
        <v>45026</v>
      </c>
      <c r="L189">
        <v>4.9419000000000004</v>
      </c>
      <c r="W189" s="1">
        <v>45027</v>
      </c>
      <c r="X189">
        <v>0.38069999999999998</v>
      </c>
    </row>
    <row r="190" spans="2:24" x14ac:dyDescent="0.3">
      <c r="B190" s="1">
        <v>44901</v>
      </c>
      <c r="C190">
        <v>0.3125</v>
      </c>
      <c r="F190" s="1">
        <v>44901</v>
      </c>
      <c r="G190">
        <v>47.69</v>
      </c>
      <c r="K190" s="1">
        <v>45022</v>
      </c>
      <c r="L190">
        <v>4.9103000000000003</v>
      </c>
      <c r="W190" s="1">
        <v>45026</v>
      </c>
      <c r="X190">
        <v>0.37769999999999998</v>
      </c>
    </row>
    <row r="191" spans="2:24" x14ac:dyDescent="0.3">
      <c r="B191" s="1">
        <v>44900</v>
      </c>
      <c r="C191">
        <v>0.31180000000000002</v>
      </c>
      <c r="F191" s="1">
        <v>44900</v>
      </c>
      <c r="G191">
        <v>47.6</v>
      </c>
      <c r="K191" s="1">
        <v>45020</v>
      </c>
      <c r="L191">
        <v>4.9024000000000001</v>
      </c>
      <c r="W191" s="1">
        <v>45022</v>
      </c>
      <c r="X191">
        <v>0.37530000000000002</v>
      </c>
    </row>
    <row r="192" spans="2:24" x14ac:dyDescent="0.3">
      <c r="B192" s="1">
        <v>44897</v>
      </c>
      <c r="C192">
        <v>0.31559999999999999</v>
      </c>
      <c r="F192" s="1">
        <v>44897</v>
      </c>
      <c r="G192">
        <v>48.17</v>
      </c>
      <c r="K192" s="1">
        <v>45019</v>
      </c>
      <c r="L192">
        <v>4.8311999999999999</v>
      </c>
      <c r="W192" s="1">
        <v>45020</v>
      </c>
      <c r="X192">
        <v>0.37469999999999998</v>
      </c>
    </row>
    <row r="193" spans="2:24" x14ac:dyDescent="0.3">
      <c r="B193" s="1">
        <v>44896</v>
      </c>
      <c r="C193">
        <v>0.31</v>
      </c>
      <c r="F193" s="1">
        <v>44896</v>
      </c>
      <c r="G193">
        <v>47.32</v>
      </c>
      <c r="K193" s="1">
        <v>45016</v>
      </c>
      <c r="L193">
        <v>5.0289000000000001</v>
      </c>
      <c r="W193" s="1">
        <v>45019</v>
      </c>
      <c r="X193">
        <v>0.36919999999999997</v>
      </c>
    </row>
    <row r="194" spans="2:24" x14ac:dyDescent="0.3">
      <c r="B194" s="1">
        <v>44895</v>
      </c>
      <c r="C194">
        <v>0.318</v>
      </c>
      <c r="F194" s="1">
        <v>44895</v>
      </c>
      <c r="G194">
        <v>48.54</v>
      </c>
      <c r="K194" s="1">
        <v>45015</v>
      </c>
      <c r="L194">
        <v>3.3462000000000001</v>
      </c>
      <c r="W194" s="1">
        <v>45016</v>
      </c>
      <c r="X194">
        <v>0.38440000000000002</v>
      </c>
    </row>
    <row r="195" spans="2:24" x14ac:dyDescent="0.3">
      <c r="B195" s="1">
        <v>44894</v>
      </c>
      <c r="C195">
        <v>0.31</v>
      </c>
      <c r="F195" s="1">
        <v>44894</v>
      </c>
      <c r="G195">
        <v>47.32</v>
      </c>
      <c r="K195" s="1">
        <v>45014</v>
      </c>
      <c r="L195">
        <v>3.4024000000000001</v>
      </c>
      <c r="W195" s="1">
        <v>45015</v>
      </c>
      <c r="X195">
        <v>0.38879999999999998</v>
      </c>
    </row>
    <row r="196" spans="2:24" x14ac:dyDescent="0.3">
      <c r="B196" s="1">
        <v>44893</v>
      </c>
      <c r="C196">
        <v>0.31119999999999998</v>
      </c>
      <c r="F196" s="1">
        <v>44893</v>
      </c>
      <c r="G196">
        <v>47.5</v>
      </c>
      <c r="K196" s="1">
        <v>45013</v>
      </c>
      <c r="L196">
        <v>3.3462000000000001</v>
      </c>
      <c r="W196" s="1">
        <v>45014</v>
      </c>
      <c r="X196">
        <v>0.39529999999999998</v>
      </c>
    </row>
    <row r="197" spans="2:24" x14ac:dyDescent="0.3">
      <c r="B197" s="1">
        <v>44890</v>
      </c>
      <c r="C197">
        <v>0.31180000000000002</v>
      </c>
      <c r="F197" s="1">
        <v>44890</v>
      </c>
      <c r="G197">
        <v>47.6</v>
      </c>
      <c r="K197" s="1">
        <v>45012</v>
      </c>
      <c r="L197">
        <v>3.3563999999999998</v>
      </c>
      <c r="W197" s="1">
        <v>45013</v>
      </c>
      <c r="X197">
        <v>0.38879999999999998</v>
      </c>
    </row>
    <row r="198" spans="2:24" x14ac:dyDescent="0.3">
      <c r="B198" s="1">
        <v>44889</v>
      </c>
      <c r="C198">
        <v>0.31059999999999999</v>
      </c>
      <c r="F198" s="1">
        <v>44889</v>
      </c>
      <c r="G198">
        <v>47.41</v>
      </c>
      <c r="K198" s="1">
        <v>45009</v>
      </c>
      <c r="L198">
        <v>3.3717999999999999</v>
      </c>
      <c r="W198" s="1">
        <v>45012</v>
      </c>
      <c r="X198">
        <v>0.39</v>
      </c>
    </row>
    <row r="199" spans="2:24" x14ac:dyDescent="0.3">
      <c r="B199" s="1">
        <v>44888</v>
      </c>
      <c r="C199">
        <v>0.31119999999999998</v>
      </c>
      <c r="F199" s="1">
        <v>44888</v>
      </c>
      <c r="G199">
        <v>47.5</v>
      </c>
      <c r="K199" s="1">
        <v>45008</v>
      </c>
      <c r="L199">
        <v>3.3207</v>
      </c>
      <c r="W199" s="1">
        <v>45009</v>
      </c>
      <c r="X199">
        <v>0.39179999999999998</v>
      </c>
    </row>
    <row r="200" spans="2:24" x14ac:dyDescent="0.3">
      <c r="B200" s="1">
        <v>44887</v>
      </c>
      <c r="C200">
        <v>0.30940000000000001</v>
      </c>
      <c r="F200" s="1">
        <v>44887</v>
      </c>
      <c r="G200">
        <v>47.22</v>
      </c>
      <c r="K200" s="1">
        <v>45007</v>
      </c>
      <c r="L200">
        <v>3.4432999999999998</v>
      </c>
      <c r="W200" s="1">
        <v>45008</v>
      </c>
      <c r="X200">
        <v>0.38579999999999998</v>
      </c>
    </row>
    <row r="201" spans="2:24" x14ac:dyDescent="0.3">
      <c r="B201" s="1">
        <v>44886</v>
      </c>
      <c r="C201">
        <v>0.30940000000000001</v>
      </c>
      <c r="F201" s="1">
        <v>44886</v>
      </c>
      <c r="G201">
        <v>47.22</v>
      </c>
      <c r="K201" s="1">
        <v>45006</v>
      </c>
      <c r="L201">
        <v>3.5045999999999999</v>
      </c>
      <c r="W201" s="1">
        <v>45007</v>
      </c>
      <c r="X201">
        <v>0.40010000000000001</v>
      </c>
    </row>
    <row r="202" spans="2:24" x14ac:dyDescent="0.3">
      <c r="B202" s="1">
        <v>44883</v>
      </c>
      <c r="C202">
        <v>0.30940000000000001</v>
      </c>
      <c r="F202" s="1">
        <v>44883</v>
      </c>
      <c r="G202">
        <v>47.22</v>
      </c>
      <c r="K202" s="1">
        <v>45005</v>
      </c>
      <c r="L202">
        <v>3.5249999999999999</v>
      </c>
      <c r="W202" s="1">
        <v>45006</v>
      </c>
      <c r="X202">
        <v>0.40720000000000001</v>
      </c>
    </row>
    <row r="203" spans="2:24" x14ac:dyDescent="0.3">
      <c r="B203" s="1">
        <v>44882</v>
      </c>
      <c r="C203">
        <v>0.31490000000000001</v>
      </c>
      <c r="F203" s="1">
        <v>44882</v>
      </c>
      <c r="G203">
        <v>48.07</v>
      </c>
      <c r="K203" s="1">
        <v>45002</v>
      </c>
      <c r="L203">
        <v>3.5659000000000001</v>
      </c>
      <c r="W203" s="1">
        <v>45005</v>
      </c>
      <c r="X203">
        <v>0.40960000000000002</v>
      </c>
    </row>
    <row r="204" spans="2:24" x14ac:dyDescent="0.3">
      <c r="B204" s="1">
        <v>44881</v>
      </c>
      <c r="C204">
        <v>0.30940000000000001</v>
      </c>
      <c r="F204" s="1">
        <v>44881</v>
      </c>
      <c r="G204">
        <v>47.22</v>
      </c>
      <c r="K204" s="1">
        <v>45001</v>
      </c>
      <c r="L204">
        <v>3.4535</v>
      </c>
      <c r="W204" s="1">
        <v>45002</v>
      </c>
      <c r="X204">
        <v>0.4143</v>
      </c>
    </row>
    <row r="205" spans="2:24" x14ac:dyDescent="0.3">
      <c r="B205" s="1">
        <v>44880</v>
      </c>
      <c r="C205">
        <v>0.31559999999999999</v>
      </c>
      <c r="F205" s="1">
        <v>44880</v>
      </c>
      <c r="G205">
        <v>48.17</v>
      </c>
      <c r="K205" s="1">
        <v>45000</v>
      </c>
      <c r="L205">
        <v>3.4382000000000001</v>
      </c>
      <c r="W205" s="1">
        <v>45001</v>
      </c>
      <c r="X205">
        <v>0.40129999999999999</v>
      </c>
    </row>
    <row r="206" spans="2:24" x14ac:dyDescent="0.3">
      <c r="B206" s="1">
        <v>44879</v>
      </c>
      <c r="C206">
        <v>0.31490000000000001</v>
      </c>
      <c r="F206" s="1">
        <v>44879</v>
      </c>
      <c r="G206">
        <v>48.07</v>
      </c>
      <c r="K206" s="1">
        <v>44999</v>
      </c>
      <c r="L206">
        <v>3.3973</v>
      </c>
      <c r="W206" s="1">
        <v>45000</v>
      </c>
      <c r="X206">
        <v>0.39950000000000002</v>
      </c>
    </row>
    <row r="207" spans="2:24" x14ac:dyDescent="0.3">
      <c r="B207" s="1">
        <v>44876</v>
      </c>
      <c r="C207">
        <v>0.31180000000000002</v>
      </c>
      <c r="F207" s="1">
        <v>44876</v>
      </c>
      <c r="G207">
        <v>47.6</v>
      </c>
      <c r="K207" s="1">
        <v>44998</v>
      </c>
      <c r="L207">
        <v>3.4075000000000002</v>
      </c>
      <c r="W207" s="1">
        <v>44999</v>
      </c>
      <c r="X207">
        <v>0.3947</v>
      </c>
    </row>
    <row r="208" spans="2:24" x14ac:dyDescent="0.3">
      <c r="B208" s="1">
        <v>44875</v>
      </c>
      <c r="C208">
        <v>0.30940000000000001</v>
      </c>
      <c r="F208" s="1">
        <v>44875</v>
      </c>
      <c r="G208">
        <v>47.22</v>
      </c>
      <c r="K208" s="1">
        <v>44995</v>
      </c>
      <c r="L208">
        <v>3.4228999999999998</v>
      </c>
      <c r="W208" s="1">
        <v>44998</v>
      </c>
      <c r="X208">
        <v>0.39589999999999997</v>
      </c>
    </row>
    <row r="209" spans="2:24" x14ac:dyDescent="0.3">
      <c r="B209" s="1">
        <v>44874</v>
      </c>
      <c r="C209">
        <v>0.30570000000000003</v>
      </c>
      <c r="F209" s="1">
        <v>44874</v>
      </c>
      <c r="G209">
        <v>46.65</v>
      </c>
      <c r="K209" s="1">
        <v>44994</v>
      </c>
      <c r="L209">
        <v>3.5301</v>
      </c>
      <c r="W209" s="1">
        <v>44995</v>
      </c>
      <c r="X209">
        <v>0.3977</v>
      </c>
    </row>
    <row r="210" spans="2:24" x14ac:dyDescent="0.3">
      <c r="B210" s="1">
        <v>44873</v>
      </c>
      <c r="C210">
        <v>0.30320000000000003</v>
      </c>
      <c r="F210" s="1">
        <v>44873</v>
      </c>
      <c r="G210">
        <v>46.28</v>
      </c>
      <c r="K210" s="1">
        <v>44993</v>
      </c>
      <c r="L210">
        <v>3.5811999999999999</v>
      </c>
      <c r="W210" s="1">
        <v>44994</v>
      </c>
      <c r="X210">
        <v>0.41020000000000001</v>
      </c>
    </row>
    <row r="211" spans="2:24" x14ac:dyDescent="0.3">
      <c r="B211" s="1">
        <v>44869</v>
      </c>
      <c r="C211">
        <v>0.30940000000000001</v>
      </c>
      <c r="F211" s="1">
        <v>44869</v>
      </c>
      <c r="G211">
        <v>47.22</v>
      </c>
      <c r="K211" s="1">
        <v>44992</v>
      </c>
      <c r="L211">
        <v>3.5914000000000001</v>
      </c>
      <c r="W211" s="1">
        <v>44993</v>
      </c>
      <c r="X211">
        <v>0.41610000000000003</v>
      </c>
    </row>
    <row r="212" spans="2:24" x14ac:dyDescent="0.3">
      <c r="B212" s="1">
        <v>44868</v>
      </c>
      <c r="C212">
        <v>0.30940000000000001</v>
      </c>
      <c r="F212" s="1">
        <v>44868</v>
      </c>
      <c r="G212">
        <v>47.22</v>
      </c>
      <c r="K212" s="1">
        <v>44988</v>
      </c>
      <c r="L212">
        <v>3.5249999999999999</v>
      </c>
      <c r="W212" s="1">
        <v>44992</v>
      </c>
      <c r="X212">
        <v>0.4173</v>
      </c>
    </row>
    <row r="213" spans="2:24" x14ac:dyDescent="0.3">
      <c r="B213" s="1">
        <v>44867</v>
      </c>
      <c r="C213">
        <v>0.30940000000000001</v>
      </c>
      <c r="F213" s="1">
        <v>44867</v>
      </c>
      <c r="G213">
        <v>47.22</v>
      </c>
      <c r="K213" s="1">
        <v>44987</v>
      </c>
      <c r="L213">
        <v>3.4228999999999998</v>
      </c>
      <c r="W213" s="1">
        <v>44988</v>
      </c>
      <c r="X213">
        <v>0.40960000000000002</v>
      </c>
    </row>
    <row r="214" spans="2:24" x14ac:dyDescent="0.3">
      <c r="B214" s="1">
        <v>44866</v>
      </c>
      <c r="C214">
        <v>0.30940000000000001</v>
      </c>
      <c r="F214" s="1">
        <v>44866</v>
      </c>
      <c r="G214">
        <v>47.22</v>
      </c>
      <c r="K214" s="1">
        <v>44986</v>
      </c>
      <c r="L214">
        <v>3.3207</v>
      </c>
      <c r="W214" s="1">
        <v>44987</v>
      </c>
      <c r="X214">
        <v>0.3977</v>
      </c>
    </row>
    <row r="215" spans="2:24" x14ac:dyDescent="0.3">
      <c r="B215" s="1">
        <v>44865</v>
      </c>
      <c r="C215">
        <v>0.31059999999999999</v>
      </c>
      <c r="F215" s="1">
        <v>44865</v>
      </c>
      <c r="G215">
        <v>47.41</v>
      </c>
      <c r="K215" s="1">
        <v>44985</v>
      </c>
      <c r="L215">
        <v>3.3207</v>
      </c>
      <c r="W215" s="1">
        <v>44986</v>
      </c>
      <c r="X215">
        <v>0.38579999999999998</v>
      </c>
    </row>
    <row r="216" spans="2:24" x14ac:dyDescent="0.3">
      <c r="B216" s="1">
        <v>44862</v>
      </c>
      <c r="C216">
        <v>0.31</v>
      </c>
      <c r="F216" s="1">
        <v>44862</v>
      </c>
      <c r="G216">
        <v>47.32</v>
      </c>
      <c r="K216" s="1">
        <v>44984</v>
      </c>
      <c r="L216">
        <v>3.3207</v>
      </c>
      <c r="W216" s="1">
        <v>44985</v>
      </c>
      <c r="X216">
        <v>0.38579999999999998</v>
      </c>
    </row>
    <row r="217" spans="2:24" x14ac:dyDescent="0.3">
      <c r="B217" s="1">
        <v>44861</v>
      </c>
      <c r="C217">
        <v>0.31</v>
      </c>
      <c r="F217" s="1">
        <v>44861</v>
      </c>
      <c r="G217">
        <v>47.32</v>
      </c>
      <c r="K217" s="1">
        <v>44981</v>
      </c>
      <c r="L217">
        <v>3.3769</v>
      </c>
      <c r="W217" s="1">
        <v>44984</v>
      </c>
      <c r="X217">
        <v>0.38579999999999998</v>
      </c>
    </row>
    <row r="218" spans="2:24" x14ac:dyDescent="0.3">
      <c r="B218" s="1">
        <v>44860</v>
      </c>
      <c r="C218">
        <v>0.30880000000000002</v>
      </c>
      <c r="F218" s="1">
        <v>44860</v>
      </c>
      <c r="G218">
        <v>47.13</v>
      </c>
      <c r="K218" s="1">
        <v>44980</v>
      </c>
      <c r="L218">
        <v>3.3207</v>
      </c>
      <c r="W218" s="1">
        <v>44981</v>
      </c>
      <c r="X218">
        <v>0.39240000000000003</v>
      </c>
    </row>
    <row r="219" spans="2:24" x14ac:dyDescent="0.3">
      <c r="B219" s="1">
        <v>44859</v>
      </c>
      <c r="C219">
        <v>0.30940000000000001</v>
      </c>
      <c r="F219" s="1">
        <v>44859</v>
      </c>
      <c r="G219">
        <v>47.22</v>
      </c>
      <c r="K219" s="1">
        <v>44979</v>
      </c>
      <c r="L219">
        <v>3.3003</v>
      </c>
      <c r="W219" s="1">
        <v>44980</v>
      </c>
      <c r="X219">
        <v>0.38579999999999998</v>
      </c>
    </row>
    <row r="220" spans="2:24" x14ac:dyDescent="0.3">
      <c r="B220" s="1">
        <v>44855</v>
      </c>
      <c r="C220">
        <v>0.31059999999999999</v>
      </c>
      <c r="F220" s="1">
        <v>44855</v>
      </c>
      <c r="G220">
        <v>47.41</v>
      </c>
      <c r="K220" s="1">
        <v>44978</v>
      </c>
      <c r="L220">
        <v>3.3003</v>
      </c>
      <c r="W220" s="1">
        <v>44979</v>
      </c>
      <c r="X220">
        <v>0.38350000000000001</v>
      </c>
    </row>
    <row r="221" spans="2:24" x14ac:dyDescent="0.3">
      <c r="B221" s="1">
        <v>44854</v>
      </c>
      <c r="C221">
        <v>0.30940000000000001</v>
      </c>
      <c r="F221" s="1">
        <v>44854</v>
      </c>
      <c r="G221">
        <v>47.22</v>
      </c>
      <c r="K221" s="1">
        <v>44977</v>
      </c>
      <c r="L221">
        <v>3.3359999999999999</v>
      </c>
      <c r="W221" s="1">
        <v>44978</v>
      </c>
      <c r="X221">
        <v>0.38350000000000001</v>
      </c>
    </row>
    <row r="222" spans="2:24" x14ac:dyDescent="0.3">
      <c r="B222" s="1">
        <v>44853</v>
      </c>
      <c r="C222">
        <v>0.31119999999999998</v>
      </c>
      <c r="F222" s="1">
        <v>44853</v>
      </c>
      <c r="G222">
        <v>47.5</v>
      </c>
      <c r="K222" s="1">
        <v>44974</v>
      </c>
      <c r="L222">
        <v>3.1930000000000001</v>
      </c>
      <c r="W222" s="1">
        <v>44977</v>
      </c>
      <c r="X222">
        <v>0.3876</v>
      </c>
    </row>
    <row r="223" spans="2:24" x14ac:dyDescent="0.3">
      <c r="B223" s="1">
        <v>44852</v>
      </c>
      <c r="C223">
        <v>0.30940000000000001</v>
      </c>
      <c r="F223" s="1">
        <v>44852</v>
      </c>
      <c r="G223">
        <v>47.22</v>
      </c>
      <c r="K223" s="1">
        <v>44973</v>
      </c>
      <c r="L223">
        <v>3.0806</v>
      </c>
      <c r="W223" s="1">
        <v>44974</v>
      </c>
      <c r="X223">
        <v>0.371</v>
      </c>
    </row>
    <row r="224" spans="2:24" x14ac:dyDescent="0.3">
      <c r="B224" s="1">
        <v>44851</v>
      </c>
      <c r="C224">
        <v>0.31430000000000002</v>
      </c>
      <c r="F224" s="1">
        <v>44851</v>
      </c>
      <c r="G224">
        <v>47.98</v>
      </c>
      <c r="K224" s="1">
        <v>44972</v>
      </c>
      <c r="L224">
        <v>2.9885999999999999</v>
      </c>
      <c r="W224" s="1">
        <v>44973</v>
      </c>
      <c r="X224">
        <v>0.3579</v>
      </c>
    </row>
    <row r="225" spans="2:24" x14ac:dyDescent="0.3">
      <c r="B225" s="1">
        <v>44848</v>
      </c>
      <c r="C225">
        <v>0.31559999999999999</v>
      </c>
      <c r="F225" s="1">
        <v>44848</v>
      </c>
      <c r="G225">
        <v>48.17</v>
      </c>
      <c r="K225" s="1">
        <v>44971</v>
      </c>
      <c r="L225">
        <v>2.9937</v>
      </c>
      <c r="W225" s="1">
        <v>44972</v>
      </c>
      <c r="X225">
        <v>0.34720000000000001</v>
      </c>
    </row>
    <row r="226" spans="2:24" x14ac:dyDescent="0.3">
      <c r="B226" s="1">
        <v>44847</v>
      </c>
      <c r="C226">
        <v>0.31559999999999999</v>
      </c>
      <c r="F226" s="1">
        <v>44847</v>
      </c>
      <c r="G226">
        <v>48.17</v>
      </c>
      <c r="K226" s="1">
        <v>44970</v>
      </c>
      <c r="L226">
        <v>3.0703999999999998</v>
      </c>
      <c r="W226" s="1">
        <v>44971</v>
      </c>
      <c r="X226">
        <v>0.3478</v>
      </c>
    </row>
    <row r="227" spans="2:24" x14ac:dyDescent="0.3">
      <c r="B227" s="1">
        <v>44846</v>
      </c>
      <c r="C227">
        <v>0.31559999999999999</v>
      </c>
      <c r="F227" s="1">
        <v>44846</v>
      </c>
      <c r="G227">
        <v>48.17</v>
      </c>
      <c r="K227" s="1">
        <v>44967</v>
      </c>
      <c r="L227">
        <v>3.1469999999999998</v>
      </c>
      <c r="W227" s="1">
        <v>44970</v>
      </c>
      <c r="X227">
        <v>0.35670000000000002</v>
      </c>
    </row>
    <row r="228" spans="2:24" x14ac:dyDescent="0.3">
      <c r="B228" s="1">
        <v>44845</v>
      </c>
      <c r="C228">
        <v>0.31619999999999998</v>
      </c>
      <c r="F228" s="1">
        <v>44845</v>
      </c>
      <c r="G228">
        <v>48.26</v>
      </c>
      <c r="K228" s="1">
        <v>44966</v>
      </c>
      <c r="L228">
        <v>3.1419000000000001</v>
      </c>
      <c r="W228" s="1">
        <v>44967</v>
      </c>
      <c r="X228">
        <v>0.36559999999999998</v>
      </c>
    </row>
    <row r="229" spans="2:24" x14ac:dyDescent="0.3">
      <c r="B229" s="1">
        <v>44841</v>
      </c>
      <c r="C229">
        <v>0.31309999999999999</v>
      </c>
      <c r="F229" s="1">
        <v>44841</v>
      </c>
      <c r="G229">
        <v>47.79</v>
      </c>
      <c r="K229" s="1">
        <v>44965</v>
      </c>
      <c r="L229">
        <v>3.1520999999999999</v>
      </c>
      <c r="W229" s="1">
        <v>44966</v>
      </c>
      <c r="X229">
        <v>0.36509999999999998</v>
      </c>
    </row>
    <row r="230" spans="2:24" x14ac:dyDescent="0.3">
      <c r="B230" s="1">
        <v>44840</v>
      </c>
      <c r="C230">
        <v>0.31559999999999999</v>
      </c>
      <c r="F230" s="1">
        <v>44840</v>
      </c>
      <c r="G230">
        <v>48.17</v>
      </c>
      <c r="K230" s="1">
        <v>44964</v>
      </c>
      <c r="L230">
        <v>3.1469999999999998</v>
      </c>
      <c r="W230" s="1">
        <v>44965</v>
      </c>
      <c r="X230">
        <v>0.36620000000000003</v>
      </c>
    </row>
    <row r="231" spans="2:24" x14ac:dyDescent="0.3">
      <c r="B231" s="1">
        <v>44839</v>
      </c>
      <c r="C231">
        <v>0.3236</v>
      </c>
      <c r="F231" s="1">
        <v>44839</v>
      </c>
      <c r="G231">
        <v>49.39</v>
      </c>
      <c r="K231" s="1">
        <v>44963</v>
      </c>
      <c r="L231">
        <v>3.1623000000000001</v>
      </c>
      <c r="W231" s="1">
        <v>44964</v>
      </c>
      <c r="X231">
        <v>0.36559999999999998</v>
      </c>
    </row>
    <row r="232" spans="2:24" x14ac:dyDescent="0.3">
      <c r="B232" s="1">
        <v>44838</v>
      </c>
      <c r="C232">
        <v>0.33160000000000001</v>
      </c>
      <c r="F232" s="1">
        <v>44838</v>
      </c>
      <c r="G232">
        <v>50.62</v>
      </c>
      <c r="K232" s="1">
        <v>44960</v>
      </c>
      <c r="L232">
        <v>3.2951000000000001</v>
      </c>
      <c r="W232" s="1">
        <v>44963</v>
      </c>
      <c r="X232">
        <v>0.3674</v>
      </c>
    </row>
    <row r="233" spans="2:24" x14ac:dyDescent="0.3">
      <c r="B233" s="1">
        <v>44837</v>
      </c>
      <c r="C233">
        <v>0.33779999999999999</v>
      </c>
      <c r="F233" s="1">
        <v>44837</v>
      </c>
      <c r="G233">
        <v>51.57</v>
      </c>
      <c r="K233" s="1">
        <v>44959</v>
      </c>
      <c r="L233">
        <v>3.0806</v>
      </c>
      <c r="W233" s="1">
        <v>44960</v>
      </c>
      <c r="X233">
        <v>0.38290000000000002</v>
      </c>
    </row>
    <row r="234" spans="2:24" x14ac:dyDescent="0.3">
      <c r="B234" s="1">
        <v>44834</v>
      </c>
      <c r="C234">
        <v>0.34029999999999999</v>
      </c>
      <c r="F234" s="1">
        <v>44834</v>
      </c>
      <c r="G234">
        <v>51.94</v>
      </c>
      <c r="K234" s="1">
        <v>44958</v>
      </c>
      <c r="L234">
        <v>3.0192999999999999</v>
      </c>
      <c r="W234" s="1">
        <v>44959</v>
      </c>
      <c r="X234">
        <v>0.3579</v>
      </c>
    </row>
    <row r="235" spans="2:24" x14ac:dyDescent="0.3">
      <c r="B235" s="1">
        <v>44833</v>
      </c>
      <c r="C235">
        <v>0.34499999999999997</v>
      </c>
      <c r="F235" s="1">
        <v>44833</v>
      </c>
      <c r="G235">
        <v>51.94</v>
      </c>
      <c r="K235" s="1">
        <v>44957</v>
      </c>
      <c r="L235">
        <v>2.8711000000000002</v>
      </c>
      <c r="W235" s="1">
        <v>44958</v>
      </c>
      <c r="X235">
        <v>0.3508</v>
      </c>
    </row>
    <row r="236" spans="2:24" x14ac:dyDescent="0.3">
      <c r="B236" s="1">
        <v>44832</v>
      </c>
      <c r="C236">
        <v>0.34499999999999997</v>
      </c>
      <c r="F236" s="1">
        <v>44832</v>
      </c>
      <c r="G236">
        <v>51.94</v>
      </c>
      <c r="K236" s="1">
        <v>44956</v>
      </c>
      <c r="L236">
        <v>2.8557999999999999</v>
      </c>
      <c r="W236" s="1">
        <v>44957</v>
      </c>
      <c r="X236">
        <v>0.33360000000000001</v>
      </c>
    </row>
    <row r="237" spans="2:24" x14ac:dyDescent="0.3">
      <c r="B237" s="1">
        <v>44831</v>
      </c>
      <c r="C237">
        <v>0.34250000000000003</v>
      </c>
      <c r="F237" s="1">
        <v>44831</v>
      </c>
      <c r="G237">
        <v>51.57</v>
      </c>
      <c r="K237" s="1">
        <v>44953</v>
      </c>
      <c r="L237">
        <v>2.8711000000000002</v>
      </c>
      <c r="W237" s="1">
        <v>44956</v>
      </c>
      <c r="X237">
        <v>0.33179999999999998</v>
      </c>
    </row>
    <row r="238" spans="2:24" x14ac:dyDescent="0.3">
      <c r="B238" s="1">
        <v>44830</v>
      </c>
      <c r="C238">
        <v>0.32740000000000002</v>
      </c>
      <c r="F238" s="1">
        <v>44830</v>
      </c>
      <c r="G238">
        <v>49.3</v>
      </c>
      <c r="K238" s="1">
        <v>44952</v>
      </c>
      <c r="L238">
        <v>2.8557999999999999</v>
      </c>
      <c r="W238" s="1">
        <v>44953</v>
      </c>
      <c r="X238">
        <v>0.33360000000000001</v>
      </c>
    </row>
    <row r="239" spans="2:24" x14ac:dyDescent="0.3">
      <c r="B239" s="1">
        <v>44827</v>
      </c>
      <c r="C239">
        <v>0.3387</v>
      </c>
      <c r="F239" s="1">
        <v>44827</v>
      </c>
      <c r="G239">
        <v>51</v>
      </c>
      <c r="K239" s="1">
        <v>44951</v>
      </c>
      <c r="L239">
        <v>2.8405</v>
      </c>
      <c r="W239" s="1">
        <v>44952</v>
      </c>
      <c r="X239">
        <v>0.33179999999999998</v>
      </c>
    </row>
    <row r="240" spans="2:24" x14ac:dyDescent="0.3">
      <c r="B240" s="1">
        <v>44826</v>
      </c>
      <c r="C240">
        <v>0.3412</v>
      </c>
      <c r="F240" s="1">
        <v>44826</v>
      </c>
      <c r="G240">
        <v>51.38</v>
      </c>
      <c r="K240" s="1">
        <v>44950</v>
      </c>
      <c r="L240">
        <v>2.8609</v>
      </c>
      <c r="W240" s="1">
        <v>44951</v>
      </c>
      <c r="X240">
        <v>0.33</v>
      </c>
    </row>
    <row r="241" spans="2:24" x14ac:dyDescent="0.3">
      <c r="B241" s="1">
        <v>44825</v>
      </c>
      <c r="C241">
        <v>0.34310000000000002</v>
      </c>
      <c r="F241" s="1">
        <v>44825</v>
      </c>
      <c r="G241">
        <v>51.66</v>
      </c>
      <c r="K241" s="1">
        <v>44949</v>
      </c>
      <c r="L241">
        <v>2.9119999999999999</v>
      </c>
      <c r="W241" s="1">
        <v>44950</v>
      </c>
      <c r="X241">
        <v>0.33239999999999997</v>
      </c>
    </row>
    <row r="242" spans="2:24" x14ac:dyDescent="0.3">
      <c r="B242" s="1">
        <v>44824</v>
      </c>
      <c r="C242">
        <v>0.34560000000000002</v>
      </c>
      <c r="F242" s="1">
        <v>44824</v>
      </c>
      <c r="G242">
        <v>52.04</v>
      </c>
      <c r="K242" s="1">
        <v>44946</v>
      </c>
      <c r="L242">
        <v>2.6821000000000002</v>
      </c>
      <c r="W242" s="1">
        <v>44949</v>
      </c>
      <c r="X242">
        <v>0.33829999999999999</v>
      </c>
    </row>
    <row r="243" spans="2:24" x14ac:dyDescent="0.3">
      <c r="B243" s="1">
        <v>44823</v>
      </c>
      <c r="C243">
        <v>0.35120000000000001</v>
      </c>
      <c r="F243" s="1">
        <v>44823</v>
      </c>
      <c r="G243">
        <v>52.89</v>
      </c>
      <c r="K243" s="1">
        <v>44945</v>
      </c>
      <c r="L243">
        <v>2.5697000000000001</v>
      </c>
      <c r="W243" s="1">
        <v>44946</v>
      </c>
      <c r="X243">
        <v>0.31159999999999999</v>
      </c>
    </row>
    <row r="244" spans="2:24" x14ac:dyDescent="0.3">
      <c r="B244" s="1">
        <v>44820</v>
      </c>
      <c r="C244">
        <v>0.3594</v>
      </c>
      <c r="F244" s="1">
        <v>44820</v>
      </c>
      <c r="G244">
        <v>54.12</v>
      </c>
      <c r="K244" s="1">
        <v>44944</v>
      </c>
      <c r="L244">
        <v>2.5748000000000002</v>
      </c>
      <c r="W244" s="1">
        <v>44945</v>
      </c>
      <c r="X244">
        <v>0.29859999999999998</v>
      </c>
    </row>
    <row r="245" spans="2:24" x14ac:dyDescent="0.3">
      <c r="B245" s="1">
        <v>44819</v>
      </c>
      <c r="C245">
        <v>0.3669</v>
      </c>
      <c r="F245" s="1">
        <v>44819</v>
      </c>
      <c r="G245">
        <v>55.25</v>
      </c>
      <c r="K245" s="1">
        <v>44943</v>
      </c>
      <c r="L245">
        <v>2.5952000000000002</v>
      </c>
      <c r="W245" s="1">
        <v>44944</v>
      </c>
      <c r="X245">
        <v>0.29920000000000002</v>
      </c>
    </row>
    <row r="246" spans="2:24" x14ac:dyDescent="0.3">
      <c r="B246" s="1">
        <v>44818</v>
      </c>
      <c r="C246">
        <v>0.35120000000000001</v>
      </c>
      <c r="F246" s="1">
        <v>44818</v>
      </c>
      <c r="G246">
        <v>52.89</v>
      </c>
      <c r="K246" s="1">
        <v>44939</v>
      </c>
      <c r="L246">
        <v>2.5646</v>
      </c>
      <c r="W246" s="1">
        <v>44943</v>
      </c>
      <c r="X246">
        <v>0.30149999999999999</v>
      </c>
    </row>
    <row r="247" spans="2:24" x14ac:dyDescent="0.3">
      <c r="B247" s="1">
        <v>44817</v>
      </c>
      <c r="C247">
        <v>0.33560000000000001</v>
      </c>
      <c r="F247" s="1">
        <v>44817</v>
      </c>
      <c r="G247">
        <v>50.53</v>
      </c>
      <c r="K247" s="1">
        <v>44938</v>
      </c>
      <c r="L247">
        <v>2.6105999999999998</v>
      </c>
      <c r="W247" s="1">
        <v>44939</v>
      </c>
      <c r="X247">
        <v>0.29799999999999999</v>
      </c>
    </row>
    <row r="248" spans="2:24" x14ac:dyDescent="0.3">
      <c r="B248" s="1">
        <v>44816</v>
      </c>
      <c r="C248">
        <v>0.32929999999999998</v>
      </c>
      <c r="F248" s="1">
        <v>44816</v>
      </c>
      <c r="G248">
        <v>49.58</v>
      </c>
      <c r="K248" s="1">
        <v>44937</v>
      </c>
      <c r="L248">
        <v>2.585</v>
      </c>
      <c r="W248" s="1">
        <v>44938</v>
      </c>
      <c r="X248">
        <v>0.30330000000000001</v>
      </c>
    </row>
    <row r="249" spans="2:24" x14ac:dyDescent="0.3">
      <c r="B249" s="1">
        <v>44813</v>
      </c>
      <c r="C249">
        <v>0.32619999999999999</v>
      </c>
      <c r="F249" s="1">
        <v>44813</v>
      </c>
      <c r="G249">
        <v>49.11</v>
      </c>
      <c r="K249" s="1">
        <v>44936</v>
      </c>
      <c r="L249">
        <v>2.6055000000000001</v>
      </c>
      <c r="W249" s="1">
        <v>44937</v>
      </c>
      <c r="X249">
        <v>0.3004</v>
      </c>
    </row>
    <row r="250" spans="2:24" x14ac:dyDescent="0.3">
      <c r="B250" s="1">
        <v>44812</v>
      </c>
      <c r="C250">
        <v>0.32740000000000002</v>
      </c>
      <c r="F250" s="1">
        <v>44812</v>
      </c>
      <c r="G250">
        <v>49.3</v>
      </c>
      <c r="K250" s="1">
        <v>44935</v>
      </c>
      <c r="L250">
        <v>2.6208</v>
      </c>
      <c r="W250" s="1">
        <v>44936</v>
      </c>
      <c r="X250">
        <v>0.30270000000000002</v>
      </c>
    </row>
    <row r="251" spans="2:24" x14ac:dyDescent="0.3">
      <c r="B251" s="1">
        <v>44811</v>
      </c>
      <c r="C251">
        <v>0.32490000000000002</v>
      </c>
      <c r="F251" s="1">
        <v>44811</v>
      </c>
      <c r="G251">
        <v>48.92</v>
      </c>
      <c r="K251" s="1">
        <v>44931</v>
      </c>
      <c r="L251">
        <v>2.585</v>
      </c>
      <c r="W251" s="1">
        <v>44935</v>
      </c>
      <c r="X251">
        <v>0.30449999999999999</v>
      </c>
    </row>
    <row r="252" spans="2:24" x14ac:dyDescent="0.3">
      <c r="B252" s="1">
        <v>44810</v>
      </c>
      <c r="C252">
        <v>0.32490000000000002</v>
      </c>
      <c r="F252" s="1">
        <v>44810</v>
      </c>
      <c r="G252">
        <v>48.92</v>
      </c>
      <c r="K252" s="1">
        <v>44930</v>
      </c>
      <c r="L252">
        <v>2.6360999999999999</v>
      </c>
      <c r="W252" s="1">
        <v>44931</v>
      </c>
      <c r="X252">
        <v>0.3004</v>
      </c>
    </row>
    <row r="253" spans="2:24" x14ac:dyDescent="0.3">
      <c r="B253" s="1">
        <v>44809</v>
      </c>
      <c r="C253">
        <v>0.33560000000000001</v>
      </c>
      <c r="F253" s="1">
        <v>44809</v>
      </c>
      <c r="G253">
        <v>50.53</v>
      </c>
      <c r="K253" s="1">
        <v>44929</v>
      </c>
      <c r="L253">
        <v>2.6412</v>
      </c>
      <c r="W253" s="1">
        <v>44930</v>
      </c>
      <c r="X253">
        <v>0.30630000000000002</v>
      </c>
    </row>
    <row r="254" spans="2:24" x14ac:dyDescent="0.3">
      <c r="B254" s="1">
        <v>44806</v>
      </c>
      <c r="C254">
        <v>0.33489999999999998</v>
      </c>
      <c r="F254" s="1">
        <v>44806</v>
      </c>
      <c r="G254">
        <v>50.43</v>
      </c>
      <c r="K254" s="1">
        <v>44928</v>
      </c>
      <c r="L254">
        <v>2.5594999999999999</v>
      </c>
      <c r="W254" s="1">
        <v>44929</v>
      </c>
      <c r="X254">
        <v>0.30690000000000001</v>
      </c>
    </row>
    <row r="255" spans="2:24" x14ac:dyDescent="0.3">
      <c r="B255" s="1">
        <v>44805</v>
      </c>
      <c r="C255">
        <v>0.33429999999999999</v>
      </c>
      <c r="F255" s="1">
        <v>44805</v>
      </c>
      <c r="G255">
        <v>50.34</v>
      </c>
      <c r="K255" s="1">
        <v>44925</v>
      </c>
      <c r="L255">
        <v>2.5646</v>
      </c>
      <c r="W255" s="1">
        <v>44928</v>
      </c>
      <c r="X255">
        <v>0.2974</v>
      </c>
    </row>
    <row r="256" spans="2:24" x14ac:dyDescent="0.3">
      <c r="B256" s="1">
        <v>44804</v>
      </c>
      <c r="C256">
        <v>0.32550000000000001</v>
      </c>
      <c r="F256" s="1">
        <v>44804</v>
      </c>
      <c r="G256">
        <v>49.02</v>
      </c>
      <c r="K256" s="1">
        <v>44924</v>
      </c>
      <c r="L256">
        <v>3.0051000000000001</v>
      </c>
      <c r="W256" s="1">
        <v>44925</v>
      </c>
      <c r="X256">
        <v>0.29799999999999999</v>
      </c>
    </row>
    <row r="257" spans="2:24" x14ac:dyDescent="0.3">
      <c r="B257" s="1">
        <v>44803</v>
      </c>
      <c r="C257">
        <v>0.32490000000000002</v>
      </c>
      <c r="F257" s="1">
        <v>44803</v>
      </c>
      <c r="G257">
        <v>48.92</v>
      </c>
      <c r="K257" s="1">
        <v>44923</v>
      </c>
      <c r="L257">
        <v>2.9990999999999999</v>
      </c>
      <c r="W257" s="1">
        <v>44924</v>
      </c>
      <c r="X257">
        <v>0.31059999999999999</v>
      </c>
    </row>
    <row r="258" spans="2:24" x14ac:dyDescent="0.3">
      <c r="B258" s="1">
        <v>44802</v>
      </c>
      <c r="C258">
        <v>0.32619999999999999</v>
      </c>
      <c r="F258" s="1">
        <v>44802</v>
      </c>
      <c r="G258">
        <v>49.11</v>
      </c>
      <c r="K258" s="1">
        <v>44922</v>
      </c>
      <c r="L258">
        <v>2.9931000000000001</v>
      </c>
      <c r="W258" s="1">
        <v>44923</v>
      </c>
      <c r="X258">
        <v>0.31</v>
      </c>
    </row>
    <row r="259" spans="2:24" x14ac:dyDescent="0.3">
      <c r="B259" s="1">
        <v>44799</v>
      </c>
      <c r="C259">
        <v>0.32800000000000001</v>
      </c>
      <c r="F259" s="1">
        <v>44799</v>
      </c>
      <c r="G259">
        <v>49.39</v>
      </c>
      <c r="K259" s="1">
        <v>44918</v>
      </c>
      <c r="L259">
        <v>3.0171000000000001</v>
      </c>
      <c r="W259" s="1">
        <v>44922</v>
      </c>
      <c r="X259">
        <v>0.30940000000000001</v>
      </c>
    </row>
    <row r="260" spans="2:24" x14ac:dyDescent="0.3">
      <c r="B260" s="1">
        <v>44798</v>
      </c>
      <c r="C260">
        <v>0.32550000000000001</v>
      </c>
      <c r="F260" s="1">
        <v>44798</v>
      </c>
      <c r="G260">
        <v>49.02</v>
      </c>
      <c r="K260" s="1">
        <v>44917</v>
      </c>
      <c r="L260">
        <v>2.9990999999999999</v>
      </c>
      <c r="W260" s="1">
        <v>44918</v>
      </c>
      <c r="X260">
        <v>0.31180000000000002</v>
      </c>
    </row>
    <row r="261" spans="2:24" x14ac:dyDescent="0.3">
      <c r="B261" s="1">
        <v>44797</v>
      </c>
      <c r="C261">
        <v>0.32679999999999998</v>
      </c>
      <c r="F261" s="1">
        <v>44797</v>
      </c>
      <c r="G261">
        <v>49.2</v>
      </c>
      <c r="K261" s="1">
        <v>44916</v>
      </c>
      <c r="L261">
        <v>2.9931000000000001</v>
      </c>
      <c r="W261" s="1">
        <v>44917</v>
      </c>
      <c r="X261">
        <v>0.31</v>
      </c>
    </row>
    <row r="262" spans="2:24" x14ac:dyDescent="0.3">
      <c r="B262" s="1">
        <v>44796</v>
      </c>
      <c r="C262">
        <v>0.32929999999999998</v>
      </c>
      <c r="F262" s="1">
        <v>44796</v>
      </c>
      <c r="G262">
        <v>49.58</v>
      </c>
      <c r="K262" s="1">
        <v>44915</v>
      </c>
      <c r="L262">
        <v>3.0110999999999999</v>
      </c>
      <c r="W262" s="1">
        <v>44916</v>
      </c>
      <c r="X262">
        <v>0.30940000000000001</v>
      </c>
    </row>
    <row r="263" spans="2:24" x14ac:dyDescent="0.3">
      <c r="B263" s="1">
        <v>44795</v>
      </c>
      <c r="C263">
        <v>0.3236</v>
      </c>
      <c r="F263" s="1">
        <v>44795</v>
      </c>
      <c r="G263">
        <v>48.73</v>
      </c>
      <c r="K263" s="1">
        <v>44914</v>
      </c>
      <c r="L263">
        <v>3.0470000000000002</v>
      </c>
      <c r="W263" s="1">
        <v>44915</v>
      </c>
      <c r="X263">
        <v>0.31119999999999998</v>
      </c>
    </row>
    <row r="264" spans="2:24" x14ac:dyDescent="0.3">
      <c r="B264" s="1">
        <v>44792</v>
      </c>
      <c r="C264">
        <v>0.3236</v>
      </c>
      <c r="F264" s="1">
        <v>44792</v>
      </c>
      <c r="G264">
        <v>48.73</v>
      </c>
      <c r="K264" s="1">
        <v>44911</v>
      </c>
      <c r="L264">
        <v>3.0829</v>
      </c>
      <c r="W264" s="1">
        <v>44914</v>
      </c>
      <c r="X264">
        <v>0.31490000000000001</v>
      </c>
    </row>
    <row r="265" spans="2:24" x14ac:dyDescent="0.3">
      <c r="B265" s="1">
        <v>44791</v>
      </c>
      <c r="C265">
        <v>0.3211</v>
      </c>
      <c r="F265" s="1">
        <v>44791</v>
      </c>
      <c r="G265">
        <v>48.35</v>
      </c>
      <c r="K265" s="1">
        <v>44910</v>
      </c>
      <c r="L265">
        <v>3.0590000000000002</v>
      </c>
      <c r="W265" s="1">
        <v>44911</v>
      </c>
      <c r="X265">
        <v>0.31869999999999998</v>
      </c>
    </row>
    <row r="266" spans="2:24" x14ac:dyDescent="0.3">
      <c r="B266" s="1">
        <v>44790</v>
      </c>
      <c r="C266">
        <v>0.32929999999999998</v>
      </c>
      <c r="F266" s="1">
        <v>44790</v>
      </c>
      <c r="G266">
        <v>49.58</v>
      </c>
      <c r="K266" s="1">
        <v>44909</v>
      </c>
      <c r="L266">
        <v>3.1307999999999998</v>
      </c>
      <c r="W266" s="1">
        <v>44910</v>
      </c>
      <c r="X266">
        <v>0.31619999999999998</v>
      </c>
    </row>
    <row r="267" spans="2:24" x14ac:dyDescent="0.3">
      <c r="B267" s="1">
        <v>44789</v>
      </c>
      <c r="C267">
        <v>0.33679999999999999</v>
      </c>
      <c r="F267" s="1">
        <v>44789</v>
      </c>
      <c r="G267">
        <v>50.72</v>
      </c>
      <c r="K267" s="1">
        <v>44908</v>
      </c>
      <c r="L267">
        <v>3.1128999999999998</v>
      </c>
      <c r="W267" s="1">
        <v>44909</v>
      </c>
      <c r="X267">
        <v>0.3236</v>
      </c>
    </row>
    <row r="268" spans="2:24" x14ac:dyDescent="0.3">
      <c r="B268" s="1">
        <v>44788</v>
      </c>
      <c r="C268">
        <v>0.35</v>
      </c>
      <c r="F268" s="1">
        <v>44788</v>
      </c>
      <c r="G268">
        <v>52.7</v>
      </c>
      <c r="K268" s="1">
        <v>44907</v>
      </c>
      <c r="L268">
        <v>3.0409999999999999</v>
      </c>
      <c r="W268" s="1">
        <v>44908</v>
      </c>
      <c r="X268">
        <v>0.32169999999999999</v>
      </c>
    </row>
    <row r="269" spans="2:24" x14ac:dyDescent="0.3">
      <c r="B269" s="1">
        <v>44785</v>
      </c>
      <c r="C269">
        <v>0.34370000000000001</v>
      </c>
      <c r="F269" s="1">
        <v>44785</v>
      </c>
      <c r="G269">
        <v>51.75</v>
      </c>
      <c r="K269" s="1">
        <v>44904</v>
      </c>
      <c r="L269">
        <v>3.0230999999999999</v>
      </c>
      <c r="W269" s="1">
        <v>44907</v>
      </c>
      <c r="X269">
        <v>0.31430000000000002</v>
      </c>
    </row>
    <row r="270" spans="2:24" x14ac:dyDescent="0.3">
      <c r="B270" s="1">
        <v>44783</v>
      </c>
      <c r="C270">
        <v>0.34250000000000003</v>
      </c>
      <c r="F270" s="1">
        <v>44783</v>
      </c>
      <c r="G270">
        <v>51.57</v>
      </c>
      <c r="K270" s="1">
        <v>44903</v>
      </c>
      <c r="L270">
        <v>3.0649999999999999</v>
      </c>
      <c r="W270" s="1">
        <v>44904</v>
      </c>
      <c r="X270">
        <v>0.3125</v>
      </c>
    </row>
    <row r="271" spans="2:24" x14ac:dyDescent="0.3">
      <c r="B271" s="1">
        <v>44782</v>
      </c>
      <c r="C271">
        <v>0.3387</v>
      </c>
      <c r="F271" s="1">
        <v>44782</v>
      </c>
      <c r="G271">
        <v>51</v>
      </c>
      <c r="K271" s="1">
        <v>44901</v>
      </c>
      <c r="L271">
        <v>3.0230999999999999</v>
      </c>
      <c r="W271" s="1">
        <v>44903</v>
      </c>
      <c r="X271">
        <v>0.31680000000000003</v>
      </c>
    </row>
    <row r="272" spans="2:24" x14ac:dyDescent="0.3">
      <c r="B272" s="1">
        <v>44781</v>
      </c>
      <c r="C272">
        <v>0.33239999999999997</v>
      </c>
      <c r="F272" s="1">
        <v>44781</v>
      </c>
      <c r="G272">
        <v>50.05</v>
      </c>
      <c r="K272" s="1">
        <v>44900</v>
      </c>
      <c r="L272">
        <v>3.0171000000000001</v>
      </c>
      <c r="W272" s="1">
        <v>44901</v>
      </c>
      <c r="X272">
        <v>0.3125</v>
      </c>
    </row>
    <row r="273" spans="2:24" x14ac:dyDescent="0.3">
      <c r="B273" s="1">
        <v>44778</v>
      </c>
      <c r="C273">
        <v>0.33239999999999997</v>
      </c>
      <c r="F273" s="1">
        <v>44778</v>
      </c>
      <c r="G273">
        <v>50.05</v>
      </c>
      <c r="K273" s="1">
        <v>44897</v>
      </c>
      <c r="L273">
        <v>3.0529999999999999</v>
      </c>
      <c r="W273" s="1">
        <v>44900</v>
      </c>
      <c r="X273">
        <v>0.31180000000000002</v>
      </c>
    </row>
    <row r="274" spans="2:24" x14ac:dyDescent="0.3">
      <c r="B274" s="1">
        <v>44777</v>
      </c>
      <c r="C274">
        <v>0.32929999999999998</v>
      </c>
      <c r="F274" s="1">
        <v>44777</v>
      </c>
      <c r="G274">
        <v>49.58</v>
      </c>
      <c r="K274" s="1">
        <v>44896</v>
      </c>
      <c r="L274">
        <v>2.9990999999999999</v>
      </c>
      <c r="W274" s="1">
        <v>44897</v>
      </c>
      <c r="X274">
        <v>0.31559999999999999</v>
      </c>
    </row>
    <row r="275" spans="2:24" x14ac:dyDescent="0.3">
      <c r="B275" s="1">
        <v>44776</v>
      </c>
      <c r="C275">
        <v>0.33050000000000002</v>
      </c>
      <c r="F275" s="1">
        <v>44776</v>
      </c>
      <c r="G275">
        <v>49.77</v>
      </c>
      <c r="K275" s="1">
        <v>44895</v>
      </c>
      <c r="L275">
        <v>3.077</v>
      </c>
      <c r="W275" s="1">
        <v>44896</v>
      </c>
      <c r="X275">
        <v>0.31</v>
      </c>
    </row>
    <row r="276" spans="2:24" x14ac:dyDescent="0.3">
      <c r="B276" s="1">
        <v>44775</v>
      </c>
      <c r="C276">
        <v>0.32929999999999998</v>
      </c>
      <c r="F276" s="1">
        <v>44775</v>
      </c>
      <c r="G276">
        <v>49.58</v>
      </c>
      <c r="K276" s="1">
        <v>44894</v>
      </c>
      <c r="L276">
        <v>2.9990999999999999</v>
      </c>
      <c r="W276" s="1">
        <v>44895</v>
      </c>
      <c r="X276">
        <v>0.318</v>
      </c>
    </row>
    <row r="277" spans="2:24" x14ac:dyDescent="0.3">
      <c r="B277" s="1">
        <v>44774</v>
      </c>
      <c r="C277">
        <v>0.33050000000000002</v>
      </c>
      <c r="F277" s="1">
        <v>44774</v>
      </c>
      <c r="G277">
        <v>49.77</v>
      </c>
      <c r="K277" s="1">
        <v>44893</v>
      </c>
      <c r="L277">
        <v>3.0110999999999999</v>
      </c>
      <c r="W277" s="1">
        <v>44894</v>
      </c>
      <c r="X277">
        <v>0.31</v>
      </c>
    </row>
    <row r="278" spans="2:24" x14ac:dyDescent="0.3">
      <c r="B278" s="1">
        <v>44771</v>
      </c>
      <c r="C278">
        <v>0.33050000000000002</v>
      </c>
      <c r="F278" s="1">
        <v>44771</v>
      </c>
      <c r="G278">
        <v>49.77</v>
      </c>
      <c r="K278" s="1">
        <v>44890</v>
      </c>
      <c r="L278">
        <v>3.0171000000000001</v>
      </c>
      <c r="W278" s="1">
        <v>44893</v>
      </c>
      <c r="X278">
        <v>0.31119999999999998</v>
      </c>
    </row>
    <row r="279" spans="2:24" x14ac:dyDescent="0.3">
      <c r="B279" s="1">
        <v>44770</v>
      </c>
      <c r="C279">
        <v>0.32679999999999998</v>
      </c>
      <c r="F279" s="1">
        <v>44770</v>
      </c>
      <c r="G279">
        <v>49.2</v>
      </c>
      <c r="K279" s="1">
        <v>44889</v>
      </c>
      <c r="L279">
        <v>3.0051000000000001</v>
      </c>
      <c r="W279" s="1">
        <v>44890</v>
      </c>
      <c r="X279">
        <v>0.31180000000000002</v>
      </c>
    </row>
    <row r="280" spans="2:24" x14ac:dyDescent="0.3">
      <c r="B280" s="1">
        <v>44769</v>
      </c>
      <c r="C280">
        <v>0.32619999999999999</v>
      </c>
      <c r="F280" s="1">
        <v>44769</v>
      </c>
      <c r="G280">
        <v>49.11</v>
      </c>
      <c r="K280" s="1">
        <v>44888</v>
      </c>
      <c r="L280">
        <v>3.0110999999999999</v>
      </c>
      <c r="W280" s="1">
        <v>44889</v>
      </c>
      <c r="X280">
        <v>0.31059999999999999</v>
      </c>
    </row>
    <row r="281" spans="2:24" x14ac:dyDescent="0.3">
      <c r="B281" s="1">
        <v>44768</v>
      </c>
      <c r="C281">
        <v>0.32679999999999998</v>
      </c>
      <c r="F281" s="1">
        <v>44768</v>
      </c>
      <c r="G281">
        <v>49.2</v>
      </c>
      <c r="K281" s="1">
        <v>44887</v>
      </c>
      <c r="L281">
        <v>2.9931000000000001</v>
      </c>
      <c r="W281" s="1">
        <v>44888</v>
      </c>
      <c r="X281">
        <v>0.31119999999999998</v>
      </c>
    </row>
    <row r="282" spans="2:24" x14ac:dyDescent="0.3">
      <c r="B282" s="1">
        <v>44767</v>
      </c>
      <c r="C282">
        <v>0.33239999999999997</v>
      </c>
      <c r="F282" s="1">
        <v>44767</v>
      </c>
      <c r="G282">
        <v>50.05</v>
      </c>
      <c r="K282" s="1">
        <v>44886</v>
      </c>
      <c r="L282">
        <v>2.9931000000000001</v>
      </c>
      <c r="W282" s="1">
        <v>44887</v>
      </c>
      <c r="X282">
        <v>0.30940000000000001</v>
      </c>
    </row>
    <row r="283" spans="2:24" x14ac:dyDescent="0.3">
      <c r="B283" s="1">
        <v>44764</v>
      </c>
      <c r="C283">
        <v>0.33310000000000001</v>
      </c>
      <c r="F283" s="1">
        <v>44764</v>
      </c>
      <c r="G283">
        <v>50.15</v>
      </c>
      <c r="K283" s="1">
        <v>44883</v>
      </c>
      <c r="L283">
        <v>2.9931000000000001</v>
      </c>
      <c r="W283" s="1">
        <v>44886</v>
      </c>
      <c r="X283">
        <v>0.30940000000000001</v>
      </c>
    </row>
    <row r="284" spans="2:24" x14ac:dyDescent="0.3">
      <c r="B284" s="1">
        <v>44763</v>
      </c>
      <c r="C284">
        <v>0.3387</v>
      </c>
      <c r="F284" s="1">
        <v>44763</v>
      </c>
      <c r="G284">
        <v>51</v>
      </c>
      <c r="K284" s="1">
        <v>44882</v>
      </c>
      <c r="L284">
        <v>3.0470000000000002</v>
      </c>
      <c r="W284" s="1">
        <v>44883</v>
      </c>
      <c r="X284">
        <v>0.30940000000000001</v>
      </c>
    </row>
    <row r="285" spans="2:24" x14ac:dyDescent="0.3">
      <c r="B285" s="1">
        <v>44762</v>
      </c>
      <c r="C285">
        <v>0.33810000000000001</v>
      </c>
      <c r="F285" s="1">
        <v>44762</v>
      </c>
      <c r="G285">
        <v>50.9</v>
      </c>
      <c r="K285" s="1">
        <v>44881</v>
      </c>
      <c r="L285">
        <v>2.9931000000000001</v>
      </c>
      <c r="W285" s="1">
        <v>44882</v>
      </c>
      <c r="X285">
        <v>0.31490000000000001</v>
      </c>
    </row>
    <row r="286" spans="2:24" x14ac:dyDescent="0.3">
      <c r="B286" s="1">
        <v>44761</v>
      </c>
      <c r="C286">
        <v>0.3337</v>
      </c>
      <c r="F286" s="1">
        <v>44761</v>
      </c>
      <c r="G286">
        <v>50.24</v>
      </c>
      <c r="K286" s="1">
        <v>44880</v>
      </c>
      <c r="L286">
        <v>3.0529999999999999</v>
      </c>
      <c r="W286" s="1">
        <v>44881</v>
      </c>
      <c r="X286">
        <v>0.30940000000000001</v>
      </c>
    </row>
    <row r="287" spans="2:24" x14ac:dyDescent="0.3">
      <c r="B287" s="1">
        <v>44760</v>
      </c>
      <c r="C287">
        <v>0.32550000000000001</v>
      </c>
      <c r="F287" s="1">
        <v>44760</v>
      </c>
      <c r="G287">
        <v>49.02</v>
      </c>
      <c r="K287" s="1">
        <v>44879</v>
      </c>
      <c r="L287">
        <v>3.0470000000000002</v>
      </c>
      <c r="W287" s="1">
        <v>44880</v>
      </c>
      <c r="X287">
        <v>0.31559999999999999</v>
      </c>
    </row>
    <row r="288" spans="2:24" x14ac:dyDescent="0.3">
      <c r="B288" s="1">
        <v>44757</v>
      </c>
      <c r="C288">
        <v>0.32619999999999999</v>
      </c>
      <c r="F288" s="1">
        <v>44757</v>
      </c>
      <c r="G288">
        <v>49.11</v>
      </c>
      <c r="K288" s="1">
        <v>44876</v>
      </c>
      <c r="L288">
        <v>3.0171000000000001</v>
      </c>
      <c r="W288" s="1">
        <v>44879</v>
      </c>
      <c r="X288">
        <v>0.31490000000000001</v>
      </c>
    </row>
    <row r="289" spans="2:24" x14ac:dyDescent="0.3">
      <c r="B289" s="1">
        <v>44756</v>
      </c>
      <c r="C289">
        <v>0.32300000000000001</v>
      </c>
      <c r="F289" s="1">
        <v>44756</v>
      </c>
      <c r="G289">
        <v>48.64</v>
      </c>
      <c r="K289" s="1">
        <v>44875</v>
      </c>
      <c r="L289">
        <v>2.9931000000000001</v>
      </c>
      <c r="W289" s="1">
        <v>44876</v>
      </c>
      <c r="X289">
        <v>0.31180000000000002</v>
      </c>
    </row>
    <row r="290" spans="2:24" x14ac:dyDescent="0.3">
      <c r="B290" s="1">
        <v>44754</v>
      </c>
      <c r="C290">
        <v>0.3236</v>
      </c>
      <c r="F290" s="1">
        <v>44754</v>
      </c>
      <c r="G290">
        <v>48.73</v>
      </c>
      <c r="K290" s="1">
        <v>44874</v>
      </c>
      <c r="L290">
        <v>2.9571999999999998</v>
      </c>
      <c r="W290" s="1">
        <v>44875</v>
      </c>
      <c r="X290">
        <v>0.30940000000000001</v>
      </c>
    </row>
    <row r="291" spans="2:24" x14ac:dyDescent="0.3">
      <c r="B291" s="1">
        <v>44753</v>
      </c>
      <c r="C291">
        <v>0.32619999999999999</v>
      </c>
      <c r="F291" s="1">
        <v>44753</v>
      </c>
      <c r="G291">
        <v>49.11</v>
      </c>
      <c r="K291" s="1">
        <v>44873</v>
      </c>
      <c r="L291">
        <v>2.9333</v>
      </c>
      <c r="W291" s="1">
        <v>44874</v>
      </c>
      <c r="X291">
        <v>0.30570000000000003</v>
      </c>
    </row>
    <row r="292" spans="2:24" x14ac:dyDescent="0.3">
      <c r="B292" s="1">
        <v>44750</v>
      </c>
      <c r="C292">
        <v>0.31490000000000001</v>
      </c>
      <c r="F292" s="1">
        <v>44750</v>
      </c>
      <c r="G292">
        <v>47.41</v>
      </c>
      <c r="K292" s="1">
        <v>44869</v>
      </c>
      <c r="L292">
        <v>2.9931000000000001</v>
      </c>
      <c r="W292" s="1">
        <v>44873</v>
      </c>
      <c r="X292">
        <v>0.30320000000000003</v>
      </c>
    </row>
    <row r="293" spans="2:24" x14ac:dyDescent="0.3">
      <c r="B293" s="1">
        <v>44749</v>
      </c>
      <c r="C293">
        <v>0.31359999999999999</v>
      </c>
      <c r="F293" s="1">
        <v>44749</v>
      </c>
      <c r="G293">
        <v>47.22</v>
      </c>
      <c r="K293" s="1">
        <v>44868</v>
      </c>
      <c r="L293">
        <v>2.9931000000000001</v>
      </c>
      <c r="W293" s="1">
        <v>44869</v>
      </c>
      <c r="X293">
        <v>0.30940000000000001</v>
      </c>
    </row>
    <row r="294" spans="2:24" x14ac:dyDescent="0.3">
      <c r="B294" s="1">
        <v>44748</v>
      </c>
      <c r="C294">
        <v>0.31359999999999999</v>
      </c>
      <c r="F294" s="1">
        <v>44748</v>
      </c>
      <c r="G294">
        <v>47.22</v>
      </c>
      <c r="K294" s="1">
        <v>44867</v>
      </c>
      <c r="L294">
        <v>2.9931000000000001</v>
      </c>
      <c r="W294" s="1">
        <v>44868</v>
      </c>
      <c r="X294">
        <v>0.30940000000000001</v>
      </c>
    </row>
    <row r="295" spans="2:24" x14ac:dyDescent="0.3">
      <c r="B295" s="1">
        <v>44747</v>
      </c>
      <c r="C295">
        <v>0.31359999999999999</v>
      </c>
      <c r="F295" s="1">
        <v>44747</v>
      </c>
      <c r="G295">
        <v>47.22</v>
      </c>
      <c r="K295" s="1">
        <v>44866</v>
      </c>
      <c r="L295">
        <v>2.9931000000000001</v>
      </c>
      <c r="W295" s="1">
        <v>44867</v>
      </c>
      <c r="X295">
        <v>0.30940000000000001</v>
      </c>
    </row>
    <row r="296" spans="2:24" x14ac:dyDescent="0.3">
      <c r="B296" s="1">
        <v>44746</v>
      </c>
      <c r="C296">
        <v>0.31490000000000001</v>
      </c>
      <c r="F296" s="1">
        <v>44746</v>
      </c>
      <c r="G296">
        <v>47.41</v>
      </c>
      <c r="K296" s="1">
        <v>44865</v>
      </c>
      <c r="L296">
        <v>3.0051000000000001</v>
      </c>
      <c r="W296" s="1">
        <v>44866</v>
      </c>
      <c r="X296">
        <v>0.30940000000000001</v>
      </c>
    </row>
    <row r="297" spans="2:24" x14ac:dyDescent="0.3">
      <c r="B297" s="1">
        <v>44743</v>
      </c>
      <c r="C297">
        <v>0.31669999999999998</v>
      </c>
      <c r="F297" s="1">
        <v>44743</v>
      </c>
      <c r="G297">
        <v>47.69</v>
      </c>
      <c r="K297" s="1">
        <v>44862</v>
      </c>
      <c r="L297">
        <v>2.9990999999999999</v>
      </c>
      <c r="W297" s="1">
        <v>44865</v>
      </c>
      <c r="X297">
        <v>0.31059999999999999</v>
      </c>
    </row>
    <row r="298" spans="2:24" x14ac:dyDescent="0.3">
      <c r="B298" s="1">
        <v>44742</v>
      </c>
      <c r="C298">
        <v>0.31740000000000002</v>
      </c>
      <c r="F298" s="1">
        <v>44742</v>
      </c>
      <c r="G298">
        <v>47.79</v>
      </c>
      <c r="K298" s="1">
        <v>44861</v>
      </c>
      <c r="L298">
        <v>2.9990999999999999</v>
      </c>
      <c r="W298" s="1">
        <v>44862</v>
      </c>
      <c r="X298">
        <v>0.31</v>
      </c>
    </row>
    <row r="299" spans="2:24" x14ac:dyDescent="0.3">
      <c r="B299" s="1">
        <v>44741</v>
      </c>
      <c r="C299">
        <v>0.3468</v>
      </c>
      <c r="F299" s="1">
        <v>44741</v>
      </c>
      <c r="G299">
        <v>47.41</v>
      </c>
      <c r="K299" s="1">
        <v>44860</v>
      </c>
      <c r="L299">
        <v>2.9872000000000001</v>
      </c>
      <c r="W299" s="1">
        <v>44861</v>
      </c>
      <c r="X299">
        <v>0.31</v>
      </c>
    </row>
    <row r="300" spans="2:24" x14ac:dyDescent="0.3">
      <c r="B300" s="1">
        <v>44740</v>
      </c>
      <c r="C300">
        <v>0.34610000000000002</v>
      </c>
      <c r="F300" s="1">
        <v>44740</v>
      </c>
      <c r="G300">
        <v>47.32</v>
      </c>
      <c r="K300" s="1">
        <v>44859</v>
      </c>
      <c r="L300">
        <v>2.9931000000000001</v>
      </c>
      <c r="W300" s="1">
        <v>44860</v>
      </c>
      <c r="X300">
        <v>0.30880000000000002</v>
      </c>
    </row>
    <row r="301" spans="2:24" x14ac:dyDescent="0.3">
      <c r="B301" s="1">
        <v>44739</v>
      </c>
      <c r="C301">
        <v>0.34539999999999998</v>
      </c>
      <c r="F301" s="1">
        <v>44739</v>
      </c>
      <c r="G301">
        <v>47.22</v>
      </c>
      <c r="K301" s="1">
        <v>44855</v>
      </c>
      <c r="L301">
        <v>3.0051000000000001</v>
      </c>
      <c r="W301" s="1">
        <v>44859</v>
      </c>
      <c r="X301">
        <v>0.30940000000000001</v>
      </c>
    </row>
    <row r="302" spans="2:24" x14ac:dyDescent="0.3">
      <c r="B302" s="1">
        <v>44736</v>
      </c>
      <c r="C302">
        <v>0.34749999999999998</v>
      </c>
      <c r="F302" s="1">
        <v>44736</v>
      </c>
      <c r="G302">
        <v>47.5</v>
      </c>
      <c r="K302" s="1">
        <v>44854</v>
      </c>
      <c r="L302">
        <v>2.9931000000000001</v>
      </c>
      <c r="W302" s="1">
        <v>44855</v>
      </c>
      <c r="X302">
        <v>0.31059999999999999</v>
      </c>
    </row>
    <row r="303" spans="2:24" x14ac:dyDescent="0.3">
      <c r="B303" s="1">
        <v>44735</v>
      </c>
      <c r="C303">
        <v>0.34889999999999999</v>
      </c>
      <c r="F303" s="1">
        <v>44735</v>
      </c>
      <c r="G303">
        <v>47.69</v>
      </c>
      <c r="K303" s="1">
        <v>44853</v>
      </c>
      <c r="L303">
        <v>3.0110999999999999</v>
      </c>
      <c r="W303" s="1">
        <v>44854</v>
      </c>
      <c r="X303">
        <v>0.30940000000000001</v>
      </c>
    </row>
    <row r="304" spans="2:24" x14ac:dyDescent="0.3">
      <c r="B304" s="1">
        <v>44734</v>
      </c>
      <c r="C304">
        <v>0.35160000000000002</v>
      </c>
      <c r="F304" s="1">
        <v>44734</v>
      </c>
      <c r="G304">
        <v>48.07</v>
      </c>
      <c r="K304" s="1">
        <v>44852</v>
      </c>
      <c r="L304">
        <v>2.9931000000000001</v>
      </c>
      <c r="W304" s="1">
        <v>44853</v>
      </c>
      <c r="X304">
        <v>0.31119999999999998</v>
      </c>
    </row>
    <row r="305" spans="2:24" x14ac:dyDescent="0.3">
      <c r="B305" s="1">
        <v>44733</v>
      </c>
      <c r="C305">
        <v>0.35099999999999998</v>
      </c>
      <c r="F305" s="1">
        <v>44733</v>
      </c>
      <c r="G305">
        <v>47.98</v>
      </c>
      <c r="K305" s="1">
        <v>44851</v>
      </c>
      <c r="L305">
        <v>3.0409999999999999</v>
      </c>
      <c r="W305" s="1">
        <v>44852</v>
      </c>
      <c r="X305">
        <v>0.30940000000000001</v>
      </c>
    </row>
    <row r="306" spans="2:24" x14ac:dyDescent="0.3">
      <c r="B306" s="1">
        <v>44732</v>
      </c>
      <c r="C306">
        <v>0.34749999999999998</v>
      </c>
      <c r="F306" s="1">
        <v>44732</v>
      </c>
      <c r="G306">
        <v>47.5</v>
      </c>
      <c r="K306" s="1">
        <v>44848</v>
      </c>
      <c r="L306">
        <v>3.0529999999999999</v>
      </c>
      <c r="W306" s="1">
        <v>44851</v>
      </c>
      <c r="X306">
        <v>0.31430000000000002</v>
      </c>
    </row>
    <row r="307" spans="2:24" x14ac:dyDescent="0.3">
      <c r="B307" s="1">
        <v>44729</v>
      </c>
      <c r="C307">
        <v>0.34749999999999998</v>
      </c>
      <c r="F307" s="1">
        <v>44729</v>
      </c>
      <c r="G307">
        <v>47.5</v>
      </c>
      <c r="K307" s="1">
        <v>44847</v>
      </c>
      <c r="L307">
        <v>3.0529999999999999</v>
      </c>
      <c r="W307" s="1">
        <v>44848</v>
      </c>
      <c r="X307">
        <v>0.31559999999999999</v>
      </c>
    </row>
    <row r="308" spans="2:24" x14ac:dyDescent="0.3">
      <c r="B308" s="1">
        <v>44728</v>
      </c>
      <c r="C308">
        <v>0.35099999999999998</v>
      </c>
      <c r="F308" s="1">
        <v>44728</v>
      </c>
      <c r="G308">
        <v>47.98</v>
      </c>
      <c r="K308" s="1">
        <v>44846</v>
      </c>
      <c r="L308">
        <v>3.0529999999999999</v>
      </c>
      <c r="W308" s="1">
        <v>44847</v>
      </c>
      <c r="X308">
        <v>0.31559999999999999</v>
      </c>
    </row>
    <row r="309" spans="2:24" x14ac:dyDescent="0.3">
      <c r="B309" s="1">
        <v>44727</v>
      </c>
      <c r="C309">
        <v>0.3523</v>
      </c>
      <c r="F309" s="1">
        <v>44727</v>
      </c>
      <c r="G309">
        <v>48.17</v>
      </c>
      <c r="K309" s="1">
        <v>44845</v>
      </c>
      <c r="L309">
        <v>3.0590000000000002</v>
      </c>
      <c r="W309" s="1">
        <v>44846</v>
      </c>
      <c r="X309">
        <v>0.31559999999999999</v>
      </c>
    </row>
    <row r="310" spans="2:24" x14ac:dyDescent="0.3">
      <c r="B310" s="1">
        <v>44725</v>
      </c>
      <c r="C310">
        <v>0.35580000000000001</v>
      </c>
      <c r="F310" s="1">
        <v>44725</v>
      </c>
      <c r="G310">
        <v>48.64</v>
      </c>
      <c r="K310" s="1">
        <v>44841</v>
      </c>
      <c r="L310">
        <v>3.0291000000000001</v>
      </c>
      <c r="W310" s="1">
        <v>44845</v>
      </c>
      <c r="X310">
        <v>0.31619999999999998</v>
      </c>
    </row>
    <row r="311" spans="2:24" x14ac:dyDescent="0.3">
      <c r="B311" s="1">
        <v>44722</v>
      </c>
      <c r="C311">
        <v>0.35580000000000001</v>
      </c>
      <c r="F311" s="1">
        <v>44722</v>
      </c>
      <c r="G311">
        <v>48.64</v>
      </c>
      <c r="K311" s="1">
        <v>44840</v>
      </c>
      <c r="L311">
        <v>3.0529999999999999</v>
      </c>
      <c r="W311" s="1">
        <v>44841</v>
      </c>
      <c r="X311">
        <v>0.31309999999999999</v>
      </c>
    </row>
    <row r="312" spans="2:24" x14ac:dyDescent="0.3">
      <c r="B312" s="1">
        <v>44721</v>
      </c>
      <c r="C312">
        <v>0.3599</v>
      </c>
      <c r="F312" s="1">
        <v>44721</v>
      </c>
      <c r="G312">
        <v>49.2</v>
      </c>
      <c r="K312" s="1">
        <v>44839</v>
      </c>
      <c r="L312">
        <v>3.1307999999999998</v>
      </c>
      <c r="W312" s="1">
        <v>44840</v>
      </c>
      <c r="X312">
        <v>0.31559999999999999</v>
      </c>
    </row>
    <row r="313" spans="2:24" x14ac:dyDescent="0.3">
      <c r="B313" s="1">
        <v>44720</v>
      </c>
      <c r="C313">
        <v>0.36059999999999998</v>
      </c>
      <c r="F313" s="1">
        <v>44720</v>
      </c>
      <c r="G313">
        <v>49.3</v>
      </c>
      <c r="K313" s="1">
        <v>44838</v>
      </c>
      <c r="L313">
        <v>3.2086999999999999</v>
      </c>
      <c r="W313" s="1">
        <v>44839</v>
      </c>
      <c r="X313">
        <v>0.3236</v>
      </c>
    </row>
    <row r="314" spans="2:24" x14ac:dyDescent="0.3">
      <c r="B314" s="1">
        <v>44719</v>
      </c>
      <c r="C314">
        <v>0.35920000000000002</v>
      </c>
      <c r="F314" s="1">
        <v>44719</v>
      </c>
      <c r="G314">
        <v>49.11</v>
      </c>
      <c r="K314" s="1">
        <v>44837</v>
      </c>
      <c r="L314">
        <v>3.2685</v>
      </c>
      <c r="W314" s="1">
        <v>44838</v>
      </c>
      <c r="X314">
        <v>0.33160000000000001</v>
      </c>
    </row>
    <row r="315" spans="2:24" x14ac:dyDescent="0.3">
      <c r="B315" s="1">
        <v>44718</v>
      </c>
      <c r="C315">
        <v>0.36270000000000002</v>
      </c>
      <c r="F315" s="1">
        <v>44718</v>
      </c>
      <c r="G315">
        <v>49.58</v>
      </c>
      <c r="K315" s="1">
        <v>44834</v>
      </c>
      <c r="L315">
        <v>3.2925</v>
      </c>
      <c r="W315" s="1">
        <v>44837</v>
      </c>
      <c r="X315">
        <v>0.33779999999999999</v>
      </c>
    </row>
    <row r="316" spans="2:24" x14ac:dyDescent="0.3">
      <c r="B316" s="1">
        <v>44715</v>
      </c>
      <c r="C316">
        <v>0.36409999999999998</v>
      </c>
      <c r="F316" s="1">
        <v>44715</v>
      </c>
      <c r="G316">
        <v>49.77</v>
      </c>
      <c r="K316" s="1">
        <v>44833</v>
      </c>
      <c r="L316">
        <v>3.2159</v>
      </c>
      <c r="W316" s="1">
        <v>44834</v>
      </c>
      <c r="X316">
        <v>0.34029999999999999</v>
      </c>
    </row>
    <row r="317" spans="2:24" x14ac:dyDescent="0.3">
      <c r="B317" s="1">
        <v>44714</v>
      </c>
      <c r="C317">
        <v>0.36620000000000003</v>
      </c>
      <c r="F317" s="1">
        <v>44714</v>
      </c>
      <c r="G317">
        <v>50.05</v>
      </c>
      <c r="K317" s="1">
        <v>44832</v>
      </c>
      <c r="L317">
        <v>3.2159</v>
      </c>
      <c r="W317" s="1">
        <v>44833</v>
      </c>
      <c r="X317">
        <v>0.34499999999999997</v>
      </c>
    </row>
    <row r="318" spans="2:24" x14ac:dyDescent="0.3">
      <c r="B318" s="1">
        <v>44713</v>
      </c>
      <c r="C318">
        <v>0.36749999999999999</v>
      </c>
      <c r="F318" s="1">
        <v>44713</v>
      </c>
      <c r="G318">
        <v>50.24</v>
      </c>
      <c r="K318" s="1">
        <v>44831</v>
      </c>
      <c r="L318">
        <v>3.1924999999999999</v>
      </c>
      <c r="W318" s="1">
        <v>44832</v>
      </c>
      <c r="X318">
        <v>0.34499999999999997</v>
      </c>
    </row>
    <row r="319" spans="2:24" x14ac:dyDescent="0.3">
      <c r="B319" s="1">
        <v>44712</v>
      </c>
      <c r="C319">
        <v>0.37240000000000001</v>
      </c>
      <c r="F319" s="1">
        <v>44712</v>
      </c>
      <c r="G319">
        <v>50.9</v>
      </c>
      <c r="K319" s="1">
        <v>44830</v>
      </c>
      <c r="L319">
        <v>3.0522</v>
      </c>
      <c r="W319" s="1">
        <v>44831</v>
      </c>
      <c r="X319">
        <v>0.34250000000000003</v>
      </c>
    </row>
    <row r="320" spans="2:24" x14ac:dyDescent="0.3">
      <c r="B320" s="1">
        <v>44711</v>
      </c>
      <c r="C320">
        <v>0.36270000000000002</v>
      </c>
      <c r="F320" s="1">
        <v>44711</v>
      </c>
      <c r="G320">
        <v>49.58</v>
      </c>
      <c r="K320" s="1">
        <v>44827</v>
      </c>
      <c r="L320">
        <v>3.1574</v>
      </c>
      <c r="W320" s="1">
        <v>44830</v>
      </c>
      <c r="X320">
        <v>0.32740000000000002</v>
      </c>
    </row>
    <row r="321" spans="2:24" x14ac:dyDescent="0.3">
      <c r="B321" s="1">
        <v>44708</v>
      </c>
      <c r="C321">
        <v>0.36480000000000001</v>
      </c>
      <c r="F321" s="1">
        <v>44708</v>
      </c>
      <c r="G321">
        <v>49.87</v>
      </c>
      <c r="K321" s="1">
        <v>44826</v>
      </c>
      <c r="L321">
        <v>3.1808000000000001</v>
      </c>
      <c r="W321" s="1">
        <v>44827</v>
      </c>
      <c r="X321">
        <v>0.3387</v>
      </c>
    </row>
    <row r="322" spans="2:24" x14ac:dyDescent="0.3">
      <c r="B322" s="1">
        <v>44707</v>
      </c>
      <c r="C322">
        <v>0.36620000000000003</v>
      </c>
      <c r="F322" s="1">
        <v>44707</v>
      </c>
      <c r="G322">
        <v>50.05</v>
      </c>
      <c r="K322" s="1">
        <v>44825</v>
      </c>
      <c r="L322">
        <v>3.1983000000000001</v>
      </c>
      <c r="W322" s="1">
        <v>44826</v>
      </c>
      <c r="X322">
        <v>0.3412</v>
      </c>
    </row>
    <row r="323" spans="2:24" x14ac:dyDescent="0.3">
      <c r="B323" s="1">
        <v>44706</v>
      </c>
      <c r="C323">
        <v>0.36680000000000001</v>
      </c>
      <c r="F323" s="1">
        <v>44706</v>
      </c>
      <c r="G323">
        <v>50.15</v>
      </c>
      <c r="K323" s="1">
        <v>44824</v>
      </c>
      <c r="L323">
        <v>3.2216999999999998</v>
      </c>
      <c r="W323" s="1">
        <v>44825</v>
      </c>
      <c r="X323">
        <v>0.34310000000000002</v>
      </c>
    </row>
    <row r="324" spans="2:24" x14ac:dyDescent="0.3">
      <c r="B324" s="1">
        <v>44705</v>
      </c>
      <c r="C324">
        <v>0.36820000000000003</v>
      </c>
      <c r="F324" s="1">
        <v>44705</v>
      </c>
      <c r="G324">
        <v>50.34</v>
      </c>
      <c r="K324" s="1">
        <v>44823</v>
      </c>
      <c r="L324">
        <v>3.2743000000000002</v>
      </c>
      <c r="W324" s="1">
        <v>44824</v>
      </c>
      <c r="X324">
        <v>0.34560000000000002</v>
      </c>
    </row>
    <row r="325" spans="2:24" x14ac:dyDescent="0.3">
      <c r="B325" s="1">
        <v>44704</v>
      </c>
      <c r="C325">
        <v>0.36820000000000003</v>
      </c>
      <c r="F325" s="1">
        <v>44704</v>
      </c>
      <c r="G325">
        <v>50.34</v>
      </c>
      <c r="K325" s="1">
        <v>44820</v>
      </c>
      <c r="L325">
        <v>3.3504</v>
      </c>
      <c r="W325" s="1">
        <v>44823</v>
      </c>
      <c r="X325">
        <v>0.35120000000000001</v>
      </c>
    </row>
    <row r="326" spans="2:24" x14ac:dyDescent="0.3">
      <c r="B326" s="1">
        <v>44701</v>
      </c>
      <c r="C326">
        <v>0.36959999999999998</v>
      </c>
      <c r="F326" s="1">
        <v>44701</v>
      </c>
      <c r="G326">
        <v>50.53</v>
      </c>
      <c r="K326" s="1">
        <v>44819</v>
      </c>
      <c r="L326">
        <v>3.4205000000000001</v>
      </c>
      <c r="W326" s="1">
        <v>44820</v>
      </c>
      <c r="X326">
        <v>0.3594</v>
      </c>
    </row>
    <row r="327" spans="2:24" x14ac:dyDescent="0.3">
      <c r="B327" s="1">
        <v>44700</v>
      </c>
      <c r="C327">
        <v>0.36820000000000003</v>
      </c>
      <c r="F327" s="1">
        <v>44700</v>
      </c>
      <c r="G327">
        <v>50.34</v>
      </c>
      <c r="K327" s="1">
        <v>44818</v>
      </c>
      <c r="L327">
        <v>3.2743000000000002</v>
      </c>
      <c r="W327" s="1">
        <v>44819</v>
      </c>
      <c r="X327">
        <v>0.3669</v>
      </c>
    </row>
    <row r="328" spans="2:24" x14ac:dyDescent="0.3">
      <c r="B328" s="1">
        <v>44699</v>
      </c>
      <c r="C328">
        <v>0.3765</v>
      </c>
      <c r="F328" s="1">
        <v>44699</v>
      </c>
      <c r="G328">
        <v>51.47</v>
      </c>
      <c r="K328" s="1">
        <v>44817</v>
      </c>
      <c r="L328">
        <v>3.1282000000000001</v>
      </c>
      <c r="W328" s="1">
        <v>44818</v>
      </c>
      <c r="X328">
        <v>0.35120000000000001</v>
      </c>
    </row>
    <row r="329" spans="2:24" x14ac:dyDescent="0.3">
      <c r="B329" s="1">
        <v>44698</v>
      </c>
      <c r="C329">
        <v>0.37930000000000003</v>
      </c>
      <c r="F329" s="1">
        <v>44698</v>
      </c>
      <c r="G329">
        <v>51.85</v>
      </c>
      <c r="K329" s="1">
        <v>44816</v>
      </c>
      <c r="L329">
        <v>3.0697000000000001</v>
      </c>
      <c r="W329" s="1">
        <v>44817</v>
      </c>
      <c r="X329">
        <v>0.33560000000000001</v>
      </c>
    </row>
    <row r="330" spans="2:24" x14ac:dyDescent="0.3">
      <c r="B330" s="1">
        <v>44694</v>
      </c>
      <c r="C330">
        <v>0.37309999999999999</v>
      </c>
      <c r="F330" s="1">
        <v>44694</v>
      </c>
      <c r="G330">
        <v>51</v>
      </c>
      <c r="K330" s="1">
        <v>44813</v>
      </c>
      <c r="L330">
        <v>3.0405000000000002</v>
      </c>
      <c r="W330" s="1">
        <v>44816</v>
      </c>
      <c r="X330">
        <v>0.32929999999999998</v>
      </c>
    </row>
    <row r="331" spans="2:24" x14ac:dyDescent="0.3">
      <c r="B331" s="1">
        <v>44693</v>
      </c>
      <c r="C331">
        <v>0.3579</v>
      </c>
      <c r="F331" s="1">
        <v>44693</v>
      </c>
      <c r="G331">
        <v>48.92</v>
      </c>
      <c r="K331" s="1">
        <v>44812</v>
      </c>
      <c r="L331">
        <v>3.0522</v>
      </c>
      <c r="W331" s="1">
        <v>44813</v>
      </c>
      <c r="X331">
        <v>0.32619999999999999</v>
      </c>
    </row>
    <row r="332" spans="2:24" x14ac:dyDescent="0.3">
      <c r="B332" s="1">
        <v>44690</v>
      </c>
      <c r="C332">
        <v>0.34539999999999998</v>
      </c>
      <c r="F332" s="1">
        <v>44690</v>
      </c>
      <c r="G332">
        <v>47.22</v>
      </c>
      <c r="K332" s="1">
        <v>44811</v>
      </c>
      <c r="L332">
        <v>3.0287999999999999</v>
      </c>
      <c r="W332" s="1">
        <v>44812</v>
      </c>
      <c r="X332">
        <v>0.32740000000000002</v>
      </c>
    </row>
    <row r="333" spans="2:24" x14ac:dyDescent="0.3">
      <c r="B333" s="1">
        <v>44687</v>
      </c>
      <c r="C333">
        <v>0.35580000000000001</v>
      </c>
      <c r="F333" s="1">
        <v>44687</v>
      </c>
      <c r="G333">
        <v>48.64</v>
      </c>
      <c r="K333" s="1">
        <v>44810</v>
      </c>
      <c r="L333">
        <v>3.0287999999999999</v>
      </c>
      <c r="W333" s="1">
        <v>44811</v>
      </c>
      <c r="X333">
        <v>0.32490000000000002</v>
      </c>
    </row>
    <row r="334" spans="2:24" x14ac:dyDescent="0.3">
      <c r="B334" s="1">
        <v>44686</v>
      </c>
      <c r="C334">
        <v>0.35859999999999997</v>
      </c>
      <c r="F334" s="1">
        <v>44686</v>
      </c>
      <c r="G334">
        <v>49.02</v>
      </c>
      <c r="K334" s="1">
        <v>44809</v>
      </c>
      <c r="L334">
        <v>3.1282000000000001</v>
      </c>
      <c r="W334" s="1">
        <v>44810</v>
      </c>
      <c r="X334">
        <v>0.32490000000000002</v>
      </c>
    </row>
    <row r="335" spans="2:24" x14ac:dyDescent="0.3">
      <c r="B335" s="1">
        <v>44685</v>
      </c>
      <c r="C335">
        <v>0.35649999999999998</v>
      </c>
      <c r="F335" s="1">
        <v>44685</v>
      </c>
      <c r="G335">
        <v>48.73</v>
      </c>
      <c r="K335" s="1">
        <v>44806</v>
      </c>
      <c r="L335">
        <v>3.1223000000000001</v>
      </c>
      <c r="W335" s="1">
        <v>44809</v>
      </c>
      <c r="X335">
        <v>0.33560000000000001</v>
      </c>
    </row>
    <row r="336" spans="2:24" x14ac:dyDescent="0.3">
      <c r="B336" s="1">
        <v>44680</v>
      </c>
      <c r="C336">
        <v>0.35580000000000001</v>
      </c>
      <c r="F336" s="1">
        <v>44680</v>
      </c>
      <c r="G336">
        <v>48.64</v>
      </c>
      <c r="K336" s="1">
        <v>44805</v>
      </c>
      <c r="L336">
        <v>3.1164999999999998</v>
      </c>
      <c r="W336" s="1">
        <v>44806</v>
      </c>
      <c r="X336">
        <v>0.33489999999999998</v>
      </c>
    </row>
    <row r="337" spans="2:24" x14ac:dyDescent="0.3">
      <c r="B337" s="1">
        <v>44679</v>
      </c>
      <c r="C337">
        <v>0.35920000000000002</v>
      </c>
      <c r="F337" s="1">
        <v>44679</v>
      </c>
      <c r="G337">
        <v>49.11</v>
      </c>
      <c r="K337" s="1">
        <v>44804</v>
      </c>
      <c r="L337">
        <v>3.0346000000000002</v>
      </c>
      <c r="W337" s="1">
        <v>44805</v>
      </c>
      <c r="X337">
        <v>0.33429999999999999</v>
      </c>
    </row>
    <row r="338" spans="2:24" x14ac:dyDescent="0.3">
      <c r="B338" s="1">
        <v>44678</v>
      </c>
      <c r="C338">
        <v>0.34820000000000001</v>
      </c>
      <c r="F338" s="1">
        <v>44678</v>
      </c>
      <c r="G338">
        <v>47.6</v>
      </c>
      <c r="K338" s="1">
        <v>44803</v>
      </c>
      <c r="L338">
        <v>3.0287999999999999</v>
      </c>
      <c r="W338" s="1">
        <v>44804</v>
      </c>
      <c r="X338">
        <v>0.32550000000000001</v>
      </c>
    </row>
    <row r="339" spans="2:24" x14ac:dyDescent="0.3">
      <c r="B339" s="1">
        <v>44677</v>
      </c>
      <c r="C339">
        <v>0.34539999999999998</v>
      </c>
      <c r="F339" s="1">
        <v>44677</v>
      </c>
      <c r="G339">
        <v>47.22</v>
      </c>
      <c r="K339" s="1">
        <v>44802</v>
      </c>
      <c r="L339">
        <v>3.0405000000000002</v>
      </c>
      <c r="W339" s="1">
        <v>44803</v>
      </c>
      <c r="X339">
        <v>0.32490000000000002</v>
      </c>
    </row>
    <row r="340" spans="2:24" x14ac:dyDescent="0.3">
      <c r="B340" s="1">
        <v>44676</v>
      </c>
      <c r="C340">
        <v>0.35160000000000002</v>
      </c>
      <c r="F340" s="1">
        <v>44676</v>
      </c>
      <c r="G340">
        <v>48.07</v>
      </c>
      <c r="K340" s="1">
        <v>44799</v>
      </c>
      <c r="L340">
        <v>3.0579999999999998</v>
      </c>
      <c r="W340" s="1">
        <v>44802</v>
      </c>
      <c r="X340">
        <v>0.32619999999999999</v>
      </c>
    </row>
    <row r="341" spans="2:24" x14ac:dyDescent="0.3">
      <c r="B341" s="1">
        <v>44659</v>
      </c>
      <c r="C341">
        <v>0.39589999999999997</v>
      </c>
      <c r="F341" s="1">
        <v>44659</v>
      </c>
      <c r="G341">
        <v>54.12</v>
      </c>
      <c r="K341" s="1">
        <v>44798</v>
      </c>
      <c r="L341">
        <v>3.0346000000000002</v>
      </c>
      <c r="W341" s="1">
        <v>44799</v>
      </c>
      <c r="X341">
        <v>0.32800000000000001</v>
      </c>
    </row>
    <row r="342" spans="2:24" x14ac:dyDescent="0.3">
      <c r="B342" s="1">
        <v>44658</v>
      </c>
      <c r="C342">
        <v>0.41310000000000002</v>
      </c>
      <c r="F342" s="1">
        <v>44658</v>
      </c>
      <c r="G342">
        <v>56.48</v>
      </c>
      <c r="K342" s="1">
        <v>44797</v>
      </c>
      <c r="L342">
        <v>3.0463</v>
      </c>
      <c r="W342" s="1">
        <v>44798</v>
      </c>
      <c r="X342">
        <v>0.32550000000000001</v>
      </c>
    </row>
    <row r="343" spans="2:24" x14ac:dyDescent="0.3">
      <c r="B343" s="1">
        <v>44657</v>
      </c>
      <c r="C343">
        <v>0.42209999999999998</v>
      </c>
      <c r="F343" s="1">
        <v>44657</v>
      </c>
      <c r="G343">
        <v>57.7</v>
      </c>
      <c r="K343" s="1">
        <v>44796</v>
      </c>
      <c r="L343">
        <v>3.0697000000000001</v>
      </c>
      <c r="W343" s="1">
        <v>44797</v>
      </c>
      <c r="X343">
        <v>0.32679999999999998</v>
      </c>
    </row>
    <row r="344" spans="2:24" x14ac:dyDescent="0.3">
      <c r="B344" s="1">
        <v>44656</v>
      </c>
      <c r="C344">
        <v>0.4214</v>
      </c>
      <c r="F344" s="1">
        <v>44656</v>
      </c>
      <c r="G344">
        <v>57.61</v>
      </c>
      <c r="K344" s="1">
        <v>44795</v>
      </c>
      <c r="L344">
        <v>3.0171000000000001</v>
      </c>
      <c r="W344" s="1">
        <v>44796</v>
      </c>
      <c r="X344">
        <v>0.32929999999999998</v>
      </c>
    </row>
    <row r="345" spans="2:24" x14ac:dyDescent="0.3">
      <c r="B345" s="1">
        <v>44655</v>
      </c>
      <c r="C345">
        <v>0.41449999999999998</v>
      </c>
      <c r="F345" s="1">
        <v>44655</v>
      </c>
      <c r="G345">
        <v>56.67</v>
      </c>
      <c r="K345" s="1">
        <v>44792</v>
      </c>
      <c r="L345">
        <v>3.0171000000000001</v>
      </c>
      <c r="W345" s="1">
        <v>44795</v>
      </c>
      <c r="X345">
        <v>0.3236</v>
      </c>
    </row>
    <row r="346" spans="2:24" x14ac:dyDescent="0.3">
      <c r="B346" s="1">
        <v>44652</v>
      </c>
      <c r="C346">
        <v>0.41039999999999999</v>
      </c>
      <c r="F346" s="1">
        <v>44652</v>
      </c>
      <c r="G346">
        <v>56.1</v>
      </c>
      <c r="K346" s="1">
        <v>44791</v>
      </c>
      <c r="L346">
        <v>2.9937</v>
      </c>
      <c r="W346" s="1">
        <v>44792</v>
      </c>
      <c r="X346">
        <v>0.3236</v>
      </c>
    </row>
    <row r="347" spans="2:24" x14ac:dyDescent="0.3">
      <c r="B347" s="1">
        <v>44651</v>
      </c>
      <c r="C347">
        <v>0.43319999999999997</v>
      </c>
      <c r="F347" s="1">
        <v>44651</v>
      </c>
      <c r="G347">
        <v>59.22</v>
      </c>
      <c r="K347" s="1">
        <v>44790</v>
      </c>
      <c r="L347">
        <v>3.0697000000000001</v>
      </c>
      <c r="W347" s="1">
        <v>44791</v>
      </c>
      <c r="X347">
        <v>0.3211</v>
      </c>
    </row>
    <row r="348" spans="2:24" x14ac:dyDescent="0.3">
      <c r="B348" s="1">
        <v>44650</v>
      </c>
      <c r="C348">
        <v>0.49919999999999998</v>
      </c>
      <c r="F348" s="1">
        <v>44650</v>
      </c>
      <c r="G348">
        <v>63.69</v>
      </c>
      <c r="K348" s="1">
        <v>44789</v>
      </c>
      <c r="L348">
        <v>3.1398999999999999</v>
      </c>
      <c r="W348" s="1">
        <v>44790</v>
      </c>
      <c r="X348">
        <v>0.32929999999999998</v>
      </c>
    </row>
    <row r="349" spans="2:24" x14ac:dyDescent="0.3">
      <c r="B349" s="1">
        <v>44649</v>
      </c>
      <c r="C349">
        <v>0.51480000000000004</v>
      </c>
      <c r="F349" s="1">
        <v>44649</v>
      </c>
      <c r="G349">
        <v>65.69</v>
      </c>
      <c r="K349" s="1">
        <v>44788</v>
      </c>
      <c r="L349">
        <v>3.2627000000000002</v>
      </c>
      <c r="W349" s="1">
        <v>44789</v>
      </c>
      <c r="X349">
        <v>0.33679999999999999</v>
      </c>
    </row>
    <row r="350" spans="2:24" x14ac:dyDescent="0.3">
      <c r="B350" s="1">
        <v>44648</v>
      </c>
      <c r="C350">
        <v>0.53410000000000002</v>
      </c>
      <c r="F350" s="1">
        <v>44648</v>
      </c>
      <c r="G350">
        <v>68.150000000000006</v>
      </c>
      <c r="K350" s="1">
        <v>44785</v>
      </c>
      <c r="L350">
        <v>3.2042000000000002</v>
      </c>
      <c r="W350" s="1">
        <v>44788</v>
      </c>
      <c r="X350">
        <v>0.35</v>
      </c>
    </row>
    <row r="351" spans="2:24" x14ac:dyDescent="0.3">
      <c r="B351" s="1">
        <v>44645</v>
      </c>
      <c r="C351">
        <v>0.54269999999999996</v>
      </c>
      <c r="F351" s="1">
        <v>44645</v>
      </c>
      <c r="G351">
        <v>69.239999999999995</v>
      </c>
      <c r="K351" s="1">
        <v>44783</v>
      </c>
      <c r="L351">
        <v>3.1924999999999999</v>
      </c>
      <c r="W351" s="1">
        <v>44785</v>
      </c>
      <c r="X351">
        <v>0.34370000000000001</v>
      </c>
    </row>
    <row r="352" spans="2:24" x14ac:dyDescent="0.3">
      <c r="B352" s="1">
        <v>44644</v>
      </c>
      <c r="C352">
        <v>0.54910000000000003</v>
      </c>
      <c r="F352" s="1">
        <v>44644</v>
      </c>
      <c r="G352">
        <v>70.06</v>
      </c>
      <c r="K352" s="1">
        <v>44782</v>
      </c>
      <c r="L352">
        <v>3.1574</v>
      </c>
      <c r="W352" s="1">
        <v>44783</v>
      </c>
      <c r="X352">
        <v>0.34250000000000003</v>
      </c>
    </row>
    <row r="353" spans="2:24" x14ac:dyDescent="0.3">
      <c r="B353" s="1">
        <v>44643</v>
      </c>
      <c r="C353">
        <v>0.54620000000000002</v>
      </c>
      <c r="F353" s="1">
        <v>44643</v>
      </c>
      <c r="G353">
        <v>69.69</v>
      </c>
      <c r="K353" s="1">
        <v>44781</v>
      </c>
      <c r="L353">
        <v>3.0989</v>
      </c>
      <c r="W353" s="1">
        <v>44782</v>
      </c>
      <c r="X353">
        <v>0.3387</v>
      </c>
    </row>
    <row r="354" spans="2:24" x14ac:dyDescent="0.3">
      <c r="B354" s="1">
        <v>44642</v>
      </c>
      <c r="C354">
        <v>0.54910000000000003</v>
      </c>
      <c r="F354" s="1">
        <v>44642</v>
      </c>
      <c r="G354">
        <v>70.06</v>
      </c>
      <c r="K354" s="1">
        <v>44778</v>
      </c>
      <c r="L354">
        <v>3.0989</v>
      </c>
      <c r="W354" s="1">
        <v>44781</v>
      </c>
      <c r="X354">
        <v>0.33239999999999997</v>
      </c>
    </row>
    <row r="355" spans="2:24" x14ac:dyDescent="0.3">
      <c r="B355" s="1">
        <v>44641</v>
      </c>
      <c r="C355">
        <v>0.55910000000000004</v>
      </c>
      <c r="F355" s="1">
        <v>44641</v>
      </c>
      <c r="G355">
        <v>71.33</v>
      </c>
      <c r="K355" s="1">
        <v>44777</v>
      </c>
      <c r="L355">
        <v>3.0697000000000001</v>
      </c>
      <c r="W355" s="1">
        <v>44778</v>
      </c>
      <c r="X355">
        <v>0.33239999999999997</v>
      </c>
    </row>
    <row r="356" spans="2:24" x14ac:dyDescent="0.3">
      <c r="B356" s="1">
        <v>44638</v>
      </c>
      <c r="C356">
        <v>0.55049999999999999</v>
      </c>
      <c r="F356" s="1">
        <v>44638</v>
      </c>
      <c r="G356">
        <v>70.239999999999995</v>
      </c>
      <c r="K356" s="1">
        <v>44776</v>
      </c>
      <c r="L356">
        <v>3.0813999999999999</v>
      </c>
      <c r="W356" s="1">
        <v>44777</v>
      </c>
      <c r="X356">
        <v>0.32929999999999998</v>
      </c>
    </row>
    <row r="357" spans="2:24" x14ac:dyDescent="0.3">
      <c r="B357" s="1">
        <v>44636</v>
      </c>
      <c r="C357">
        <v>0.56189999999999996</v>
      </c>
      <c r="F357" s="1">
        <v>44636</v>
      </c>
      <c r="G357">
        <v>71.69</v>
      </c>
      <c r="K357" s="1">
        <v>44775</v>
      </c>
      <c r="L357">
        <v>3.0697000000000001</v>
      </c>
      <c r="W357" s="1">
        <v>44776</v>
      </c>
      <c r="X357">
        <v>0.33050000000000002</v>
      </c>
    </row>
    <row r="358" spans="2:24" x14ac:dyDescent="0.3">
      <c r="B358" s="1">
        <v>44635</v>
      </c>
      <c r="C358">
        <v>0.55479999999999996</v>
      </c>
      <c r="F358" s="1">
        <v>44635</v>
      </c>
      <c r="G358">
        <v>70.78</v>
      </c>
      <c r="K358" s="1">
        <v>44774</v>
      </c>
      <c r="L358">
        <v>3.0813999999999999</v>
      </c>
      <c r="W358" s="1">
        <v>44775</v>
      </c>
      <c r="X358">
        <v>0.32929999999999998</v>
      </c>
    </row>
    <row r="359" spans="2:24" x14ac:dyDescent="0.3">
      <c r="B359" s="1">
        <v>44634</v>
      </c>
      <c r="C359">
        <v>0.55979999999999996</v>
      </c>
      <c r="F359" s="1">
        <v>44634</v>
      </c>
      <c r="G359">
        <v>71.42</v>
      </c>
      <c r="K359" s="1">
        <v>44771</v>
      </c>
      <c r="L359">
        <v>3.0813999999999999</v>
      </c>
      <c r="W359" s="1">
        <v>44774</v>
      </c>
      <c r="X359">
        <v>0.33050000000000002</v>
      </c>
    </row>
    <row r="360" spans="2:24" x14ac:dyDescent="0.3">
      <c r="B360" s="1">
        <v>44631</v>
      </c>
      <c r="C360">
        <v>0.56330000000000002</v>
      </c>
      <c r="F360" s="1">
        <v>44631</v>
      </c>
      <c r="G360">
        <v>71.88</v>
      </c>
      <c r="K360" s="1">
        <v>44770</v>
      </c>
      <c r="L360">
        <v>3.0463</v>
      </c>
      <c r="W360" s="1">
        <v>44771</v>
      </c>
      <c r="X360">
        <v>0.33050000000000002</v>
      </c>
    </row>
    <row r="361" spans="2:24" x14ac:dyDescent="0.3">
      <c r="B361" s="1">
        <v>44630</v>
      </c>
      <c r="C361">
        <v>0.56689999999999996</v>
      </c>
      <c r="F361" s="1">
        <v>44630</v>
      </c>
      <c r="G361">
        <v>72.33</v>
      </c>
      <c r="K361" s="1">
        <v>44769</v>
      </c>
      <c r="L361">
        <v>3.0405000000000002</v>
      </c>
      <c r="W361" s="1">
        <v>44770</v>
      </c>
      <c r="X361">
        <v>0.32679999999999998</v>
      </c>
    </row>
    <row r="362" spans="2:24" x14ac:dyDescent="0.3">
      <c r="B362" s="1">
        <v>44629</v>
      </c>
      <c r="C362">
        <v>0.55259999999999998</v>
      </c>
      <c r="F362" s="1">
        <v>44629</v>
      </c>
      <c r="G362">
        <v>70.510000000000005</v>
      </c>
      <c r="K362" s="1">
        <v>44768</v>
      </c>
      <c r="L362">
        <v>3.0463</v>
      </c>
      <c r="W362" s="1">
        <v>44769</v>
      </c>
      <c r="X362">
        <v>0.32619999999999999</v>
      </c>
    </row>
    <row r="363" spans="2:24" x14ac:dyDescent="0.3">
      <c r="B363" s="1">
        <v>44628</v>
      </c>
      <c r="C363">
        <v>0.5655</v>
      </c>
      <c r="F363" s="1">
        <v>44628</v>
      </c>
      <c r="G363">
        <v>72.150000000000006</v>
      </c>
      <c r="K363" s="1">
        <v>44767</v>
      </c>
      <c r="L363">
        <v>3.0989</v>
      </c>
      <c r="W363" s="1">
        <v>44768</v>
      </c>
      <c r="X363">
        <v>0.32679999999999998</v>
      </c>
    </row>
    <row r="364" spans="2:24" x14ac:dyDescent="0.3">
      <c r="B364" s="1">
        <v>44627</v>
      </c>
      <c r="C364">
        <v>0.57189999999999996</v>
      </c>
      <c r="F364" s="1">
        <v>44627</v>
      </c>
      <c r="G364">
        <v>72.97</v>
      </c>
      <c r="K364" s="1">
        <v>44764</v>
      </c>
      <c r="L364">
        <v>3.1048</v>
      </c>
      <c r="W364" s="1">
        <v>44767</v>
      </c>
      <c r="X364">
        <v>0.33239999999999997</v>
      </c>
    </row>
    <row r="365" spans="2:24" x14ac:dyDescent="0.3">
      <c r="B365" s="1">
        <v>44624</v>
      </c>
      <c r="C365">
        <v>0.57969999999999999</v>
      </c>
      <c r="F365" s="1">
        <v>44624</v>
      </c>
      <c r="G365">
        <v>73.97</v>
      </c>
      <c r="K365" s="1">
        <v>44763</v>
      </c>
      <c r="L365">
        <v>3.1574</v>
      </c>
      <c r="W365" s="1">
        <v>44764</v>
      </c>
      <c r="X365">
        <v>0.33310000000000001</v>
      </c>
    </row>
    <row r="366" spans="2:24" x14ac:dyDescent="0.3">
      <c r="B366" s="1">
        <v>44623</v>
      </c>
      <c r="C366">
        <v>0.57969999999999999</v>
      </c>
      <c r="F366" s="1">
        <v>44623</v>
      </c>
      <c r="G366">
        <v>73.97</v>
      </c>
      <c r="K366" s="1">
        <v>44762</v>
      </c>
      <c r="L366">
        <v>3.1516000000000002</v>
      </c>
      <c r="W366" s="1">
        <v>44763</v>
      </c>
      <c r="X366">
        <v>0.3387</v>
      </c>
    </row>
    <row r="367" spans="2:24" x14ac:dyDescent="0.3">
      <c r="B367" s="1">
        <v>44622</v>
      </c>
      <c r="C367">
        <v>0.57969999999999999</v>
      </c>
      <c r="F367" s="1">
        <v>44622</v>
      </c>
      <c r="G367">
        <v>73.97</v>
      </c>
      <c r="K367" s="1">
        <v>44761</v>
      </c>
      <c r="L367">
        <v>3.1105999999999998</v>
      </c>
      <c r="W367" s="1">
        <v>44762</v>
      </c>
      <c r="X367">
        <v>0.33810000000000001</v>
      </c>
    </row>
    <row r="368" spans="2:24" x14ac:dyDescent="0.3">
      <c r="B368" s="1">
        <v>44620</v>
      </c>
      <c r="C368">
        <v>0.58399999999999996</v>
      </c>
      <c r="F368" s="1">
        <v>44620</v>
      </c>
      <c r="G368">
        <v>74.52</v>
      </c>
      <c r="K368" s="1">
        <v>44760</v>
      </c>
      <c r="L368">
        <v>3.0346000000000002</v>
      </c>
      <c r="W368" s="1">
        <v>44761</v>
      </c>
      <c r="X368">
        <v>0.3337</v>
      </c>
    </row>
    <row r="369" spans="2:24" x14ac:dyDescent="0.3">
      <c r="B369" s="1">
        <v>44617</v>
      </c>
      <c r="C369">
        <v>0.57120000000000004</v>
      </c>
      <c r="F369" s="1">
        <v>44617</v>
      </c>
      <c r="G369">
        <v>72.88</v>
      </c>
      <c r="K369" s="1">
        <v>44757</v>
      </c>
      <c r="L369">
        <v>3.0405000000000002</v>
      </c>
      <c r="W369" s="1">
        <v>44760</v>
      </c>
      <c r="X369">
        <v>0.32550000000000001</v>
      </c>
    </row>
    <row r="370" spans="2:24" x14ac:dyDescent="0.3">
      <c r="B370" s="1">
        <v>44616</v>
      </c>
      <c r="C370">
        <v>0.56259999999999999</v>
      </c>
      <c r="F370" s="1">
        <v>44616</v>
      </c>
      <c r="G370">
        <v>71.790000000000006</v>
      </c>
      <c r="K370" s="1">
        <v>44756</v>
      </c>
      <c r="L370">
        <v>3.0112000000000001</v>
      </c>
      <c r="W370" s="1">
        <v>44757</v>
      </c>
      <c r="X370">
        <v>0.32619999999999999</v>
      </c>
    </row>
    <row r="371" spans="2:24" x14ac:dyDescent="0.3">
      <c r="B371" s="1">
        <v>44615</v>
      </c>
      <c r="C371">
        <v>0.57050000000000001</v>
      </c>
      <c r="F371" s="1">
        <v>44615</v>
      </c>
      <c r="G371">
        <v>72.790000000000006</v>
      </c>
      <c r="K371" s="1">
        <v>44754</v>
      </c>
      <c r="L371">
        <v>3.0171000000000001</v>
      </c>
      <c r="W371" s="1">
        <v>44756</v>
      </c>
      <c r="X371">
        <v>0.32300000000000001</v>
      </c>
    </row>
    <row r="372" spans="2:24" x14ac:dyDescent="0.3">
      <c r="B372" s="1">
        <v>44614</v>
      </c>
      <c r="C372">
        <v>0.5776</v>
      </c>
      <c r="F372" s="1">
        <v>44614</v>
      </c>
      <c r="G372">
        <v>73.7</v>
      </c>
      <c r="K372" s="1">
        <v>44753</v>
      </c>
      <c r="L372">
        <v>3.0405000000000002</v>
      </c>
      <c r="W372" s="1">
        <v>44754</v>
      </c>
      <c r="X372">
        <v>0.3236</v>
      </c>
    </row>
    <row r="373" spans="2:24" x14ac:dyDescent="0.3">
      <c r="B373" s="1">
        <v>44613</v>
      </c>
      <c r="C373">
        <v>0.57120000000000004</v>
      </c>
      <c r="F373" s="1">
        <v>44613</v>
      </c>
      <c r="G373">
        <v>72.88</v>
      </c>
      <c r="K373" s="1">
        <v>44750</v>
      </c>
      <c r="L373">
        <v>2.9352</v>
      </c>
      <c r="W373" s="1">
        <v>44753</v>
      </c>
      <c r="X373">
        <v>0.32619999999999999</v>
      </c>
    </row>
    <row r="374" spans="2:24" x14ac:dyDescent="0.3">
      <c r="B374" s="1">
        <v>44610</v>
      </c>
      <c r="C374">
        <v>0.58189999999999997</v>
      </c>
      <c r="F374" s="1">
        <v>44610</v>
      </c>
      <c r="G374">
        <v>74.239999999999995</v>
      </c>
      <c r="K374" s="1">
        <v>44749</v>
      </c>
      <c r="L374">
        <v>2.9235000000000002</v>
      </c>
      <c r="W374" s="1">
        <v>44750</v>
      </c>
      <c r="X374">
        <v>0.31490000000000001</v>
      </c>
    </row>
    <row r="375" spans="2:24" x14ac:dyDescent="0.3">
      <c r="B375" s="1">
        <v>44609</v>
      </c>
      <c r="C375">
        <v>0.58540000000000003</v>
      </c>
      <c r="F375" s="1">
        <v>44609</v>
      </c>
      <c r="G375">
        <v>74.7</v>
      </c>
      <c r="K375" s="1">
        <v>44748</v>
      </c>
      <c r="L375">
        <v>2.9235000000000002</v>
      </c>
      <c r="W375" s="1">
        <v>44749</v>
      </c>
      <c r="X375">
        <v>0.31359999999999999</v>
      </c>
    </row>
    <row r="376" spans="2:24" x14ac:dyDescent="0.3">
      <c r="B376" s="1">
        <v>44607</v>
      </c>
      <c r="C376">
        <v>0.57120000000000004</v>
      </c>
      <c r="F376" s="1">
        <v>44607</v>
      </c>
      <c r="G376">
        <v>72.88</v>
      </c>
      <c r="K376" s="1">
        <v>44747</v>
      </c>
      <c r="L376">
        <v>2.9235000000000002</v>
      </c>
      <c r="W376" s="1">
        <v>44748</v>
      </c>
      <c r="X376">
        <v>0.31359999999999999</v>
      </c>
    </row>
    <row r="377" spans="2:24" x14ac:dyDescent="0.3">
      <c r="B377" s="1">
        <v>44606</v>
      </c>
      <c r="C377">
        <v>0.56330000000000002</v>
      </c>
      <c r="F377" s="1">
        <v>44606</v>
      </c>
      <c r="G377">
        <v>71.88</v>
      </c>
      <c r="K377" s="1">
        <v>44746</v>
      </c>
      <c r="L377">
        <v>2.9352</v>
      </c>
      <c r="W377" s="1">
        <v>44747</v>
      </c>
      <c r="X377">
        <v>0.31359999999999999</v>
      </c>
    </row>
    <row r="378" spans="2:24" x14ac:dyDescent="0.3">
      <c r="B378" s="1">
        <v>44603</v>
      </c>
      <c r="C378">
        <v>0.56969999999999998</v>
      </c>
      <c r="F378" s="1">
        <v>44603</v>
      </c>
      <c r="G378">
        <v>72.7</v>
      </c>
      <c r="K378" s="1">
        <v>44743</v>
      </c>
      <c r="L378">
        <v>2.9527999999999999</v>
      </c>
      <c r="W378" s="1">
        <v>44746</v>
      </c>
      <c r="X378">
        <v>0.31490000000000001</v>
      </c>
    </row>
    <row r="379" spans="2:24" x14ac:dyDescent="0.3">
      <c r="B379" s="1">
        <v>44602</v>
      </c>
      <c r="C379">
        <v>0.56969999999999998</v>
      </c>
      <c r="F379" s="1">
        <v>44602</v>
      </c>
      <c r="G379">
        <v>72.7</v>
      </c>
      <c r="K379" s="1">
        <v>44742</v>
      </c>
      <c r="L379">
        <v>2.9586000000000001</v>
      </c>
      <c r="W379" s="1">
        <v>44743</v>
      </c>
      <c r="X379">
        <v>0.31669999999999998</v>
      </c>
    </row>
    <row r="380" spans="2:24" x14ac:dyDescent="0.3">
      <c r="B380" s="1">
        <v>44601</v>
      </c>
      <c r="C380">
        <v>0.56899999999999995</v>
      </c>
      <c r="F380" s="1">
        <v>44601</v>
      </c>
      <c r="G380">
        <v>72.599999999999994</v>
      </c>
      <c r="K380" s="1">
        <v>44741</v>
      </c>
      <c r="L380">
        <v>2.1133000000000002</v>
      </c>
      <c r="W380" s="1">
        <v>44742</v>
      </c>
      <c r="X380">
        <v>0.31740000000000002</v>
      </c>
    </row>
    <row r="381" spans="2:24" x14ac:dyDescent="0.3">
      <c r="B381" s="1">
        <v>44600</v>
      </c>
      <c r="C381">
        <v>0.57399999999999995</v>
      </c>
      <c r="F381" s="1">
        <v>44600</v>
      </c>
      <c r="G381">
        <v>73.239999999999995</v>
      </c>
      <c r="K381" s="1">
        <v>44740</v>
      </c>
      <c r="L381">
        <v>2.1091000000000002</v>
      </c>
      <c r="W381" s="1">
        <v>44741</v>
      </c>
      <c r="X381">
        <v>0.3468</v>
      </c>
    </row>
    <row r="382" spans="2:24" x14ac:dyDescent="0.3">
      <c r="B382" s="1">
        <v>44599</v>
      </c>
      <c r="C382">
        <v>0.57469999999999999</v>
      </c>
      <c r="F382" s="1">
        <v>44599</v>
      </c>
      <c r="G382">
        <v>73.33</v>
      </c>
      <c r="K382" s="1">
        <v>44739</v>
      </c>
      <c r="L382">
        <v>2.1049000000000002</v>
      </c>
      <c r="W382" s="1">
        <v>44740</v>
      </c>
      <c r="X382">
        <v>0.34610000000000002</v>
      </c>
    </row>
    <row r="383" spans="2:24" x14ac:dyDescent="0.3">
      <c r="B383" s="1">
        <v>44595</v>
      </c>
      <c r="C383">
        <v>0.5847</v>
      </c>
      <c r="F383" s="1">
        <v>44595</v>
      </c>
      <c r="G383">
        <v>74.61</v>
      </c>
      <c r="K383" s="1">
        <v>44736</v>
      </c>
      <c r="L383">
        <v>2.1175999999999999</v>
      </c>
      <c r="W383" s="1">
        <v>44739</v>
      </c>
      <c r="X383">
        <v>0.34539999999999998</v>
      </c>
    </row>
    <row r="384" spans="2:24" x14ac:dyDescent="0.3">
      <c r="B384" s="1">
        <v>44594</v>
      </c>
      <c r="C384">
        <v>0.5847</v>
      </c>
      <c r="F384" s="1">
        <v>44594</v>
      </c>
      <c r="G384">
        <v>74.61</v>
      </c>
      <c r="K384" s="1">
        <v>44735</v>
      </c>
      <c r="L384">
        <v>2.1259999999999999</v>
      </c>
      <c r="W384" s="1">
        <v>44736</v>
      </c>
      <c r="X384">
        <v>0.34749999999999998</v>
      </c>
    </row>
    <row r="385" spans="2:24" x14ac:dyDescent="0.3">
      <c r="B385" s="1">
        <v>44593</v>
      </c>
      <c r="C385">
        <v>0.58609999999999995</v>
      </c>
      <c r="F385" s="1">
        <v>44593</v>
      </c>
      <c r="G385">
        <v>74.790000000000006</v>
      </c>
      <c r="K385" s="1">
        <v>44734</v>
      </c>
      <c r="L385">
        <v>2.1427999999999998</v>
      </c>
      <c r="W385" s="1">
        <v>44735</v>
      </c>
      <c r="X385">
        <v>0.34889999999999999</v>
      </c>
    </row>
    <row r="386" spans="2:24" x14ac:dyDescent="0.3">
      <c r="B386" s="1">
        <v>44592</v>
      </c>
      <c r="C386">
        <v>0.58899999999999997</v>
      </c>
      <c r="F386" s="1">
        <v>44592</v>
      </c>
      <c r="G386">
        <v>75.150000000000006</v>
      </c>
      <c r="K386" s="1">
        <v>44733</v>
      </c>
      <c r="L386">
        <v>2.1385999999999998</v>
      </c>
      <c r="W386" s="1">
        <v>44734</v>
      </c>
      <c r="X386">
        <v>0.35160000000000002</v>
      </c>
    </row>
    <row r="387" spans="2:24" x14ac:dyDescent="0.3">
      <c r="B387" s="1">
        <v>44589</v>
      </c>
      <c r="C387">
        <v>0.58189999999999997</v>
      </c>
      <c r="F387" s="1">
        <v>44589</v>
      </c>
      <c r="G387">
        <v>74.239999999999995</v>
      </c>
      <c r="K387" s="1">
        <v>44732</v>
      </c>
      <c r="L387">
        <v>2.1175999999999999</v>
      </c>
      <c r="W387" s="1">
        <v>44733</v>
      </c>
      <c r="X387">
        <v>0.35099999999999998</v>
      </c>
    </row>
    <row r="388" spans="2:24" x14ac:dyDescent="0.3">
      <c r="B388" s="1">
        <v>44588</v>
      </c>
      <c r="C388">
        <v>0.58540000000000003</v>
      </c>
      <c r="F388" s="1">
        <v>44588</v>
      </c>
      <c r="G388">
        <v>74.7</v>
      </c>
      <c r="K388" s="1">
        <v>44729</v>
      </c>
      <c r="L388">
        <v>2.1175999999999999</v>
      </c>
      <c r="W388" s="1">
        <v>44732</v>
      </c>
      <c r="X388">
        <v>0.34749999999999998</v>
      </c>
    </row>
    <row r="389" spans="2:24" x14ac:dyDescent="0.3">
      <c r="B389" s="1">
        <v>44587</v>
      </c>
      <c r="C389">
        <v>0.58540000000000003</v>
      </c>
      <c r="F389" s="1">
        <v>44587</v>
      </c>
      <c r="G389">
        <v>74.7</v>
      </c>
      <c r="K389" s="1">
        <v>44728</v>
      </c>
      <c r="L389">
        <v>2.1385999999999998</v>
      </c>
      <c r="W389" s="1">
        <v>44729</v>
      </c>
      <c r="X389">
        <v>0.34749999999999998</v>
      </c>
    </row>
    <row r="390" spans="2:24" x14ac:dyDescent="0.3">
      <c r="B390" s="1">
        <v>44586</v>
      </c>
      <c r="C390">
        <v>0.59040000000000004</v>
      </c>
      <c r="F390" s="1">
        <v>44586</v>
      </c>
      <c r="G390">
        <v>75.33</v>
      </c>
      <c r="K390" s="1">
        <v>44727</v>
      </c>
      <c r="L390">
        <v>2.1469999999999998</v>
      </c>
      <c r="W390" s="1">
        <v>44728</v>
      </c>
      <c r="X390">
        <v>0.35099999999999998</v>
      </c>
    </row>
    <row r="391" spans="2:24" x14ac:dyDescent="0.3">
      <c r="B391" s="1">
        <v>44585</v>
      </c>
      <c r="C391">
        <v>0.60250000000000004</v>
      </c>
      <c r="F391" s="1">
        <v>44585</v>
      </c>
      <c r="G391">
        <v>76.88</v>
      </c>
      <c r="K391" s="1">
        <v>44725</v>
      </c>
      <c r="L391">
        <v>2.1680999999999999</v>
      </c>
      <c r="W391" s="1">
        <v>44727</v>
      </c>
      <c r="X391">
        <v>0.3523</v>
      </c>
    </row>
    <row r="392" spans="2:24" x14ac:dyDescent="0.3">
      <c r="B392" s="1">
        <v>44582</v>
      </c>
      <c r="C392">
        <v>0.59540000000000004</v>
      </c>
      <c r="F392" s="1">
        <v>44582</v>
      </c>
      <c r="G392">
        <v>75.97</v>
      </c>
      <c r="K392" s="1">
        <v>44722</v>
      </c>
      <c r="L392">
        <v>2.1680999999999999</v>
      </c>
      <c r="W392" s="1">
        <v>44725</v>
      </c>
      <c r="X392">
        <v>0.35580000000000001</v>
      </c>
    </row>
    <row r="393" spans="2:24" x14ac:dyDescent="0.3">
      <c r="B393" s="1">
        <v>44581</v>
      </c>
      <c r="C393">
        <v>0.59399999999999997</v>
      </c>
      <c r="F393" s="1">
        <v>44581</v>
      </c>
      <c r="G393">
        <v>75.790000000000006</v>
      </c>
      <c r="K393" s="1">
        <v>44721</v>
      </c>
      <c r="L393">
        <v>2.1932999999999998</v>
      </c>
      <c r="W393" s="1">
        <v>44722</v>
      </c>
      <c r="X393">
        <v>0.35580000000000001</v>
      </c>
    </row>
    <row r="394" spans="2:24" x14ac:dyDescent="0.3">
      <c r="B394" s="1">
        <v>44580</v>
      </c>
      <c r="C394">
        <v>0.59040000000000004</v>
      </c>
      <c r="F394" s="1">
        <v>44580</v>
      </c>
      <c r="G394">
        <v>75.33</v>
      </c>
      <c r="K394" s="1">
        <v>44720</v>
      </c>
      <c r="L394">
        <v>2.1974999999999998</v>
      </c>
      <c r="W394" s="1">
        <v>44721</v>
      </c>
      <c r="X394">
        <v>0.3599</v>
      </c>
    </row>
    <row r="395" spans="2:24" x14ac:dyDescent="0.3">
      <c r="B395" s="1">
        <v>44579</v>
      </c>
      <c r="C395">
        <v>0.58399999999999996</v>
      </c>
      <c r="F395" s="1">
        <v>44579</v>
      </c>
      <c r="G395">
        <v>74.52</v>
      </c>
      <c r="K395" s="1">
        <v>44719</v>
      </c>
      <c r="L395">
        <v>2.1890999999999998</v>
      </c>
      <c r="W395" s="1">
        <v>44720</v>
      </c>
      <c r="X395">
        <v>0.36059999999999998</v>
      </c>
    </row>
    <row r="396" spans="2:24" x14ac:dyDescent="0.3">
      <c r="B396" s="1">
        <v>44574</v>
      </c>
      <c r="C396">
        <v>0.58330000000000004</v>
      </c>
      <c r="F396" s="1">
        <v>44574</v>
      </c>
      <c r="G396">
        <v>74.42</v>
      </c>
      <c r="K396" s="1">
        <v>44718</v>
      </c>
      <c r="L396">
        <v>2.2101999999999999</v>
      </c>
      <c r="W396" s="1">
        <v>44719</v>
      </c>
      <c r="X396">
        <v>0.35920000000000002</v>
      </c>
    </row>
    <row r="397" spans="2:24" x14ac:dyDescent="0.3">
      <c r="B397" s="1">
        <v>44573</v>
      </c>
      <c r="C397">
        <v>0.5776</v>
      </c>
      <c r="F397" s="1">
        <v>44573</v>
      </c>
      <c r="G397">
        <v>73.7</v>
      </c>
      <c r="K397" s="1">
        <v>44715</v>
      </c>
      <c r="L397">
        <v>2.2185999999999999</v>
      </c>
      <c r="W397" s="1">
        <v>44718</v>
      </c>
      <c r="X397">
        <v>0.36270000000000002</v>
      </c>
    </row>
    <row r="398" spans="2:24" x14ac:dyDescent="0.3">
      <c r="B398" s="1">
        <v>44572</v>
      </c>
      <c r="C398">
        <v>0.58260000000000001</v>
      </c>
      <c r="F398" s="1">
        <v>44572</v>
      </c>
      <c r="G398">
        <v>74.33</v>
      </c>
      <c r="K398" s="1">
        <v>44714</v>
      </c>
      <c r="L398">
        <v>2.2311999999999999</v>
      </c>
      <c r="W398" s="1">
        <v>44715</v>
      </c>
      <c r="X398">
        <v>0.36409999999999998</v>
      </c>
    </row>
    <row r="399" spans="2:24" x14ac:dyDescent="0.3">
      <c r="B399" s="1">
        <v>44571</v>
      </c>
      <c r="C399">
        <v>0.59109999999999996</v>
      </c>
      <c r="F399" s="1">
        <v>44571</v>
      </c>
      <c r="G399">
        <v>75.42</v>
      </c>
      <c r="K399" s="1">
        <v>44713</v>
      </c>
      <c r="L399">
        <v>2.2395999999999998</v>
      </c>
      <c r="W399" s="1">
        <v>44714</v>
      </c>
      <c r="X399">
        <v>0.36620000000000003</v>
      </c>
    </row>
    <row r="400" spans="2:24" x14ac:dyDescent="0.3">
      <c r="B400" s="1">
        <v>44568</v>
      </c>
      <c r="C400">
        <v>0.56899999999999995</v>
      </c>
      <c r="F400" s="1">
        <v>44568</v>
      </c>
      <c r="G400">
        <v>72.599999999999994</v>
      </c>
      <c r="K400" s="1">
        <v>44712</v>
      </c>
      <c r="L400">
        <v>2.2690999999999999</v>
      </c>
      <c r="W400" s="1">
        <v>44713</v>
      </c>
      <c r="X400">
        <v>0.36749999999999999</v>
      </c>
    </row>
    <row r="401" spans="2:24" x14ac:dyDescent="0.3">
      <c r="B401" s="1">
        <v>44567</v>
      </c>
      <c r="C401">
        <v>0.56830000000000003</v>
      </c>
      <c r="F401" s="1">
        <v>44567</v>
      </c>
      <c r="G401">
        <v>72.510000000000005</v>
      </c>
      <c r="K401" s="1">
        <v>44711</v>
      </c>
      <c r="L401">
        <v>2.2101999999999999</v>
      </c>
      <c r="W401" s="1">
        <v>44712</v>
      </c>
      <c r="X401">
        <v>0.37240000000000001</v>
      </c>
    </row>
    <row r="402" spans="2:24" x14ac:dyDescent="0.3">
      <c r="B402" s="1">
        <v>44566</v>
      </c>
      <c r="C402">
        <v>0.56899999999999995</v>
      </c>
      <c r="F402" s="1">
        <v>44566</v>
      </c>
      <c r="G402">
        <v>72.599999999999994</v>
      </c>
      <c r="K402" s="1">
        <v>44708</v>
      </c>
      <c r="L402">
        <v>2.2227999999999999</v>
      </c>
      <c r="W402" s="1">
        <v>44711</v>
      </c>
      <c r="X402">
        <v>0.36270000000000002</v>
      </c>
    </row>
    <row r="403" spans="2:24" x14ac:dyDescent="0.3">
      <c r="B403" s="1">
        <v>44565</v>
      </c>
      <c r="C403">
        <v>0.56899999999999995</v>
      </c>
      <c r="F403" s="1">
        <v>44565</v>
      </c>
      <c r="G403">
        <v>72.599999999999994</v>
      </c>
      <c r="K403" s="1">
        <v>44707</v>
      </c>
      <c r="L403">
        <v>2.2311999999999999</v>
      </c>
      <c r="W403" s="1">
        <v>44708</v>
      </c>
      <c r="X403">
        <v>0.36480000000000001</v>
      </c>
    </row>
    <row r="404" spans="2:24" x14ac:dyDescent="0.3">
      <c r="B404" s="1">
        <v>44564</v>
      </c>
      <c r="C404">
        <v>0.57189999999999996</v>
      </c>
      <c r="F404" s="1">
        <v>44564</v>
      </c>
      <c r="G404">
        <v>72.97</v>
      </c>
      <c r="K404" s="1">
        <v>44706</v>
      </c>
      <c r="L404">
        <v>2.2353999999999998</v>
      </c>
      <c r="W404" s="1">
        <v>44707</v>
      </c>
      <c r="X404">
        <v>0.36620000000000003</v>
      </c>
    </row>
    <row r="405" spans="2:24" x14ac:dyDescent="0.3">
      <c r="B405" s="1">
        <v>44561</v>
      </c>
      <c r="C405">
        <v>0.5655</v>
      </c>
      <c r="F405" s="1">
        <v>44561</v>
      </c>
      <c r="G405">
        <v>72.150000000000006</v>
      </c>
      <c r="K405" s="1">
        <v>44705</v>
      </c>
      <c r="L405">
        <v>2.2439</v>
      </c>
      <c r="W405" s="1">
        <v>44706</v>
      </c>
      <c r="X405">
        <v>0.36680000000000001</v>
      </c>
    </row>
    <row r="406" spans="2:24" x14ac:dyDescent="0.3">
      <c r="B406" s="1">
        <v>44560</v>
      </c>
      <c r="C406">
        <v>0.57499999999999996</v>
      </c>
      <c r="F406" s="1">
        <v>44560</v>
      </c>
      <c r="G406">
        <v>72.7</v>
      </c>
      <c r="K406" s="1">
        <v>44704</v>
      </c>
      <c r="L406">
        <v>2.2439</v>
      </c>
      <c r="W406" s="1">
        <v>44705</v>
      </c>
      <c r="X406">
        <v>0.36820000000000003</v>
      </c>
    </row>
    <row r="407" spans="2:24" x14ac:dyDescent="0.3">
      <c r="B407" s="1">
        <v>44559</v>
      </c>
      <c r="C407">
        <v>0.56640000000000001</v>
      </c>
      <c r="F407" s="1">
        <v>44559</v>
      </c>
      <c r="G407">
        <v>71.599999999999994</v>
      </c>
      <c r="K407" s="1">
        <v>44701</v>
      </c>
      <c r="L407">
        <v>2.2523</v>
      </c>
      <c r="W407" s="1">
        <v>44704</v>
      </c>
      <c r="X407">
        <v>0.36820000000000003</v>
      </c>
    </row>
    <row r="408" spans="2:24" x14ac:dyDescent="0.3">
      <c r="B408" s="1">
        <v>44558</v>
      </c>
      <c r="C408">
        <v>0.56569999999999998</v>
      </c>
      <c r="F408" s="1">
        <v>44558</v>
      </c>
      <c r="G408">
        <v>71.510000000000005</v>
      </c>
      <c r="K408" s="1">
        <v>44700</v>
      </c>
      <c r="L408">
        <v>2.2439</v>
      </c>
      <c r="W408" s="1">
        <v>44701</v>
      </c>
      <c r="X408">
        <v>0.36959999999999998</v>
      </c>
    </row>
    <row r="409" spans="2:24" x14ac:dyDescent="0.3">
      <c r="B409" s="1">
        <v>44557</v>
      </c>
      <c r="C409">
        <v>0.55769999999999997</v>
      </c>
      <c r="F409" s="1">
        <v>44557</v>
      </c>
      <c r="G409">
        <v>70.510000000000005</v>
      </c>
      <c r="K409" s="1">
        <v>44699</v>
      </c>
      <c r="L409">
        <v>2.2944</v>
      </c>
      <c r="W409" s="1">
        <v>44700</v>
      </c>
      <c r="X409">
        <v>0.36820000000000003</v>
      </c>
    </row>
    <row r="410" spans="2:24" x14ac:dyDescent="0.3">
      <c r="B410" s="1">
        <v>44554</v>
      </c>
      <c r="C410">
        <v>0.5585</v>
      </c>
      <c r="F410" s="1">
        <v>44554</v>
      </c>
      <c r="G410">
        <v>70.599999999999994</v>
      </c>
      <c r="K410" s="1">
        <v>44698</v>
      </c>
      <c r="L410">
        <v>2.3111999999999999</v>
      </c>
      <c r="W410" s="1">
        <v>44699</v>
      </c>
      <c r="X410">
        <v>0.3765</v>
      </c>
    </row>
    <row r="411" spans="2:24" x14ac:dyDescent="0.3">
      <c r="B411" s="1">
        <v>44553</v>
      </c>
      <c r="C411">
        <v>0.56130000000000002</v>
      </c>
      <c r="F411" s="1">
        <v>44553</v>
      </c>
      <c r="G411">
        <v>70.97</v>
      </c>
      <c r="K411" s="1">
        <v>44694</v>
      </c>
      <c r="L411">
        <v>2.2732999999999999</v>
      </c>
      <c r="W411" s="1">
        <v>44698</v>
      </c>
      <c r="X411">
        <v>0.37930000000000003</v>
      </c>
    </row>
    <row r="412" spans="2:24" x14ac:dyDescent="0.3">
      <c r="B412" s="1">
        <v>44552</v>
      </c>
      <c r="C412">
        <v>0.55559999999999998</v>
      </c>
      <c r="F412" s="1">
        <v>44552</v>
      </c>
      <c r="G412">
        <v>70.239999999999995</v>
      </c>
      <c r="K412" s="1">
        <v>44693</v>
      </c>
      <c r="L412">
        <v>2.1806999999999999</v>
      </c>
      <c r="W412" s="1">
        <v>44694</v>
      </c>
      <c r="X412">
        <v>0.37309999999999999</v>
      </c>
    </row>
    <row r="413" spans="2:24" x14ac:dyDescent="0.3">
      <c r="B413" s="1">
        <v>44551</v>
      </c>
      <c r="C413">
        <v>0.56130000000000002</v>
      </c>
      <c r="F413" s="1">
        <v>44551</v>
      </c>
      <c r="G413">
        <v>70.97</v>
      </c>
      <c r="K413" s="1">
        <v>44690</v>
      </c>
      <c r="L413">
        <v>2.1049000000000002</v>
      </c>
      <c r="W413" s="1">
        <v>44693</v>
      </c>
      <c r="X413">
        <v>0.3579</v>
      </c>
    </row>
    <row r="414" spans="2:24" x14ac:dyDescent="0.3">
      <c r="B414" s="1">
        <v>44550</v>
      </c>
      <c r="C414">
        <v>0.56569999999999998</v>
      </c>
      <c r="F414" s="1">
        <v>44550</v>
      </c>
      <c r="G414">
        <v>71.510000000000005</v>
      </c>
      <c r="K414" s="1">
        <v>44687</v>
      </c>
      <c r="L414">
        <v>2.1680999999999999</v>
      </c>
      <c r="W414" s="1">
        <v>44690</v>
      </c>
      <c r="X414">
        <v>0.34539999999999998</v>
      </c>
    </row>
    <row r="415" spans="2:24" x14ac:dyDescent="0.3">
      <c r="B415" s="1">
        <v>44547</v>
      </c>
      <c r="C415">
        <v>0.57069999999999999</v>
      </c>
      <c r="F415" s="1">
        <v>44547</v>
      </c>
      <c r="G415">
        <v>72.150000000000006</v>
      </c>
      <c r="K415" s="1">
        <v>44686</v>
      </c>
      <c r="L415">
        <v>2.1848999999999998</v>
      </c>
      <c r="W415" s="1">
        <v>44687</v>
      </c>
      <c r="X415">
        <v>0.35580000000000001</v>
      </c>
    </row>
    <row r="416" spans="2:24" x14ac:dyDescent="0.3">
      <c r="B416" s="1">
        <v>44546</v>
      </c>
      <c r="C416">
        <v>0.57289999999999996</v>
      </c>
      <c r="F416" s="1">
        <v>44546</v>
      </c>
      <c r="G416">
        <v>72.42</v>
      </c>
      <c r="K416" s="1">
        <v>44685</v>
      </c>
      <c r="L416">
        <v>2.1722999999999999</v>
      </c>
      <c r="W416" s="1">
        <v>44686</v>
      </c>
      <c r="X416">
        <v>0.35859999999999997</v>
      </c>
    </row>
    <row r="417" spans="2:24" x14ac:dyDescent="0.3">
      <c r="B417" s="1">
        <v>44545</v>
      </c>
      <c r="C417">
        <v>0.57569999999999999</v>
      </c>
      <c r="F417" s="1">
        <v>44545</v>
      </c>
      <c r="G417">
        <v>72.790000000000006</v>
      </c>
      <c r="K417" s="1">
        <v>44680</v>
      </c>
      <c r="L417">
        <v>2.1680999999999999</v>
      </c>
      <c r="W417" s="1">
        <v>44685</v>
      </c>
      <c r="X417">
        <v>0.35649999999999998</v>
      </c>
    </row>
    <row r="418" spans="2:24" x14ac:dyDescent="0.3">
      <c r="B418" s="1">
        <v>44544</v>
      </c>
      <c r="C418">
        <v>0.57289999999999996</v>
      </c>
      <c r="F418" s="1">
        <v>44544</v>
      </c>
      <c r="G418">
        <v>72.42</v>
      </c>
      <c r="K418" s="1">
        <v>44679</v>
      </c>
      <c r="L418">
        <v>2.1890999999999998</v>
      </c>
      <c r="W418" s="1">
        <v>44680</v>
      </c>
      <c r="X418">
        <v>0.35580000000000001</v>
      </c>
    </row>
    <row r="419" spans="2:24" x14ac:dyDescent="0.3">
      <c r="B419" s="1">
        <v>44543</v>
      </c>
      <c r="C419">
        <v>0.57430000000000003</v>
      </c>
      <c r="F419" s="1">
        <v>44543</v>
      </c>
      <c r="G419">
        <v>72.599999999999994</v>
      </c>
      <c r="K419" s="1">
        <v>44678</v>
      </c>
      <c r="L419">
        <v>2.1217999999999999</v>
      </c>
      <c r="W419" s="1">
        <v>44679</v>
      </c>
      <c r="X419">
        <v>0.35920000000000002</v>
      </c>
    </row>
    <row r="420" spans="2:24" x14ac:dyDescent="0.3">
      <c r="B420" s="1">
        <v>44540</v>
      </c>
      <c r="C420">
        <v>0.57569999999999999</v>
      </c>
      <c r="F420" s="1">
        <v>44540</v>
      </c>
      <c r="G420">
        <v>72.790000000000006</v>
      </c>
      <c r="K420" s="1">
        <v>44677</v>
      </c>
      <c r="L420">
        <v>2.1049000000000002</v>
      </c>
      <c r="W420" s="1">
        <v>44678</v>
      </c>
      <c r="X420">
        <v>0.34820000000000001</v>
      </c>
    </row>
    <row r="421" spans="2:24" x14ac:dyDescent="0.3">
      <c r="B421" s="1">
        <v>44539</v>
      </c>
      <c r="C421">
        <v>0.57569999999999999</v>
      </c>
      <c r="F421" s="1">
        <v>44539</v>
      </c>
      <c r="G421">
        <v>72.790000000000006</v>
      </c>
      <c r="K421" s="1">
        <v>44676</v>
      </c>
      <c r="L421">
        <v>2.1427999999999998</v>
      </c>
      <c r="W421" s="1">
        <v>44677</v>
      </c>
      <c r="X421">
        <v>0.34539999999999998</v>
      </c>
    </row>
    <row r="422" spans="2:24" x14ac:dyDescent="0.3">
      <c r="B422" s="1">
        <v>44538</v>
      </c>
      <c r="C422">
        <v>0.57720000000000005</v>
      </c>
      <c r="F422" s="1">
        <v>44538</v>
      </c>
      <c r="G422">
        <v>72.97</v>
      </c>
      <c r="K422" s="1">
        <v>44659</v>
      </c>
      <c r="L422">
        <v>2.4121999999999999</v>
      </c>
      <c r="W422" s="1">
        <v>44676</v>
      </c>
      <c r="X422">
        <v>0.35160000000000002</v>
      </c>
    </row>
    <row r="423" spans="2:24" x14ac:dyDescent="0.3">
      <c r="B423" s="1">
        <v>44537</v>
      </c>
      <c r="C423">
        <v>0.57930000000000004</v>
      </c>
      <c r="F423" s="1">
        <v>44537</v>
      </c>
      <c r="G423">
        <v>73.239999999999995</v>
      </c>
      <c r="K423" s="1">
        <v>44658</v>
      </c>
      <c r="L423">
        <v>2.5175000000000001</v>
      </c>
      <c r="W423" s="1">
        <v>44659</v>
      </c>
      <c r="X423">
        <v>0.39589999999999997</v>
      </c>
    </row>
    <row r="424" spans="2:24" x14ac:dyDescent="0.3">
      <c r="B424" s="1">
        <v>44536</v>
      </c>
      <c r="C424">
        <v>0.58440000000000003</v>
      </c>
      <c r="F424" s="1">
        <v>44536</v>
      </c>
      <c r="G424">
        <v>73.88</v>
      </c>
      <c r="K424" s="1">
        <v>44657</v>
      </c>
      <c r="L424">
        <v>2.5722</v>
      </c>
      <c r="W424" s="1">
        <v>44658</v>
      </c>
      <c r="X424">
        <v>0.41310000000000002</v>
      </c>
    </row>
    <row r="425" spans="2:24" x14ac:dyDescent="0.3">
      <c r="B425" s="1">
        <v>44533</v>
      </c>
      <c r="C425">
        <v>0.57650000000000001</v>
      </c>
      <c r="F425" s="1">
        <v>44533</v>
      </c>
      <c r="G425">
        <v>72.88</v>
      </c>
      <c r="K425" s="1">
        <v>44656</v>
      </c>
      <c r="L425">
        <v>2.5680000000000001</v>
      </c>
      <c r="W425" s="1">
        <v>44657</v>
      </c>
      <c r="X425">
        <v>0.42209999999999998</v>
      </c>
    </row>
    <row r="426" spans="2:24" x14ac:dyDescent="0.3">
      <c r="B426" s="1">
        <v>44532</v>
      </c>
      <c r="C426">
        <v>0.58079999999999998</v>
      </c>
      <c r="F426" s="1">
        <v>44532</v>
      </c>
      <c r="G426">
        <v>73.42</v>
      </c>
      <c r="K426" s="1">
        <v>44655</v>
      </c>
      <c r="L426">
        <v>2.5259</v>
      </c>
      <c r="W426" s="1">
        <v>44656</v>
      </c>
      <c r="X426">
        <v>0.4214</v>
      </c>
    </row>
    <row r="427" spans="2:24" x14ac:dyDescent="0.3">
      <c r="B427" s="1">
        <v>44531</v>
      </c>
      <c r="C427">
        <v>0.58150000000000002</v>
      </c>
      <c r="F427" s="1">
        <v>44531</v>
      </c>
      <c r="G427">
        <v>73.510000000000005</v>
      </c>
      <c r="K427" s="1">
        <v>44652</v>
      </c>
      <c r="L427">
        <v>2.5007000000000001</v>
      </c>
      <c r="W427" s="1">
        <v>44655</v>
      </c>
      <c r="X427">
        <v>0.41449999999999998</v>
      </c>
    </row>
    <row r="428" spans="2:24" x14ac:dyDescent="0.3">
      <c r="B428" s="1">
        <v>44530</v>
      </c>
      <c r="C428">
        <v>0.57650000000000001</v>
      </c>
      <c r="F428" s="1">
        <v>44530</v>
      </c>
      <c r="G428">
        <v>72.88</v>
      </c>
      <c r="K428" s="1">
        <v>44651</v>
      </c>
      <c r="L428">
        <v>2.6396000000000002</v>
      </c>
      <c r="W428" s="1">
        <v>44652</v>
      </c>
      <c r="X428">
        <v>0.41039999999999999</v>
      </c>
    </row>
    <row r="429" spans="2:24" x14ac:dyDescent="0.3">
      <c r="B429" s="1">
        <v>44529</v>
      </c>
      <c r="C429">
        <v>0.58940000000000003</v>
      </c>
      <c r="F429" s="1">
        <v>44529</v>
      </c>
      <c r="G429">
        <v>74.52</v>
      </c>
      <c r="K429" s="1">
        <v>44650</v>
      </c>
      <c r="L429">
        <v>3.4738000000000002</v>
      </c>
      <c r="W429" s="1">
        <v>44651</v>
      </c>
      <c r="X429">
        <v>0.43319999999999997</v>
      </c>
    </row>
    <row r="430" spans="2:24" x14ac:dyDescent="0.3">
      <c r="B430" s="1">
        <v>44526</v>
      </c>
      <c r="C430">
        <v>0.59450000000000003</v>
      </c>
      <c r="F430" s="1">
        <v>44526</v>
      </c>
      <c r="G430">
        <v>75.150000000000006</v>
      </c>
      <c r="K430" s="1">
        <v>44649</v>
      </c>
      <c r="L430">
        <v>3.5830000000000002</v>
      </c>
      <c r="W430" s="1">
        <v>44650</v>
      </c>
      <c r="X430">
        <v>0.49919999999999998</v>
      </c>
    </row>
    <row r="431" spans="2:24" x14ac:dyDescent="0.3">
      <c r="B431" s="1">
        <v>44525</v>
      </c>
      <c r="C431">
        <v>0.59809999999999997</v>
      </c>
      <c r="F431" s="1">
        <v>44525</v>
      </c>
      <c r="G431">
        <v>75.61</v>
      </c>
      <c r="K431" s="1">
        <v>44648</v>
      </c>
      <c r="L431">
        <v>3.7170000000000001</v>
      </c>
      <c r="W431" s="1">
        <v>44649</v>
      </c>
      <c r="X431">
        <v>0.51480000000000004</v>
      </c>
    </row>
    <row r="432" spans="2:24" x14ac:dyDescent="0.3">
      <c r="B432" s="1">
        <v>44524</v>
      </c>
      <c r="C432">
        <v>0.6038</v>
      </c>
      <c r="F432" s="1">
        <v>44524</v>
      </c>
      <c r="G432">
        <v>76.33</v>
      </c>
      <c r="K432" s="1">
        <v>44645</v>
      </c>
      <c r="L432">
        <v>3.7766000000000002</v>
      </c>
      <c r="W432" s="1">
        <v>44648</v>
      </c>
      <c r="X432">
        <v>0.53410000000000002</v>
      </c>
    </row>
    <row r="433" spans="2:24" x14ac:dyDescent="0.3">
      <c r="B433" s="1">
        <v>44523</v>
      </c>
      <c r="C433">
        <v>0.6038</v>
      </c>
      <c r="F433" s="1">
        <v>44523</v>
      </c>
      <c r="G433">
        <v>76.33</v>
      </c>
      <c r="K433" s="1">
        <v>44644</v>
      </c>
      <c r="L433">
        <v>3.8212000000000002</v>
      </c>
      <c r="W433" s="1">
        <v>44645</v>
      </c>
      <c r="X433">
        <v>0.54269999999999996</v>
      </c>
    </row>
    <row r="434" spans="2:24" x14ac:dyDescent="0.3">
      <c r="B434" s="1">
        <v>44522</v>
      </c>
      <c r="C434">
        <v>0.60809999999999997</v>
      </c>
      <c r="F434" s="1">
        <v>44522</v>
      </c>
      <c r="G434">
        <v>76.88</v>
      </c>
      <c r="K434" s="1">
        <v>44643</v>
      </c>
      <c r="L434">
        <v>3.8014000000000001</v>
      </c>
      <c r="W434" s="1">
        <v>44644</v>
      </c>
      <c r="X434">
        <v>0.54910000000000003</v>
      </c>
    </row>
    <row r="435" spans="2:24" x14ac:dyDescent="0.3">
      <c r="B435" s="1">
        <v>44519</v>
      </c>
      <c r="C435">
        <v>0.60960000000000003</v>
      </c>
      <c r="F435" s="1">
        <v>44519</v>
      </c>
      <c r="G435">
        <v>77.06</v>
      </c>
      <c r="K435" s="1">
        <v>44642</v>
      </c>
      <c r="L435">
        <v>3.8212000000000002</v>
      </c>
      <c r="W435" s="1">
        <v>44643</v>
      </c>
      <c r="X435">
        <v>0.54620000000000002</v>
      </c>
    </row>
    <row r="436" spans="2:24" x14ac:dyDescent="0.3">
      <c r="B436" s="1">
        <v>44517</v>
      </c>
      <c r="C436">
        <v>0.60450000000000004</v>
      </c>
      <c r="F436" s="1">
        <v>44517</v>
      </c>
      <c r="G436">
        <v>76.430000000000007</v>
      </c>
      <c r="K436" s="1">
        <v>44641</v>
      </c>
      <c r="L436">
        <v>3.8906999999999998</v>
      </c>
      <c r="W436" s="1">
        <v>44642</v>
      </c>
      <c r="X436">
        <v>0.54910000000000003</v>
      </c>
    </row>
    <row r="437" spans="2:24" x14ac:dyDescent="0.3">
      <c r="B437" s="1">
        <v>44516</v>
      </c>
      <c r="C437">
        <v>0.60599999999999998</v>
      </c>
      <c r="F437" s="1">
        <v>44516</v>
      </c>
      <c r="G437">
        <v>76.61</v>
      </c>
      <c r="K437" s="1">
        <v>44638</v>
      </c>
      <c r="L437">
        <v>3.8311000000000002</v>
      </c>
      <c r="W437" s="1">
        <v>44641</v>
      </c>
      <c r="X437">
        <v>0.55910000000000004</v>
      </c>
    </row>
    <row r="438" spans="2:24" x14ac:dyDescent="0.3">
      <c r="B438" s="1">
        <v>44515</v>
      </c>
      <c r="C438">
        <v>0.60450000000000004</v>
      </c>
      <c r="F438" s="1">
        <v>44515</v>
      </c>
      <c r="G438">
        <v>76.430000000000007</v>
      </c>
      <c r="K438" s="1">
        <v>44636</v>
      </c>
      <c r="L438">
        <v>3.9104999999999999</v>
      </c>
      <c r="W438" s="1">
        <v>44638</v>
      </c>
      <c r="X438">
        <v>0.55049999999999999</v>
      </c>
    </row>
    <row r="439" spans="2:24" x14ac:dyDescent="0.3">
      <c r="B439" s="1">
        <v>44512</v>
      </c>
      <c r="C439">
        <v>0.6139</v>
      </c>
      <c r="F439" s="1">
        <v>44512</v>
      </c>
      <c r="G439">
        <v>77.61</v>
      </c>
      <c r="K439" s="1">
        <v>44635</v>
      </c>
      <c r="L439">
        <v>3.8609</v>
      </c>
      <c r="W439" s="1">
        <v>44636</v>
      </c>
      <c r="X439">
        <v>0.56189999999999996</v>
      </c>
    </row>
    <row r="440" spans="2:24" x14ac:dyDescent="0.3">
      <c r="B440" s="1">
        <v>44511</v>
      </c>
      <c r="C440">
        <v>0.624</v>
      </c>
      <c r="F440" s="1">
        <v>44511</v>
      </c>
      <c r="G440">
        <v>78.88</v>
      </c>
      <c r="K440" s="1">
        <v>44634</v>
      </c>
      <c r="L440">
        <v>3.8957000000000002</v>
      </c>
      <c r="W440" s="1">
        <v>44635</v>
      </c>
      <c r="X440">
        <v>0.55479999999999996</v>
      </c>
    </row>
    <row r="441" spans="2:24" x14ac:dyDescent="0.3">
      <c r="B441" s="1">
        <v>44510</v>
      </c>
      <c r="C441">
        <v>0.62319999999999998</v>
      </c>
      <c r="F441" s="1">
        <v>44510</v>
      </c>
      <c r="G441">
        <v>78.790000000000006</v>
      </c>
      <c r="K441" s="1">
        <v>44631</v>
      </c>
      <c r="L441">
        <v>3.9205000000000001</v>
      </c>
      <c r="W441" s="1">
        <v>44634</v>
      </c>
      <c r="X441">
        <v>0.55979999999999996</v>
      </c>
    </row>
    <row r="442" spans="2:24" x14ac:dyDescent="0.3">
      <c r="B442" s="1">
        <v>44509</v>
      </c>
      <c r="C442">
        <v>0.62250000000000005</v>
      </c>
      <c r="F442" s="1">
        <v>44509</v>
      </c>
      <c r="G442">
        <v>78.7</v>
      </c>
      <c r="K442" s="1">
        <v>44630</v>
      </c>
      <c r="L442">
        <v>3.9453</v>
      </c>
      <c r="W442" s="1">
        <v>44631</v>
      </c>
      <c r="X442">
        <v>0.56330000000000002</v>
      </c>
    </row>
    <row r="443" spans="2:24" x14ac:dyDescent="0.3">
      <c r="B443" s="1">
        <v>44508</v>
      </c>
      <c r="C443">
        <v>0.62970000000000004</v>
      </c>
      <c r="F443" s="1">
        <v>44508</v>
      </c>
      <c r="G443">
        <v>79.61</v>
      </c>
      <c r="K443" s="1">
        <v>44629</v>
      </c>
      <c r="L443">
        <v>3.8460000000000001</v>
      </c>
      <c r="W443" s="1">
        <v>44630</v>
      </c>
      <c r="X443">
        <v>0.56689999999999996</v>
      </c>
    </row>
    <row r="444" spans="2:24" x14ac:dyDescent="0.3">
      <c r="B444" s="1">
        <v>44505</v>
      </c>
      <c r="C444">
        <v>0.63260000000000005</v>
      </c>
      <c r="F444" s="1">
        <v>44505</v>
      </c>
      <c r="G444">
        <v>79.97</v>
      </c>
      <c r="K444" s="1">
        <v>44628</v>
      </c>
      <c r="L444">
        <v>3.9354</v>
      </c>
      <c r="W444" s="1">
        <v>44629</v>
      </c>
      <c r="X444">
        <v>0.55259999999999998</v>
      </c>
    </row>
    <row r="445" spans="2:24" x14ac:dyDescent="0.3">
      <c r="B445" s="1">
        <v>44503</v>
      </c>
      <c r="C445">
        <v>0.63980000000000004</v>
      </c>
      <c r="F445" s="1">
        <v>44503</v>
      </c>
      <c r="G445">
        <v>80.88</v>
      </c>
      <c r="K445" s="1">
        <v>44627</v>
      </c>
      <c r="L445">
        <v>3.98</v>
      </c>
      <c r="W445" s="1">
        <v>44628</v>
      </c>
      <c r="X445">
        <v>0.5655</v>
      </c>
    </row>
    <row r="446" spans="2:24" x14ac:dyDescent="0.3">
      <c r="B446" s="1">
        <v>44502</v>
      </c>
      <c r="C446">
        <v>0.63619999999999999</v>
      </c>
      <c r="F446" s="1">
        <v>44502</v>
      </c>
      <c r="G446">
        <v>80.430000000000007</v>
      </c>
      <c r="K446" s="1">
        <v>44624</v>
      </c>
      <c r="L446">
        <v>4.0346000000000002</v>
      </c>
      <c r="W446" s="1">
        <v>44627</v>
      </c>
      <c r="X446">
        <v>0.57189999999999996</v>
      </c>
    </row>
    <row r="447" spans="2:24" x14ac:dyDescent="0.3">
      <c r="B447" s="1">
        <v>44501</v>
      </c>
      <c r="C447">
        <v>0.63690000000000002</v>
      </c>
      <c r="F447" s="1">
        <v>44501</v>
      </c>
      <c r="G447">
        <v>80.52</v>
      </c>
      <c r="K447" s="1">
        <v>44623</v>
      </c>
      <c r="L447">
        <v>4.0346000000000002</v>
      </c>
      <c r="W447" s="1">
        <v>44624</v>
      </c>
      <c r="X447">
        <v>0.57969999999999999</v>
      </c>
    </row>
    <row r="448" spans="2:24" x14ac:dyDescent="0.3">
      <c r="B448" s="1">
        <v>44498</v>
      </c>
      <c r="C448">
        <v>0.63980000000000004</v>
      </c>
      <c r="F448" s="1">
        <v>44498</v>
      </c>
      <c r="G448">
        <v>80.88</v>
      </c>
      <c r="K448" s="1">
        <v>44622</v>
      </c>
      <c r="L448">
        <v>4.0346000000000002</v>
      </c>
      <c r="W448" s="1">
        <v>44623</v>
      </c>
      <c r="X448">
        <v>0.57969999999999999</v>
      </c>
    </row>
    <row r="449" spans="2:24" x14ac:dyDescent="0.3">
      <c r="B449" s="1">
        <v>44497</v>
      </c>
      <c r="C449">
        <v>0.63549999999999995</v>
      </c>
      <c r="F449" s="1">
        <v>44497</v>
      </c>
      <c r="G449">
        <v>80.34</v>
      </c>
      <c r="K449" s="1">
        <v>44620</v>
      </c>
      <c r="L449">
        <v>4.0644</v>
      </c>
      <c r="W449" s="1">
        <v>44622</v>
      </c>
      <c r="X449">
        <v>0.57969999999999999</v>
      </c>
    </row>
    <row r="450" spans="2:24" x14ac:dyDescent="0.3">
      <c r="B450" s="1">
        <v>44496</v>
      </c>
      <c r="C450">
        <v>0.63039999999999996</v>
      </c>
      <c r="F450" s="1">
        <v>44496</v>
      </c>
      <c r="G450">
        <v>79.7</v>
      </c>
      <c r="K450" s="1">
        <v>44617</v>
      </c>
      <c r="L450">
        <v>3.9750999999999999</v>
      </c>
      <c r="W450" s="1">
        <v>44620</v>
      </c>
      <c r="X450">
        <v>0.58399999999999996</v>
      </c>
    </row>
    <row r="451" spans="2:24" x14ac:dyDescent="0.3">
      <c r="B451" s="1">
        <v>44495</v>
      </c>
      <c r="C451">
        <v>0.62470000000000003</v>
      </c>
      <c r="F451" s="1">
        <v>44495</v>
      </c>
      <c r="G451">
        <v>78.97</v>
      </c>
      <c r="K451" s="1">
        <v>44616</v>
      </c>
      <c r="L451">
        <v>3.9155000000000002</v>
      </c>
      <c r="W451" s="1">
        <v>44617</v>
      </c>
      <c r="X451">
        <v>0.57120000000000004</v>
      </c>
    </row>
    <row r="452" spans="2:24" x14ac:dyDescent="0.3">
      <c r="B452" s="1">
        <v>44494</v>
      </c>
      <c r="C452">
        <v>0.63190000000000002</v>
      </c>
      <c r="F452" s="1">
        <v>44494</v>
      </c>
      <c r="G452">
        <v>79.88</v>
      </c>
      <c r="K452" s="1">
        <v>44615</v>
      </c>
      <c r="L452">
        <v>3.9701</v>
      </c>
      <c r="W452" s="1">
        <v>44616</v>
      </c>
      <c r="X452">
        <v>0.56259999999999999</v>
      </c>
    </row>
    <row r="453" spans="2:24" x14ac:dyDescent="0.3">
      <c r="B453" s="1">
        <v>44491</v>
      </c>
      <c r="C453">
        <v>0.63549999999999995</v>
      </c>
      <c r="F453" s="1">
        <v>44491</v>
      </c>
      <c r="G453">
        <v>80.34</v>
      </c>
      <c r="K453" s="1">
        <v>44614</v>
      </c>
      <c r="L453">
        <v>4.0197000000000003</v>
      </c>
      <c r="W453" s="1">
        <v>44615</v>
      </c>
      <c r="X453">
        <v>0.57050000000000001</v>
      </c>
    </row>
    <row r="454" spans="2:24" x14ac:dyDescent="0.3">
      <c r="B454" s="1">
        <v>44490</v>
      </c>
      <c r="C454">
        <v>0.63329999999999997</v>
      </c>
      <c r="F454" s="1">
        <v>44490</v>
      </c>
      <c r="G454">
        <v>80.069999999999993</v>
      </c>
      <c r="K454" s="1">
        <v>44613</v>
      </c>
      <c r="L454">
        <v>3.9750999999999999</v>
      </c>
      <c r="W454" s="1">
        <v>44614</v>
      </c>
      <c r="X454">
        <v>0.5776</v>
      </c>
    </row>
    <row r="455" spans="2:24" x14ac:dyDescent="0.3">
      <c r="B455" s="1">
        <v>44487</v>
      </c>
      <c r="C455">
        <v>0.624</v>
      </c>
      <c r="F455" s="1">
        <v>44487</v>
      </c>
      <c r="G455">
        <v>78.88</v>
      </c>
      <c r="K455" s="1">
        <v>44610</v>
      </c>
      <c r="L455">
        <v>4.0495000000000001</v>
      </c>
      <c r="W455" s="1">
        <v>44613</v>
      </c>
      <c r="X455">
        <v>0.57120000000000004</v>
      </c>
    </row>
    <row r="456" spans="2:24" x14ac:dyDescent="0.3">
      <c r="B456" s="1">
        <v>44484</v>
      </c>
      <c r="C456">
        <v>0.61890000000000001</v>
      </c>
      <c r="F456" s="1">
        <v>44484</v>
      </c>
      <c r="G456">
        <v>78.25</v>
      </c>
      <c r="K456" s="1">
        <v>44609</v>
      </c>
      <c r="L456">
        <v>4.0743</v>
      </c>
      <c r="W456" s="1">
        <v>44610</v>
      </c>
      <c r="X456">
        <v>0.58189999999999997</v>
      </c>
    </row>
    <row r="457" spans="2:24" x14ac:dyDescent="0.3">
      <c r="B457" s="1">
        <v>44483</v>
      </c>
      <c r="C457">
        <v>0.61750000000000005</v>
      </c>
      <c r="F457" s="1">
        <v>44483</v>
      </c>
      <c r="G457">
        <v>78.06</v>
      </c>
      <c r="K457" s="1">
        <v>44607</v>
      </c>
      <c r="L457">
        <v>3.9750999999999999</v>
      </c>
      <c r="W457" s="1">
        <v>44609</v>
      </c>
      <c r="X457">
        <v>0.58540000000000003</v>
      </c>
    </row>
    <row r="458" spans="2:24" x14ac:dyDescent="0.3">
      <c r="B458" s="1">
        <v>44482</v>
      </c>
      <c r="C458">
        <v>0.61680000000000001</v>
      </c>
      <c r="F458" s="1">
        <v>44482</v>
      </c>
      <c r="G458">
        <v>77.97</v>
      </c>
      <c r="K458" s="1">
        <v>44606</v>
      </c>
      <c r="L458">
        <v>3.9205000000000001</v>
      </c>
      <c r="W458" s="1">
        <v>44607</v>
      </c>
      <c r="X458">
        <v>0.57120000000000004</v>
      </c>
    </row>
    <row r="459" spans="2:24" x14ac:dyDescent="0.3">
      <c r="B459" s="1">
        <v>44481</v>
      </c>
      <c r="C459">
        <v>0.63759999999999994</v>
      </c>
      <c r="F459" s="1">
        <v>44481</v>
      </c>
      <c r="G459">
        <v>80.61</v>
      </c>
      <c r="K459" s="1">
        <v>44603</v>
      </c>
      <c r="L459">
        <v>3.9651000000000001</v>
      </c>
      <c r="W459" s="1">
        <v>44606</v>
      </c>
      <c r="X459">
        <v>0.56330000000000002</v>
      </c>
    </row>
    <row r="460" spans="2:24" x14ac:dyDescent="0.3">
      <c r="B460" s="1">
        <v>44480</v>
      </c>
      <c r="C460">
        <v>0.62609999999999999</v>
      </c>
      <c r="F460" s="1">
        <v>44480</v>
      </c>
      <c r="G460">
        <v>79.16</v>
      </c>
      <c r="K460" s="1">
        <v>44602</v>
      </c>
      <c r="L460">
        <v>3.9651000000000001</v>
      </c>
      <c r="W460" s="1">
        <v>44603</v>
      </c>
      <c r="X460">
        <v>0.56969999999999998</v>
      </c>
    </row>
    <row r="461" spans="2:24" x14ac:dyDescent="0.3">
      <c r="B461" s="1">
        <v>44477</v>
      </c>
      <c r="C461">
        <v>0.64700000000000002</v>
      </c>
      <c r="F461" s="1">
        <v>44477</v>
      </c>
      <c r="G461">
        <v>81.790000000000006</v>
      </c>
      <c r="K461" s="1">
        <v>44601</v>
      </c>
      <c r="L461">
        <v>3.9601999999999999</v>
      </c>
      <c r="W461" s="1">
        <v>44602</v>
      </c>
      <c r="X461">
        <v>0.56969999999999998</v>
      </c>
    </row>
    <row r="462" spans="2:24" x14ac:dyDescent="0.3">
      <c r="B462" s="1">
        <v>44476</v>
      </c>
      <c r="C462">
        <v>0.65059999999999996</v>
      </c>
      <c r="F462" s="1">
        <v>44476</v>
      </c>
      <c r="G462">
        <v>82.25</v>
      </c>
      <c r="K462" s="1">
        <v>44600</v>
      </c>
      <c r="L462">
        <v>3.9948999999999999</v>
      </c>
      <c r="W462" s="1">
        <v>44601</v>
      </c>
      <c r="X462">
        <v>0.56899999999999995</v>
      </c>
    </row>
    <row r="463" spans="2:24" x14ac:dyDescent="0.3">
      <c r="B463" s="1">
        <v>44475</v>
      </c>
      <c r="C463">
        <v>0.64629999999999999</v>
      </c>
      <c r="F463" s="1">
        <v>44475</v>
      </c>
      <c r="G463">
        <v>81.7</v>
      </c>
      <c r="K463" s="1">
        <v>44599</v>
      </c>
      <c r="L463">
        <v>3.9998999999999998</v>
      </c>
      <c r="W463" s="1">
        <v>44600</v>
      </c>
      <c r="X463">
        <v>0.57399999999999995</v>
      </c>
    </row>
    <row r="464" spans="2:24" x14ac:dyDescent="0.3">
      <c r="B464" s="1">
        <v>44474</v>
      </c>
      <c r="C464">
        <v>0.62609999999999999</v>
      </c>
      <c r="F464" s="1">
        <v>44474</v>
      </c>
      <c r="G464">
        <v>79.16</v>
      </c>
      <c r="K464" s="1">
        <v>44595</v>
      </c>
      <c r="L464">
        <v>4.0693000000000001</v>
      </c>
      <c r="W464" s="1">
        <v>44599</v>
      </c>
      <c r="X464">
        <v>0.57469999999999999</v>
      </c>
    </row>
    <row r="465" spans="2:24" x14ac:dyDescent="0.3">
      <c r="B465" s="1">
        <v>44473</v>
      </c>
      <c r="C465">
        <v>0.60960000000000003</v>
      </c>
      <c r="F465" s="1">
        <v>44473</v>
      </c>
      <c r="G465">
        <v>77.06</v>
      </c>
      <c r="K465" s="1">
        <v>44594</v>
      </c>
      <c r="L465">
        <v>4.0693000000000001</v>
      </c>
      <c r="W465" s="1">
        <v>44595</v>
      </c>
      <c r="X465">
        <v>0.5847</v>
      </c>
    </row>
    <row r="466" spans="2:24" x14ac:dyDescent="0.3">
      <c r="B466" s="1">
        <v>44470</v>
      </c>
      <c r="C466">
        <v>0.61170000000000002</v>
      </c>
      <c r="F466" s="1">
        <v>44470</v>
      </c>
      <c r="G466">
        <v>77.34</v>
      </c>
      <c r="K466" s="1">
        <v>44593</v>
      </c>
      <c r="L466">
        <v>4.0792999999999999</v>
      </c>
      <c r="W466" s="1">
        <v>44594</v>
      </c>
      <c r="X466">
        <v>0.5847</v>
      </c>
    </row>
    <row r="467" spans="2:24" x14ac:dyDescent="0.3">
      <c r="B467" s="1">
        <v>44469</v>
      </c>
      <c r="C467">
        <v>0.60809999999999997</v>
      </c>
      <c r="F467" s="1">
        <v>44469</v>
      </c>
      <c r="G467">
        <v>76.88</v>
      </c>
      <c r="K467" s="1">
        <v>44592</v>
      </c>
      <c r="L467">
        <v>4.0991</v>
      </c>
      <c r="W467" s="1">
        <v>44593</v>
      </c>
      <c r="X467">
        <v>0.58609999999999995</v>
      </c>
    </row>
    <row r="468" spans="2:24" x14ac:dyDescent="0.3">
      <c r="B468" s="1">
        <v>44468</v>
      </c>
      <c r="C468">
        <v>0.5958</v>
      </c>
      <c r="F468" s="1">
        <v>44468</v>
      </c>
      <c r="G468">
        <v>76.239999999999995</v>
      </c>
      <c r="K468" s="1">
        <v>44589</v>
      </c>
      <c r="L468">
        <v>4.0495000000000001</v>
      </c>
      <c r="W468" s="1">
        <v>44592</v>
      </c>
      <c r="X468">
        <v>0.58899999999999997</v>
      </c>
    </row>
    <row r="469" spans="2:24" x14ac:dyDescent="0.3">
      <c r="B469" s="1">
        <v>44467</v>
      </c>
      <c r="C469">
        <v>0.59009999999999996</v>
      </c>
      <c r="F469" s="1">
        <v>44467</v>
      </c>
      <c r="G469">
        <v>75.52</v>
      </c>
      <c r="K469" s="1">
        <v>44588</v>
      </c>
      <c r="L469">
        <v>4.0743</v>
      </c>
      <c r="W469" s="1">
        <v>44589</v>
      </c>
      <c r="X469">
        <v>0.58189999999999997</v>
      </c>
    </row>
    <row r="470" spans="2:24" x14ac:dyDescent="0.3">
      <c r="B470" s="1">
        <v>44466</v>
      </c>
      <c r="C470">
        <v>0.59650000000000003</v>
      </c>
      <c r="F470" s="1">
        <v>44466</v>
      </c>
      <c r="G470">
        <v>76.33</v>
      </c>
      <c r="K470" s="1">
        <v>44587</v>
      </c>
      <c r="L470">
        <v>4.0743</v>
      </c>
      <c r="W470" s="1">
        <v>44588</v>
      </c>
      <c r="X470">
        <v>0.58540000000000003</v>
      </c>
    </row>
    <row r="471" spans="2:24" x14ac:dyDescent="0.3">
      <c r="B471" s="1">
        <v>44463</v>
      </c>
      <c r="C471">
        <v>0.59719999999999995</v>
      </c>
      <c r="F471" s="1">
        <v>44463</v>
      </c>
      <c r="G471">
        <v>76.430000000000007</v>
      </c>
      <c r="K471" s="1">
        <v>44586</v>
      </c>
      <c r="L471">
        <v>4.109</v>
      </c>
      <c r="W471" s="1">
        <v>44587</v>
      </c>
      <c r="X471">
        <v>0.58540000000000003</v>
      </c>
    </row>
    <row r="472" spans="2:24" x14ac:dyDescent="0.3">
      <c r="B472" s="1">
        <v>44462</v>
      </c>
      <c r="C472">
        <v>0.59219999999999995</v>
      </c>
      <c r="F472" s="1">
        <v>44462</v>
      </c>
      <c r="G472">
        <v>75.790000000000006</v>
      </c>
      <c r="K472" s="1">
        <v>44585</v>
      </c>
      <c r="L472">
        <v>4.1933999999999996</v>
      </c>
      <c r="W472" s="1">
        <v>44586</v>
      </c>
      <c r="X472">
        <v>0.59040000000000004</v>
      </c>
    </row>
    <row r="473" spans="2:24" x14ac:dyDescent="0.3">
      <c r="B473" s="1">
        <v>44461</v>
      </c>
      <c r="C473">
        <v>0.59009999999999996</v>
      </c>
      <c r="F473" s="1">
        <v>44461</v>
      </c>
      <c r="G473">
        <v>75.52</v>
      </c>
      <c r="K473" s="1">
        <v>44582</v>
      </c>
      <c r="L473">
        <v>4.1437999999999997</v>
      </c>
      <c r="W473" s="1">
        <v>44585</v>
      </c>
      <c r="X473">
        <v>0.60250000000000004</v>
      </c>
    </row>
    <row r="474" spans="2:24" x14ac:dyDescent="0.3">
      <c r="B474" s="1">
        <v>44460</v>
      </c>
      <c r="C474">
        <v>0.59150000000000003</v>
      </c>
      <c r="F474" s="1">
        <v>44460</v>
      </c>
      <c r="G474">
        <v>75.7</v>
      </c>
      <c r="K474" s="1">
        <v>44581</v>
      </c>
      <c r="L474">
        <v>4.1338999999999997</v>
      </c>
      <c r="W474" s="1">
        <v>44582</v>
      </c>
      <c r="X474">
        <v>0.59540000000000004</v>
      </c>
    </row>
    <row r="475" spans="2:24" x14ac:dyDescent="0.3">
      <c r="B475" s="1">
        <v>44456</v>
      </c>
      <c r="C475">
        <v>0.59360000000000002</v>
      </c>
      <c r="F475" s="1">
        <v>44456</v>
      </c>
      <c r="G475">
        <v>75.97</v>
      </c>
      <c r="K475" s="1">
        <v>44580</v>
      </c>
      <c r="L475">
        <v>4.109</v>
      </c>
      <c r="W475" s="1">
        <v>44581</v>
      </c>
      <c r="X475">
        <v>0.59399999999999997</v>
      </c>
    </row>
    <row r="476" spans="2:24" x14ac:dyDescent="0.3">
      <c r="B476" s="1">
        <v>44455</v>
      </c>
      <c r="C476">
        <v>0.59719999999999995</v>
      </c>
      <c r="F476" s="1">
        <v>44455</v>
      </c>
      <c r="G476">
        <v>76.430000000000007</v>
      </c>
      <c r="K476" s="1">
        <v>44579</v>
      </c>
      <c r="L476">
        <v>4.0644</v>
      </c>
      <c r="W476" s="1">
        <v>44580</v>
      </c>
      <c r="X476">
        <v>0.59040000000000004</v>
      </c>
    </row>
    <row r="477" spans="2:24" x14ac:dyDescent="0.3">
      <c r="B477" s="1">
        <v>44454</v>
      </c>
      <c r="C477">
        <v>0.59650000000000003</v>
      </c>
      <c r="F477" s="1">
        <v>44454</v>
      </c>
      <c r="G477">
        <v>76.33</v>
      </c>
      <c r="K477" s="1">
        <v>44574</v>
      </c>
      <c r="L477">
        <v>4.0594000000000001</v>
      </c>
      <c r="W477" s="1">
        <v>44579</v>
      </c>
      <c r="X477">
        <v>0.58399999999999996</v>
      </c>
    </row>
    <row r="478" spans="2:24" x14ac:dyDescent="0.3">
      <c r="B478" s="1">
        <v>44453</v>
      </c>
      <c r="C478">
        <v>0.59009999999999996</v>
      </c>
      <c r="F478" s="1">
        <v>44453</v>
      </c>
      <c r="G478">
        <v>75.52</v>
      </c>
      <c r="K478" s="1">
        <v>44573</v>
      </c>
      <c r="L478">
        <v>4.0197000000000003</v>
      </c>
      <c r="W478" s="1">
        <v>44574</v>
      </c>
      <c r="X478">
        <v>0.58330000000000004</v>
      </c>
    </row>
    <row r="479" spans="2:24" x14ac:dyDescent="0.3">
      <c r="B479" s="1">
        <v>44452</v>
      </c>
      <c r="C479">
        <v>0.58789999999999998</v>
      </c>
      <c r="F479" s="1">
        <v>44452</v>
      </c>
      <c r="G479">
        <v>75.239999999999995</v>
      </c>
      <c r="K479" s="1">
        <v>44572</v>
      </c>
      <c r="L479">
        <v>4.0545</v>
      </c>
      <c r="W479" s="1">
        <v>44573</v>
      </c>
      <c r="X479">
        <v>0.5776</v>
      </c>
    </row>
    <row r="480" spans="2:24" x14ac:dyDescent="0.3">
      <c r="B480" s="1">
        <v>44449</v>
      </c>
      <c r="C480">
        <v>0.60070000000000001</v>
      </c>
      <c r="F480" s="1">
        <v>44449</v>
      </c>
      <c r="G480">
        <v>76.88</v>
      </c>
      <c r="K480" s="1">
        <v>44571</v>
      </c>
      <c r="L480">
        <v>4.1139999999999999</v>
      </c>
      <c r="W480" s="1">
        <v>44572</v>
      </c>
      <c r="X480">
        <v>0.58260000000000001</v>
      </c>
    </row>
    <row r="481" spans="2:24" x14ac:dyDescent="0.3">
      <c r="B481" s="1">
        <v>44448</v>
      </c>
      <c r="C481">
        <v>0.59789999999999999</v>
      </c>
      <c r="F481" s="1">
        <v>44448</v>
      </c>
      <c r="G481">
        <v>76.52</v>
      </c>
      <c r="K481" s="1">
        <v>44568</v>
      </c>
      <c r="L481">
        <v>3.9601999999999999</v>
      </c>
      <c r="W481" s="1">
        <v>44571</v>
      </c>
      <c r="X481">
        <v>0.59109999999999996</v>
      </c>
    </row>
    <row r="482" spans="2:24" x14ac:dyDescent="0.3">
      <c r="B482" s="1">
        <v>44447</v>
      </c>
      <c r="C482">
        <v>0.6</v>
      </c>
      <c r="F482" s="1">
        <v>44447</v>
      </c>
      <c r="G482">
        <v>76.790000000000006</v>
      </c>
      <c r="K482" s="1">
        <v>44567</v>
      </c>
      <c r="L482">
        <v>3.9552</v>
      </c>
      <c r="W482" s="1">
        <v>44568</v>
      </c>
      <c r="X482">
        <v>0.56899999999999995</v>
      </c>
    </row>
    <row r="483" spans="2:24" x14ac:dyDescent="0.3">
      <c r="B483" s="1">
        <v>44446</v>
      </c>
      <c r="C483">
        <v>0.60429999999999995</v>
      </c>
      <c r="F483" s="1">
        <v>44446</v>
      </c>
      <c r="G483">
        <v>77.34</v>
      </c>
      <c r="K483" s="1">
        <v>44566</v>
      </c>
      <c r="L483">
        <v>3.9601999999999999</v>
      </c>
      <c r="W483" s="1">
        <v>44567</v>
      </c>
      <c r="X483">
        <v>0.56830000000000003</v>
      </c>
    </row>
    <row r="484" spans="2:24" x14ac:dyDescent="0.3">
      <c r="B484" s="1">
        <v>44445</v>
      </c>
      <c r="C484">
        <v>0.60499999999999998</v>
      </c>
      <c r="F484" s="1">
        <v>44445</v>
      </c>
      <c r="G484">
        <v>77.430000000000007</v>
      </c>
      <c r="K484" s="1">
        <v>44565</v>
      </c>
      <c r="L484">
        <v>3.9601999999999999</v>
      </c>
      <c r="W484" s="1">
        <v>44566</v>
      </c>
      <c r="X484">
        <v>0.56899999999999995</v>
      </c>
    </row>
    <row r="485" spans="2:24" x14ac:dyDescent="0.3">
      <c r="B485" s="1">
        <v>44442</v>
      </c>
      <c r="C485">
        <v>0.61</v>
      </c>
      <c r="F485" s="1">
        <v>44442</v>
      </c>
      <c r="G485">
        <v>78.06</v>
      </c>
      <c r="K485" s="1">
        <v>44564</v>
      </c>
      <c r="L485">
        <v>3.98</v>
      </c>
      <c r="W485" s="1">
        <v>44565</v>
      </c>
      <c r="X485">
        <v>0.56899999999999995</v>
      </c>
    </row>
    <row r="486" spans="2:24" x14ac:dyDescent="0.3">
      <c r="B486" s="1">
        <v>44441</v>
      </c>
      <c r="C486">
        <v>0.60929999999999995</v>
      </c>
      <c r="F486" s="1">
        <v>44441</v>
      </c>
      <c r="G486">
        <v>77.97</v>
      </c>
      <c r="K486" s="1">
        <v>44561</v>
      </c>
      <c r="L486">
        <v>3.9354</v>
      </c>
      <c r="W486" s="1">
        <v>44564</v>
      </c>
      <c r="X486">
        <v>0.57189999999999996</v>
      </c>
    </row>
    <row r="487" spans="2:24" x14ac:dyDescent="0.3">
      <c r="B487" s="1">
        <v>44440</v>
      </c>
      <c r="C487">
        <v>0.60929999999999995</v>
      </c>
      <c r="F487" s="1">
        <v>44440</v>
      </c>
      <c r="G487">
        <v>77.97</v>
      </c>
      <c r="K487" s="1">
        <v>44560</v>
      </c>
      <c r="L487">
        <v>3.7869999999999999</v>
      </c>
      <c r="W487" s="1">
        <v>44561</v>
      </c>
      <c r="X487">
        <v>0.5655</v>
      </c>
    </row>
    <row r="488" spans="2:24" x14ac:dyDescent="0.3">
      <c r="B488" s="1">
        <v>44439</v>
      </c>
      <c r="C488">
        <v>0.61850000000000005</v>
      </c>
      <c r="F488" s="1">
        <v>44439</v>
      </c>
      <c r="G488">
        <v>79.16</v>
      </c>
      <c r="K488" s="1">
        <v>44559</v>
      </c>
      <c r="L488">
        <v>3.7301000000000002</v>
      </c>
      <c r="W488" s="1">
        <v>44560</v>
      </c>
      <c r="X488">
        <v>0.57499999999999996</v>
      </c>
    </row>
    <row r="489" spans="2:24" x14ac:dyDescent="0.3">
      <c r="B489" s="1">
        <v>44438</v>
      </c>
      <c r="C489">
        <v>0.60570000000000002</v>
      </c>
      <c r="F489" s="1">
        <v>44438</v>
      </c>
      <c r="G489">
        <v>77.52</v>
      </c>
      <c r="K489" s="1">
        <v>44558</v>
      </c>
      <c r="L489">
        <v>3.7252999999999998</v>
      </c>
      <c r="W489" s="1">
        <v>44559</v>
      </c>
      <c r="X489">
        <v>0.56640000000000001</v>
      </c>
    </row>
    <row r="490" spans="2:24" x14ac:dyDescent="0.3">
      <c r="B490" s="1">
        <v>44435</v>
      </c>
      <c r="C490">
        <v>0.62209999999999999</v>
      </c>
      <c r="F490" s="1">
        <v>44435</v>
      </c>
      <c r="G490">
        <v>79.61</v>
      </c>
      <c r="K490" s="1">
        <v>44557</v>
      </c>
      <c r="L490">
        <v>3.6732</v>
      </c>
      <c r="W490" s="1">
        <v>44558</v>
      </c>
      <c r="X490">
        <v>0.56569999999999998</v>
      </c>
    </row>
    <row r="491" spans="2:24" x14ac:dyDescent="0.3">
      <c r="B491" s="1">
        <v>44434</v>
      </c>
      <c r="C491">
        <v>0.62629999999999997</v>
      </c>
      <c r="F491" s="1">
        <v>44434</v>
      </c>
      <c r="G491">
        <v>80.16</v>
      </c>
      <c r="K491" s="1">
        <v>44554</v>
      </c>
      <c r="L491">
        <v>3.6779999999999999</v>
      </c>
      <c r="W491" s="1">
        <v>44557</v>
      </c>
      <c r="X491">
        <v>0.55769999999999997</v>
      </c>
    </row>
    <row r="492" spans="2:24" x14ac:dyDescent="0.3">
      <c r="B492" s="1">
        <v>44433</v>
      </c>
      <c r="C492">
        <v>0.60709999999999997</v>
      </c>
      <c r="F492" s="1">
        <v>44433</v>
      </c>
      <c r="G492">
        <v>77.7</v>
      </c>
      <c r="K492" s="1">
        <v>44553</v>
      </c>
      <c r="L492">
        <v>3.6968999999999999</v>
      </c>
      <c r="W492" s="1">
        <v>44554</v>
      </c>
      <c r="X492">
        <v>0.5585</v>
      </c>
    </row>
    <row r="493" spans="2:24" x14ac:dyDescent="0.3">
      <c r="B493" s="1">
        <v>44432</v>
      </c>
      <c r="C493">
        <v>0.60640000000000005</v>
      </c>
      <c r="F493" s="1">
        <v>44432</v>
      </c>
      <c r="G493">
        <v>77.61</v>
      </c>
      <c r="K493" s="1">
        <v>44552</v>
      </c>
      <c r="L493">
        <v>3.6589999999999998</v>
      </c>
      <c r="W493" s="1">
        <v>44553</v>
      </c>
      <c r="X493">
        <v>0.56130000000000002</v>
      </c>
    </row>
    <row r="494" spans="2:24" x14ac:dyDescent="0.3">
      <c r="B494" s="1">
        <v>44431</v>
      </c>
      <c r="C494">
        <v>0.60360000000000003</v>
      </c>
      <c r="F494" s="1">
        <v>44431</v>
      </c>
      <c r="G494">
        <v>77.239999999999995</v>
      </c>
      <c r="K494" s="1">
        <v>44551</v>
      </c>
      <c r="L494">
        <v>3.6968999999999999</v>
      </c>
      <c r="W494" s="1">
        <v>44552</v>
      </c>
      <c r="X494">
        <v>0.55559999999999998</v>
      </c>
    </row>
    <row r="495" spans="2:24" x14ac:dyDescent="0.3">
      <c r="B495" s="1">
        <v>44428</v>
      </c>
      <c r="C495">
        <v>0.60219999999999996</v>
      </c>
      <c r="F495" s="1">
        <v>44428</v>
      </c>
      <c r="G495">
        <v>77.06</v>
      </c>
      <c r="K495" s="1">
        <v>44550</v>
      </c>
      <c r="L495">
        <v>3.7252999999999998</v>
      </c>
      <c r="W495" s="1">
        <v>44551</v>
      </c>
      <c r="X495">
        <v>0.56130000000000002</v>
      </c>
    </row>
    <row r="496" spans="2:24" x14ac:dyDescent="0.3">
      <c r="B496" s="1">
        <v>44427</v>
      </c>
      <c r="C496">
        <v>0.60570000000000002</v>
      </c>
      <c r="F496" s="1">
        <v>44427</v>
      </c>
      <c r="G496">
        <v>77.52</v>
      </c>
      <c r="K496" s="1">
        <v>44547</v>
      </c>
      <c r="L496">
        <v>3.7585000000000002</v>
      </c>
      <c r="W496" s="1">
        <v>44550</v>
      </c>
      <c r="X496">
        <v>0.56569999999999998</v>
      </c>
    </row>
    <row r="497" spans="2:24" x14ac:dyDescent="0.3">
      <c r="B497" s="1">
        <v>44426</v>
      </c>
      <c r="C497">
        <v>0.60499999999999998</v>
      </c>
      <c r="F497" s="1">
        <v>44426</v>
      </c>
      <c r="G497">
        <v>77.430000000000007</v>
      </c>
      <c r="K497" s="1">
        <v>44546</v>
      </c>
      <c r="L497">
        <v>3.7726999999999999</v>
      </c>
      <c r="W497" s="1">
        <v>44547</v>
      </c>
      <c r="X497">
        <v>0.57069999999999999</v>
      </c>
    </row>
    <row r="498" spans="2:24" x14ac:dyDescent="0.3">
      <c r="B498" s="1">
        <v>44425</v>
      </c>
      <c r="C498">
        <v>0.60219999999999996</v>
      </c>
      <c r="F498" s="1">
        <v>44425</v>
      </c>
      <c r="G498">
        <v>77.06</v>
      </c>
      <c r="K498" s="1">
        <v>44545</v>
      </c>
      <c r="L498">
        <v>3.7917000000000001</v>
      </c>
      <c r="W498" s="1">
        <v>44546</v>
      </c>
      <c r="X498">
        <v>0.57289999999999996</v>
      </c>
    </row>
    <row r="499" spans="2:24" x14ac:dyDescent="0.3">
      <c r="B499" s="1">
        <v>44424</v>
      </c>
      <c r="C499">
        <v>0.59430000000000005</v>
      </c>
      <c r="F499" s="1">
        <v>44424</v>
      </c>
      <c r="G499">
        <v>76.06</v>
      </c>
      <c r="K499" s="1">
        <v>44544</v>
      </c>
      <c r="L499">
        <v>3.7726999999999999</v>
      </c>
      <c r="W499" s="1">
        <v>44545</v>
      </c>
      <c r="X499">
        <v>0.57569999999999999</v>
      </c>
    </row>
    <row r="500" spans="2:24" x14ac:dyDescent="0.3">
      <c r="B500" s="1">
        <v>44421</v>
      </c>
      <c r="C500">
        <v>0.59430000000000005</v>
      </c>
      <c r="F500" s="1">
        <v>44421</v>
      </c>
      <c r="G500">
        <v>76.06</v>
      </c>
      <c r="K500" s="1">
        <v>44543</v>
      </c>
      <c r="L500">
        <v>3.7822</v>
      </c>
      <c r="W500" s="1">
        <v>44544</v>
      </c>
      <c r="X500">
        <v>0.57289999999999996</v>
      </c>
    </row>
    <row r="501" spans="2:24" x14ac:dyDescent="0.3">
      <c r="B501" s="1">
        <v>44420</v>
      </c>
      <c r="C501">
        <v>0.58940000000000003</v>
      </c>
      <c r="F501" s="1">
        <v>44420</v>
      </c>
      <c r="G501">
        <v>75.42</v>
      </c>
      <c r="K501" s="1">
        <v>44540</v>
      </c>
      <c r="L501">
        <v>3.7917000000000001</v>
      </c>
      <c r="W501" s="1">
        <v>44543</v>
      </c>
      <c r="X501">
        <v>0.57430000000000003</v>
      </c>
    </row>
    <row r="502" spans="2:24" x14ac:dyDescent="0.3">
      <c r="B502" s="1">
        <v>44419</v>
      </c>
      <c r="C502">
        <v>0.59289999999999998</v>
      </c>
      <c r="F502" s="1">
        <v>44419</v>
      </c>
      <c r="G502">
        <v>75.88</v>
      </c>
      <c r="K502" s="1">
        <v>44539</v>
      </c>
      <c r="L502">
        <v>3.7917000000000001</v>
      </c>
      <c r="W502" s="1">
        <v>44540</v>
      </c>
      <c r="X502">
        <v>0.57569999999999999</v>
      </c>
    </row>
    <row r="503" spans="2:24" x14ac:dyDescent="0.3">
      <c r="B503" s="1">
        <v>44418</v>
      </c>
      <c r="C503">
        <v>0.59009999999999996</v>
      </c>
      <c r="F503" s="1">
        <v>44418</v>
      </c>
      <c r="G503">
        <v>75.52</v>
      </c>
      <c r="K503" s="1">
        <v>44538</v>
      </c>
      <c r="L503">
        <v>3.8012000000000001</v>
      </c>
      <c r="W503" s="1">
        <v>44539</v>
      </c>
      <c r="X503">
        <v>0.57569999999999999</v>
      </c>
    </row>
    <row r="504" spans="2:24" x14ac:dyDescent="0.3">
      <c r="B504" s="1">
        <v>44417</v>
      </c>
      <c r="C504">
        <v>0.59009999999999996</v>
      </c>
      <c r="F504" s="1">
        <v>44417</v>
      </c>
      <c r="G504">
        <v>75.52</v>
      </c>
      <c r="K504" s="1">
        <v>44537</v>
      </c>
      <c r="L504">
        <v>3.8153999999999999</v>
      </c>
      <c r="W504" s="1">
        <v>44538</v>
      </c>
      <c r="X504">
        <v>0.57720000000000005</v>
      </c>
    </row>
    <row r="505" spans="2:24" x14ac:dyDescent="0.3">
      <c r="B505" s="1">
        <v>44414</v>
      </c>
      <c r="C505">
        <v>0.59509999999999996</v>
      </c>
      <c r="F505" s="1">
        <v>44414</v>
      </c>
      <c r="G505">
        <v>76.150000000000006</v>
      </c>
      <c r="K505" s="1">
        <v>44536</v>
      </c>
      <c r="L505">
        <v>3.8485999999999998</v>
      </c>
      <c r="W505" s="1">
        <v>44537</v>
      </c>
      <c r="X505">
        <v>0.57930000000000004</v>
      </c>
    </row>
    <row r="506" spans="2:24" x14ac:dyDescent="0.3">
      <c r="B506" s="1">
        <v>44413</v>
      </c>
      <c r="C506">
        <v>0.59430000000000005</v>
      </c>
      <c r="F506" s="1">
        <v>44413</v>
      </c>
      <c r="G506">
        <v>76.06</v>
      </c>
      <c r="K506" s="1">
        <v>44533</v>
      </c>
      <c r="L506">
        <v>3.7964000000000002</v>
      </c>
      <c r="W506" s="1">
        <v>44536</v>
      </c>
      <c r="X506">
        <v>0.58440000000000003</v>
      </c>
    </row>
    <row r="507" spans="2:24" x14ac:dyDescent="0.3">
      <c r="B507" s="1">
        <v>44412</v>
      </c>
      <c r="C507">
        <v>0.60070000000000001</v>
      </c>
      <c r="F507" s="1">
        <v>44412</v>
      </c>
      <c r="G507">
        <v>76.88</v>
      </c>
      <c r="K507" s="1">
        <v>44532</v>
      </c>
      <c r="L507">
        <v>3.8249</v>
      </c>
      <c r="W507" s="1">
        <v>44533</v>
      </c>
      <c r="X507">
        <v>0.57650000000000001</v>
      </c>
    </row>
    <row r="508" spans="2:24" x14ac:dyDescent="0.3">
      <c r="B508" s="1">
        <v>44411</v>
      </c>
      <c r="C508">
        <v>0.60070000000000001</v>
      </c>
      <c r="F508" s="1">
        <v>44411</v>
      </c>
      <c r="G508">
        <v>76.88</v>
      </c>
      <c r="K508" s="1">
        <v>44531</v>
      </c>
      <c r="L508">
        <v>3.8296000000000001</v>
      </c>
      <c r="W508" s="1">
        <v>44532</v>
      </c>
      <c r="X508">
        <v>0.58079999999999998</v>
      </c>
    </row>
    <row r="509" spans="2:24" x14ac:dyDescent="0.3">
      <c r="B509" s="1">
        <v>44410</v>
      </c>
      <c r="C509">
        <v>0.60499999999999998</v>
      </c>
      <c r="F509" s="1">
        <v>44410</v>
      </c>
      <c r="G509">
        <v>77.430000000000007</v>
      </c>
      <c r="K509" s="1">
        <v>44530</v>
      </c>
      <c r="L509">
        <v>3.7964000000000002</v>
      </c>
      <c r="W509" s="1">
        <v>44531</v>
      </c>
      <c r="X509">
        <v>0.58150000000000002</v>
      </c>
    </row>
    <row r="510" spans="2:24" x14ac:dyDescent="0.3">
      <c r="B510" s="1">
        <v>44407</v>
      </c>
      <c r="C510">
        <v>0.60640000000000005</v>
      </c>
      <c r="F510" s="1">
        <v>44407</v>
      </c>
      <c r="G510">
        <v>77.61</v>
      </c>
      <c r="K510" s="1">
        <v>44529</v>
      </c>
      <c r="L510">
        <v>3.8818000000000001</v>
      </c>
      <c r="W510" s="1">
        <v>44530</v>
      </c>
      <c r="X510">
        <v>0.57650000000000001</v>
      </c>
    </row>
    <row r="511" spans="2:24" x14ac:dyDescent="0.3">
      <c r="B511" s="1">
        <v>44406</v>
      </c>
      <c r="C511">
        <v>0.60360000000000003</v>
      </c>
      <c r="F511" s="1">
        <v>44406</v>
      </c>
      <c r="G511">
        <v>77.239999999999995</v>
      </c>
      <c r="K511" s="1">
        <v>44526</v>
      </c>
      <c r="L511">
        <v>3.9148999999999998</v>
      </c>
      <c r="W511" s="1">
        <v>44529</v>
      </c>
      <c r="X511">
        <v>0.58940000000000003</v>
      </c>
    </row>
    <row r="512" spans="2:24" x14ac:dyDescent="0.3">
      <c r="B512" s="1">
        <v>44405</v>
      </c>
      <c r="C512">
        <v>0.6</v>
      </c>
      <c r="F512" s="1">
        <v>44405</v>
      </c>
      <c r="G512">
        <v>76.790000000000006</v>
      </c>
      <c r="K512" s="1">
        <v>44525</v>
      </c>
      <c r="L512">
        <v>3.9386000000000001</v>
      </c>
      <c r="W512" s="1">
        <v>44526</v>
      </c>
      <c r="X512">
        <v>0.59450000000000003</v>
      </c>
    </row>
    <row r="513" spans="2:24" x14ac:dyDescent="0.3">
      <c r="B513" s="1">
        <v>44404</v>
      </c>
      <c r="C513">
        <v>0.59719999999999995</v>
      </c>
      <c r="F513" s="1">
        <v>44404</v>
      </c>
      <c r="G513">
        <v>76.430000000000007</v>
      </c>
      <c r="K513" s="1">
        <v>44524</v>
      </c>
      <c r="L513">
        <v>3.9765000000000001</v>
      </c>
      <c r="W513" s="1">
        <v>44525</v>
      </c>
      <c r="X513">
        <v>0.59809999999999997</v>
      </c>
    </row>
    <row r="514" spans="2:24" x14ac:dyDescent="0.3">
      <c r="B514" s="1">
        <v>44403</v>
      </c>
      <c r="C514">
        <v>0.59650000000000003</v>
      </c>
      <c r="F514" s="1">
        <v>44403</v>
      </c>
      <c r="G514">
        <v>76.33</v>
      </c>
      <c r="K514" s="1">
        <v>44523</v>
      </c>
      <c r="L514">
        <v>3.9765000000000001</v>
      </c>
      <c r="W514" s="1">
        <v>44524</v>
      </c>
      <c r="X514">
        <v>0.6038</v>
      </c>
    </row>
    <row r="515" spans="2:24" x14ac:dyDescent="0.3">
      <c r="B515" s="1">
        <v>44399</v>
      </c>
      <c r="C515">
        <v>0.60499999999999998</v>
      </c>
      <c r="F515" s="1">
        <v>44399</v>
      </c>
      <c r="G515">
        <v>77.430000000000007</v>
      </c>
      <c r="K515" s="1">
        <v>44522</v>
      </c>
      <c r="L515">
        <v>4.0049999999999999</v>
      </c>
      <c r="W515" s="1">
        <v>44523</v>
      </c>
      <c r="X515">
        <v>0.6038</v>
      </c>
    </row>
    <row r="516" spans="2:24" x14ac:dyDescent="0.3">
      <c r="B516" s="1">
        <v>44397</v>
      </c>
      <c r="C516">
        <v>0.61709999999999998</v>
      </c>
      <c r="F516" s="1">
        <v>44397</v>
      </c>
      <c r="G516">
        <v>78.97</v>
      </c>
      <c r="K516" s="1">
        <v>44519</v>
      </c>
      <c r="L516">
        <v>4.0145</v>
      </c>
      <c r="W516" s="1">
        <v>44522</v>
      </c>
      <c r="X516">
        <v>0.60809999999999997</v>
      </c>
    </row>
    <row r="517" spans="2:24" x14ac:dyDescent="0.3">
      <c r="B517" s="1">
        <v>44396</v>
      </c>
      <c r="C517">
        <v>0.62419999999999998</v>
      </c>
      <c r="F517" s="1">
        <v>44396</v>
      </c>
      <c r="G517">
        <v>79.88</v>
      </c>
      <c r="K517" s="1">
        <v>44517</v>
      </c>
      <c r="L517">
        <v>3.9813000000000001</v>
      </c>
      <c r="W517" s="1">
        <v>44519</v>
      </c>
      <c r="X517">
        <v>0.60960000000000003</v>
      </c>
    </row>
    <row r="518" spans="2:24" x14ac:dyDescent="0.3">
      <c r="B518" s="1">
        <v>44393</v>
      </c>
      <c r="C518">
        <v>0.62070000000000003</v>
      </c>
      <c r="F518" s="1">
        <v>44393</v>
      </c>
      <c r="G518">
        <v>79.430000000000007</v>
      </c>
      <c r="K518" s="1">
        <v>44516</v>
      </c>
      <c r="L518">
        <v>3.9908000000000001</v>
      </c>
      <c r="W518" s="1">
        <v>44517</v>
      </c>
      <c r="X518">
        <v>0.60450000000000004</v>
      </c>
    </row>
    <row r="519" spans="2:24" x14ac:dyDescent="0.3">
      <c r="B519" s="1">
        <v>44392</v>
      </c>
      <c r="C519">
        <v>0.61850000000000005</v>
      </c>
      <c r="F519" s="1">
        <v>44392</v>
      </c>
      <c r="G519">
        <v>79.16</v>
      </c>
      <c r="K519" s="1">
        <v>44515</v>
      </c>
      <c r="L519">
        <v>3.9813000000000001</v>
      </c>
      <c r="W519" s="1">
        <v>44516</v>
      </c>
      <c r="X519">
        <v>0.60599999999999998</v>
      </c>
    </row>
    <row r="520" spans="2:24" x14ac:dyDescent="0.3">
      <c r="B520" s="1">
        <v>44391</v>
      </c>
      <c r="C520">
        <v>0.61919999999999997</v>
      </c>
      <c r="F520" s="1">
        <v>44391</v>
      </c>
      <c r="G520">
        <v>79.25</v>
      </c>
      <c r="K520" s="1">
        <v>44512</v>
      </c>
      <c r="L520">
        <v>4.0429000000000004</v>
      </c>
      <c r="W520" s="1">
        <v>44515</v>
      </c>
      <c r="X520">
        <v>0.60450000000000004</v>
      </c>
    </row>
    <row r="521" spans="2:24" x14ac:dyDescent="0.3">
      <c r="B521" s="1">
        <v>44390</v>
      </c>
      <c r="C521">
        <v>0.61780000000000002</v>
      </c>
      <c r="F521" s="1">
        <v>44390</v>
      </c>
      <c r="G521">
        <v>79.06</v>
      </c>
      <c r="K521" s="1">
        <v>44511</v>
      </c>
      <c r="L521">
        <v>4.1093000000000002</v>
      </c>
      <c r="W521" s="1">
        <v>44512</v>
      </c>
      <c r="X521">
        <v>0.6139</v>
      </c>
    </row>
    <row r="522" spans="2:24" x14ac:dyDescent="0.3">
      <c r="B522" s="1">
        <v>44389</v>
      </c>
      <c r="C522">
        <v>0.62070000000000003</v>
      </c>
      <c r="F522" s="1">
        <v>44389</v>
      </c>
      <c r="G522">
        <v>79.430000000000007</v>
      </c>
      <c r="K522" s="1">
        <v>44510</v>
      </c>
      <c r="L522">
        <v>4.1044999999999998</v>
      </c>
      <c r="W522" s="1">
        <v>44511</v>
      </c>
      <c r="X522">
        <v>0.624</v>
      </c>
    </row>
    <row r="523" spans="2:24" x14ac:dyDescent="0.3">
      <c r="B523" s="1">
        <v>44386</v>
      </c>
      <c r="C523">
        <v>0.62070000000000003</v>
      </c>
      <c r="F523" s="1">
        <v>44386</v>
      </c>
      <c r="G523">
        <v>79.430000000000007</v>
      </c>
      <c r="K523" s="1">
        <v>44509</v>
      </c>
      <c r="L523">
        <v>4.0998000000000001</v>
      </c>
      <c r="W523" s="1">
        <v>44510</v>
      </c>
      <c r="X523">
        <v>0.62319999999999998</v>
      </c>
    </row>
    <row r="524" spans="2:24" x14ac:dyDescent="0.3">
      <c r="B524" s="1">
        <v>44385</v>
      </c>
      <c r="C524">
        <v>0.61570000000000003</v>
      </c>
      <c r="F524" s="1">
        <v>44385</v>
      </c>
      <c r="G524">
        <v>78.790000000000006</v>
      </c>
      <c r="K524" s="1">
        <v>44508</v>
      </c>
      <c r="L524">
        <v>4.1471999999999998</v>
      </c>
      <c r="W524" s="1">
        <v>44509</v>
      </c>
      <c r="X524">
        <v>0.62250000000000005</v>
      </c>
    </row>
    <row r="525" spans="2:24" x14ac:dyDescent="0.3">
      <c r="B525" s="1">
        <v>44384</v>
      </c>
      <c r="C525">
        <v>0.61499999999999999</v>
      </c>
      <c r="F525" s="1">
        <v>44384</v>
      </c>
      <c r="G525">
        <v>78.7</v>
      </c>
      <c r="K525" s="1">
        <v>44505</v>
      </c>
      <c r="L525">
        <v>4.1661000000000001</v>
      </c>
      <c r="W525" s="1">
        <v>44508</v>
      </c>
      <c r="X525">
        <v>0.62970000000000004</v>
      </c>
    </row>
    <row r="526" spans="2:24" x14ac:dyDescent="0.3">
      <c r="B526" s="1">
        <v>44383</v>
      </c>
      <c r="C526">
        <v>0.61429999999999996</v>
      </c>
      <c r="F526" s="1">
        <v>44383</v>
      </c>
      <c r="G526">
        <v>78.61</v>
      </c>
      <c r="K526" s="1">
        <v>44503</v>
      </c>
      <c r="L526">
        <v>4.2134999999999998</v>
      </c>
      <c r="W526" s="1">
        <v>44505</v>
      </c>
      <c r="X526">
        <v>0.63260000000000005</v>
      </c>
    </row>
    <row r="527" spans="2:24" x14ac:dyDescent="0.3">
      <c r="B527" s="1">
        <v>44382</v>
      </c>
      <c r="C527">
        <v>0.61780000000000002</v>
      </c>
      <c r="F527" s="1">
        <v>44382</v>
      </c>
      <c r="G527">
        <v>79.06</v>
      </c>
      <c r="K527" s="1">
        <v>44502</v>
      </c>
      <c r="L527">
        <v>4.1898</v>
      </c>
      <c r="W527" s="1">
        <v>44503</v>
      </c>
      <c r="X527">
        <v>0.63980000000000004</v>
      </c>
    </row>
    <row r="528" spans="2:24" x14ac:dyDescent="0.3">
      <c r="B528" s="1">
        <v>44379</v>
      </c>
      <c r="C528">
        <v>0.62490000000000001</v>
      </c>
      <c r="F528" s="1">
        <v>44379</v>
      </c>
      <c r="G528">
        <v>79.97</v>
      </c>
      <c r="K528" s="1">
        <v>44501</v>
      </c>
      <c r="L528">
        <v>4.1946000000000003</v>
      </c>
      <c r="W528" s="1">
        <v>44502</v>
      </c>
      <c r="X528">
        <v>0.63619999999999999</v>
      </c>
    </row>
    <row r="529" spans="2:24" x14ac:dyDescent="0.3">
      <c r="B529" s="1">
        <v>44378</v>
      </c>
      <c r="C529">
        <v>0.62629999999999997</v>
      </c>
      <c r="F529" s="1">
        <v>44378</v>
      </c>
      <c r="G529">
        <v>80.16</v>
      </c>
      <c r="K529" s="1">
        <v>44498</v>
      </c>
      <c r="L529">
        <v>4.2134999999999998</v>
      </c>
      <c r="W529" s="1">
        <v>44501</v>
      </c>
      <c r="X529">
        <v>0.63690000000000002</v>
      </c>
    </row>
    <row r="530" spans="2:24" x14ac:dyDescent="0.3">
      <c r="B530" s="1">
        <v>44377</v>
      </c>
      <c r="C530">
        <v>0.62560000000000004</v>
      </c>
      <c r="F530" s="1">
        <v>44377</v>
      </c>
      <c r="G530">
        <v>80.069999999999993</v>
      </c>
      <c r="K530" s="1">
        <v>44497</v>
      </c>
      <c r="L530">
        <v>4.1851000000000003</v>
      </c>
      <c r="W530" s="1">
        <v>44498</v>
      </c>
      <c r="X530">
        <v>0.63980000000000004</v>
      </c>
    </row>
    <row r="531" spans="2:24" x14ac:dyDescent="0.3">
      <c r="B531" s="1">
        <v>44376</v>
      </c>
      <c r="C531">
        <v>0.64790000000000003</v>
      </c>
      <c r="F531" s="1">
        <v>44376</v>
      </c>
      <c r="G531">
        <v>81.7</v>
      </c>
      <c r="K531" s="1">
        <v>44496</v>
      </c>
      <c r="L531">
        <v>4.1519000000000004</v>
      </c>
      <c r="W531" s="1">
        <v>44497</v>
      </c>
      <c r="X531">
        <v>0.63549999999999995</v>
      </c>
    </row>
    <row r="532" spans="2:24" x14ac:dyDescent="0.3">
      <c r="B532" s="1">
        <v>44375</v>
      </c>
      <c r="C532">
        <v>0.65</v>
      </c>
      <c r="F532" s="1">
        <v>44375</v>
      </c>
      <c r="G532">
        <v>81.98</v>
      </c>
      <c r="K532" s="1">
        <v>44495</v>
      </c>
      <c r="L532">
        <v>4.1139999999999999</v>
      </c>
      <c r="W532" s="1">
        <v>44496</v>
      </c>
      <c r="X532">
        <v>0.63039999999999996</v>
      </c>
    </row>
    <row r="533" spans="2:24" x14ac:dyDescent="0.3">
      <c r="B533" s="1">
        <v>44372</v>
      </c>
      <c r="C533">
        <v>0.64859999999999995</v>
      </c>
      <c r="F533" s="1">
        <v>44372</v>
      </c>
      <c r="G533">
        <v>81.790000000000006</v>
      </c>
      <c r="K533" s="1">
        <v>44494</v>
      </c>
      <c r="L533">
        <v>4.1614000000000004</v>
      </c>
      <c r="W533" s="1">
        <v>44495</v>
      </c>
      <c r="X533">
        <v>0.62470000000000003</v>
      </c>
    </row>
    <row r="534" spans="2:24" x14ac:dyDescent="0.3">
      <c r="B534" s="1">
        <v>44370</v>
      </c>
      <c r="C534">
        <v>0.64859999999999995</v>
      </c>
      <c r="F534" s="1">
        <v>44370</v>
      </c>
      <c r="G534">
        <v>81.790000000000006</v>
      </c>
      <c r="K534" s="1">
        <v>44491</v>
      </c>
      <c r="L534">
        <v>4.1851000000000003</v>
      </c>
      <c r="W534" s="1">
        <v>44494</v>
      </c>
      <c r="X534">
        <v>0.63190000000000002</v>
      </c>
    </row>
    <row r="535" spans="2:24" x14ac:dyDescent="0.3">
      <c r="B535" s="1">
        <v>44369</v>
      </c>
      <c r="C535">
        <v>0.63629999999999998</v>
      </c>
      <c r="F535" s="1">
        <v>44369</v>
      </c>
      <c r="G535">
        <v>80.25</v>
      </c>
      <c r="K535" s="1">
        <v>44490</v>
      </c>
      <c r="L535">
        <v>4.1708999999999996</v>
      </c>
      <c r="W535" s="1">
        <v>44491</v>
      </c>
      <c r="X535">
        <v>0.63549999999999995</v>
      </c>
    </row>
    <row r="536" spans="2:24" x14ac:dyDescent="0.3">
      <c r="B536" s="1">
        <v>44368</v>
      </c>
      <c r="C536">
        <v>0.64639999999999997</v>
      </c>
      <c r="F536" s="1">
        <v>44368</v>
      </c>
      <c r="G536">
        <v>81.52</v>
      </c>
      <c r="K536" s="1">
        <v>44487</v>
      </c>
      <c r="L536">
        <v>4.1093000000000002</v>
      </c>
      <c r="W536" s="1">
        <v>44490</v>
      </c>
      <c r="X536">
        <v>0.63329999999999997</v>
      </c>
    </row>
    <row r="537" spans="2:24" x14ac:dyDescent="0.3">
      <c r="B537" s="1">
        <v>44365</v>
      </c>
      <c r="C537">
        <v>0.65</v>
      </c>
      <c r="F537" s="1">
        <v>44365</v>
      </c>
      <c r="G537">
        <v>81.98</v>
      </c>
      <c r="K537" s="1">
        <v>44484</v>
      </c>
      <c r="L537">
        <v>4.0761000000000003</v>
      </c>
      <c r="W537" s="1">
        <v>44487</v>
      </c>
      <c r="X537">
        <v>0.624</v>
      </c>
    </row>
    <row r="538" spans="2:24" x14ac:dyDescent="0.3">
      <c r="B538" s="1">
        <v>44364</v>
      </c>
      <c r="C538">
        <v>0.64929999999999999</v>
      </c>
      <c r="F538" s="1">
        <v>44364</v>
      </c>
      <c r="G538">
        <v>81.88</v>
      </c>
      <c r="K538" s="1">
        <v>44483</v>
      </c>
      <c r="L538">
        <v>4.0666000000000002</v>
      </c>
      <c r="W538" s="1">
        <v>44484</v>
      </c>
      <c r="X538">
        <v>0.61890000000000001</v>
      </c>
    </row>
    <row r="539" spans="2:24" x14ac:dyDescent="0.3">
      <c r="B539" s="1">
        <v>44363</v>
      </c>
      <c r="C539">
        <v>0.64929999999999999</v>
      </c>
      <c r="F539" s="1">
        <v>44363</v>
      </c>
      <c r="G539">
        <v>81.88</v>
      </c>
      <c r="K539" s="1">
        <v>44482</v>
      </c>
      <c r="L539">
        <v>4.0618999999999996</v>
      </c>
      <c r="W539" s="1">
        <v>44483</v>
      </c>
      <c r="X539">
        <v>0.61750000000000005</v>
      </c>
    </row>
    <row r="540" spans="2:24" x14ac:dyDescent="0.3">
      <c r="B540" s="1">
        <v>44362</v>
      </c>
      <c r="C540">
        <v>0.64929999999999999</v>
      </c>
      <c r="F540" s="1">
        <v>44362</v>
      </c>
      <c r="G540">
        <v>81.88</v>
      </c>
      <c r="K540" s="1">
        <v>44481</v>
      </c>
      <c r="L540">
        <v>4.1993</v>
      </c>
      <c r="W540" s="1">
        <v>44482</v>
      </c>
      <c r="X540">
        <v>0.61680000000000001</v>
      </c>
    </row>
    <row r="541" spans="2:24" x14ac:dyDescent="0.3">
      <c r="B541" s="1">
        <v>44361</v>
      </c>
      <c r="C541">
        <v>0.65359999999999996</v>
      </c>
      <c r="F541" s="1">
        <v>44361</v>
      </c>
      <c r="G541">
        <v>82.43</v>
      </c>
      <c r="K541" s="1">
        <v>44480</v>
      </c>
      <c r="L541">
        <v>4.1234999999999999</v>
      </c>
      <c r="W541" s="1">
        <v>44481</v>
      </c>
      <c r="X541">
        <v>0.63759999999999994</v>
      </c>
    </row>
    <row r="542" spans="2:24" x14ac:dyDescent="0.3">
      <c r="B542" s="1">
        <v>44358</v>
      </c>
      <c r="C542">
        <v>0.66010000000000002</v>
      </c>
      <c r="F542" s="1">
        <v>44358</v>
      </c>
      <c r="G542">
        <v>83.25</v>
      </c>
      <c r="K542" s="1">
        <v>44477</v>
      </c>
      <c r="L542">
        <v>4.2609000000000004</v>
      </c>
      <c r="W542" s="1">
        <v>44480</v>
      </c>
      <c r="X542">
        <v>0.62609999999999999</v>
      </c>
    </row>
    <row r="543" spans="2:24" x14ac:dyDescent="0.3">
      <c r="B543" s="1">
        <v>44357</v>
      </c>
      <c r="C543">
        <v>0.6573</v>
      </c>
      <c r="F543" s="1">
        <v>44357</v>
      </c>
      <c r="G543">
        <v>82.89</v>
      </c>
      <c r="K543" s="1">
        <v>44476</v>
      </c>
      <c r="L543">
        <v>4.2846000000000002</v>
      </c>
      <c r="W543" s="1">
        <v>44477</v>
      </c>
      <c r="X543">
        <v>0.64700000000000002</v>
      </c>
    </row>
    <row r="544" spans="2:24" x14ac:dyDescent="0.3">
      <c r="B544" s="1">
        <v>44356</v>
      </c>
      <c r="C544">
        <v>0.65439999999999998</v>
      </c>
      <c r="F544" s="1">
        <v>44356</v>
      </c>
      <c r="G544">
        <v>82.52</v>
      </c>
      <c r="K544" s="1">
        <v>44475</v>
      </c>
      <c r="L544">
        <v>4.2561999999999998</v>
      </c>
      <c r="W544" s="1">
        <v>44476</v>
      </c>
      <c r="X544">
        <v>0.65059999999999996</v>
      </c>
    </row>
    <row r="545" spans="2:24" x14ac:dyDescent="0.3">
      <c r="B545" s="1">
        <v>44355</v>
      </c>
      <c r="C545">
        <v>0.64929999999999999</v>
      </c>
      <c r="F545" s="1">
        <v>44355</v>
      </c>
      <c r="G545">
        <v>81.88</v>
      </c>
      <c r="K545" s="1">
        <v>44474</v>
      </c>
      <c r="L545">
        <v>4.1234999999999999</v>
      </c>
      <c r="W545" s="1">
        <v>44475</v>
      </c>
      <c r="X545">
        <v>0.64629999999999999</v>
      </c>
    </row>
    <row r="546" spans="2:24" x14ac:dyDescent="0.3">
      <c r="B546" s="1">
        <v>44354</v>
      </c>
      <c r="C546">
        <v>0.66010000000000002</v>
      </c>
      <c r="F546" s="1">
        <v>44354</v>
      </c>
      <c r="G546">
        <v>83.25</v>
      </c>
      <c r="K546" s="1">
        <v>44473</v>
      </c>
      <c r="L546">
        <v>4.0145</v>
      </c>
      <c r="W546" s="1">
        <v>44474</v>
      </c>
      <c r="X546">
        <v>0.62609999999999999</v>
      </c>
    </row>
    <row r="547" spans="2:24" x14ac:dyDescent="0.3">
      <c r="B547" s="1">
        <v>44351</v>
      </c>
      <c r="C547">
        <v>0.66159999999999997</v>
      </c>
      <c r="F547" s="1">
        <v>44351</v>
      </c>
      <c r="G547">
        <v>83.43</v>
      </c>
      <c r="K547" s="1">
        <v>44470</v>
      </c>
      <c r="L547">
        <v>4.0286999999999997</v>
      </c>
      <c r="W547" s="1">
        <v>44473</v>
      </c>
      <c r="X547">
        <v>0.60960000000000003</v>
      </c>
    </row>
    <row r="548" spans="2:24" x14ac:dyDescent="0.3">
      <c r="B548" s="1">
        <v>44350</v>
      </c>
      <c r="C548">
        <v>0.65</v>
      </c>
      <c r="F548" s="1">
        <v>44350</v>
      </c>
      <c r="G548">
        <v>81.98</v>
      </c>
      <c r="K548" s="1">
        <v>44469</v>
      </c>
      <c r="L548">
        <v>4.0049999999999999</v>
      </c>
      <c r="W548" s="1">
        <v>44470</v>
      </c>
      <c r="X548">
        <v>0.61170000000000002</v>
      </c>
    </row>
    <row r="549" spans="2:24" x14ac:dyDescent="0.3">
      <c r="B549" s="1">
        <v>44349</v>
      </c>
      <c r="C549">
        <v>0.64070000000000005</v>
      </c>
      <c r="F549" s="1">
        <v>44349</v>
      </c>
      <c r="G549">
        <v>80.790000000000006</v>
      </c>
      <c r="K549" s="1">
        <v>44468</v>
      </c>
      <c r="L549">
        <v>4.4081000000000001</v>
      </c>
      <c r="W549" s="1">
        <v>44469</v>
      </c>
      <c r="X549">
        <v>0.60809999999999997</v>
      </c>
    </row>
    <row r="550" spans="2:24" x14ac:dyDescent="0.3">
      <c r="B550" s="1">
        <v>44348</v>
      </c>
      <c r="C550">
        <v>0.64500000000000002</v>
      </c>
      <c r="F550" s="1">
        <v>44348</v>
      </c>
      <c r="G550">
        <v>81.34</v>
      </c>
      <c r="K550" s="1">
        <v>44467</v>
      </c>
      <c r="L550">
        <v>4.3659999999999997</v>
      </c>
      <c r="W550" s="1">
        <v>44468</v>
      </c>
      <c r="X550">
        <v>0.5958</v>
      </c>
    </row>
    <row r="551" spans="2:24" x14ac:dyDescent="0.3">
      <c r="B551" s="1">
        <v>44347</v>
      </c>
      <c r="C551">
        <v>0.62770000000000004</v>
      </c>
      <c r="F551" s="1">
        <v>44347</v>
      </c>
      <c r="G551">
        <v>79.16</v>
      </c>
      <c r="K551" s="1">
        <v>44466</v>
      </c>
      <c r="L551">
        <v>4.4134000000000002</v>
      </c>
      <c r="W551" s="1">
        <v>44467</v>
      </c>
      <c r="X551">
        <v>0.59009999999999996</v>
      </c>
    </row>
    <row r="552" spans="2:24" x14ac:dyDescent="0.3">
      <c r="B552" s="1">
        <v>44344</v>
      </c>
      <c r="C552">
        <v>0.6169</v>
      </c>
      <c r="F552" s="1">
        <v>44344</v>
      </c>
      <c r="G552">
        <v>77.790000000000006</v>
      </c>
      <c r="K552" s="1">
        <v>44463</v>
      </c>
      <c r="L552">
        <v>4.4185999999999996</v>
      </c>
      <c r="W552" s="1">
        <v>44466</v>
      </c>
      <c r="X552">
        <v>0.59650000000000003</v>
      </c>
    </row>
    <row r="553" spans="2:24" x14ac:dyDescent="0.3">
      <c r="B553" s="1">
        <v>44341</v>
      </c>
      <c r="C553">
        <v>0.61040000000000005</v>
      </c>
      <c r="F553" s="1">
        <v>44341</v>
      </c>
      <c r="G553">
        <v>76.97</v>
      </c>
      <c r="K553" s="1">
        <v>44462</v>
      </c>
      <c r="L553">
        <v>4.3818000000000001</v>
      </c>
      <c r="W553" s="1">
        <v>44463</v>
      </c>
      <c r="X553">
        <v>0.59719999999999995</v>
      </c>
    </row>
    <row r="554" spans="2:24" x14ac:dyDescent="0.3">
      <c r="B554" s="1">
        <v>44340</v>
      </c>
      <c r="C554">
        <v>0.5988</v>
      </c>
      <c r="F554" s="1">
        <v>44340</v>
      </c>
      <c r="G554">
        <v>75.52</v>
      </c>
      <c r="K554" s="1">
        <v>44461</v>
      </c>
      <c r="L554">
        <v>4.3659999999999997</v>
      </c>
      <c r="W554" s="1">
        <v>44462</v>
      </c>
      <c r="X554">
        <v>0.59219999999999995</v>
      </c>
    </row>
    <row r="555" spans="2:24" x14ac:dyDescent="0.3">
      <c r="B555" s="1">
        <v>44337</v>
      </c>
      <c r="C555">
        <v>0.5988</v>
      </c>
      <c r="F555" s="1">
        <v>44337</v>
      </c>
      <c r="G555">
        <v>75.52</v>
      </c>
      <c r="K555" s="1">
        <v>44460</v>
      </c>
      <c r="L555">
        <v>4.3765000000000001</v>
      </c>
      <c r="W555" s="1">
        <v>44461</v>
      </c>
      <c r="X555">
        <v>0.59009999999999996</v>
      </c>
    </row>
    <row r="556" spans="2:24" x14ac:dyDescent="0.3">
      <c r="B556" s="1">
        <v>44336</v>
      </c>
      <c r="C556">
        <v>0.60099999999999998</v>
      </c>
      <c r="F556" s="1">
        <v>44336</v>
      </c>
      <c r="G556">
        <v>75.790000000000006</v>
      </c>
      <c r="K556" s="1">
        <v>44456</v>
      </c>
      <c r="L556">
        <v>4.3922999999999996</v>
      </c>
      <c r="W556" s="1">
        <v>44460</v>
      </c>
      <c r="X556">
        <v>0.59150000000000003</v>
      </c>
    </row>
    <row r="557" spans="2:24" x14ac:dyDescent="0.3">
      <c r="B557" s="1">
        <v>44335</v>
      </c>
      <c r="C557">
        <v>0.61250000000000004</v>
      </c>
      <c r="F557" s="1">
        <v>44335</v>
      </c>
      <c r="G557">
        <v>77.239999999999995</v>
      </c>
      <c r="K557" s="1">
        <v>44455</v>
      </c>
      <c r="L557">
        <v>4.4185999999999996</v>
      </c>
      <c r="W557" s="1">
        <v>44456</v>
      </c>
      <c r="X557">
        <v>0.59360000000000002</v>
      </c>
    </row>
    <row r="558" spans="2:24" x14ac:dyDescent="0.3">
      <c r="B558" s="1">
        <v>44334</v>
      </c>
      <c r="C558">
        <v>0.6089</v>
      </c>
      <c r="F558" s="1">
        <v>44334</v>
      </c>
      <c r="G558">
        <v>76.790000000000006</v>
      </c>
      <c r="K558" s="1">
        <v>44454</v>
      </c>
      <c r="L558">
        <v>4.4134000000000002</v>
      </c>
      <c r="W558" s="1">
        <v>44455</v>
      </c>
      <c r="X558">
        <v>0.59719999999999995</v>
      </c>
    </row>
    <row r="559" spans="2:24" x14ac:dyDescent="0.3">
      <c r="B559" s="1">
        <v>44333</v>
      </c>
      <c r="C559">
        <v>0.60460000000000003</v>
      </c>
      <c r="F559" s="1">
        <v>44333</v>
      </c>
      <c r="G559">
        <v>76.239999999999995</v>
      </c>
      <c r="K559" s="1">
        <v>44453</v>
      </c>
      <c r="L559">
        <v>4.3659999999999997</v>
      </c>
      <c r="W559" s="1">
        <v>44454</v>
      </c>
      <c r="X559">
        <v>0.59650000000000003</v>
      </c>
    </row>
    <row r="560" spans="2:24" x14ac:dyDescent="0.3">
      <c r="B560" s="1">
        <v>44329</v>
      </c>
      <c r="C560">
        <v>0.59089999999999998</v>
      </c>
      <c r="F560" s="1">
        <v>44329</v>
      </c>
      <c r="G560">
        <v>74.52</v>
      </c>
      <c r="K560" s="1">
        <v>44452</v>
      </c>
      <c r="L560">
        <v>4.3502000000000001</v>
      </c>
      <c r="W560" s="1">
        <v>44453</v>
      </c>
      <c r="X560">
        <v>0.59009999999999996</v>
      </c>
    </row>
    <row r="561" spans="2:24" x14ac:dyDescent="0.3">
      <c r="B561" s="1">
        <v>44328</v>
      </c>
      <c r="C561">
        <v>0.58150000000000002</v>
      </c>
      <c r="F561" s="1">
        <v>44328</v>
      </c>
      <c r="G561">
        <v>73.33</v>
      </c>
      <c r="K561" s="1">
        <v>44449</v>
      </c>
      <c r="L561">
        <v>4.4448999999999996</v>
      </c>
      <c r="W561" s="1">
        <v>44452</v>
      </c>
      <c r="X561">
        <v>0.58789999999999998</v>
      </c>
    </row>
    <row r="562" spans="2:24" x14ac:dyDescent="0.3">
      <c r="B562" s="1">
        <v>44327</v>
      </c>
      <c r="C562">
        <v>0.58150000000000002</v>
      </c>
      <c r="F562" s="1">
        <v>44327</v>
      </c>
      <c r="G562">
        <v>73.33</v>
      </c>
      <c r="K562" s="1">
        <v>44448</v>
      </c>
      <c r="L562">
        <v>4.4238999999999997</v>
      </c>
      <c r="W562" s="1">
        <v>44449</v>
      </c>
      <c r="X562">
        <v>0.60070000000000001</v>
      </c>
    </row>
    <row r="563" spans="2:24" x14ac:dyDescent="0.3">
      <c r="B563" s="1">
        <v>44326</v>
      </c>
      <c r="C563">
        <v>0.58009999999999995</v>
      </c>
      <c r="F563" s="1">
        <v>44326</v>
      </c>
      <c r="G563">
        <v>73.150000000000006</v>
      </c>
      <c r="K563" s="1">
        <v>44447</v>
      </c>
      <c r="L563">
        <v>4.4397000000000002</v>
      </c>
      <c r="W563" s="1">
        <v>44448</v>
      </c>
      <c r="X563">
        <v>0.59789999999999999</v>
      </c>
    </row>
    <row r="564" spans="2:24" x14ac:dyDescent="0.3">
      <c r="B564" s="1">
        <v>44323</v>
      </c>
      <c r="C564">
        <v>0.57789999999999997</v>
      </c>
      <c r="F564" s="1">
        <v>44323</v>
      </c>
      <c r="G564">
        <v>72.88</v>
      </c>
      <c r="K564" s="1">
        <v>44446</v>
      </c>
      <c r="L564">
        <v>4.4711999999999996</v>
      </c>
      <c r="W564" s="1">
        <v>44447</v>
      </c>
      <c r="X564">
        <v>0.6</v>
      </c>
    </row>
    <row r="565" spans="2:24" x14ac:dyDescent="0.3">
      <c r="B565" s="1">
        <v>44322</v>
      </c>
      <c r="C565">
        <v>0.57430000000000003</v>
      </c>
      <c r="F565" s="1">
        <v>44322</v>
      </c>
      <c r="G565">
        <v>72.42</v>
      </c>
      <c r="K565" s="1">
        <v>44445</v>
      </c>
      <c r="L565">
        <v>4.4764999999999997</v>
      </c>
      <c r="W565" s="1">
        <v>44446</v>
      </c>
      <c r="X565">
        <v>0.60429999999999995</v>
      </c>
    </row>
    <row r="566" spans="2:24" x14ac:dyDescent="0.3">
      <c r="B566" s="1">
        <v>44321</v>
      </c>
      <c r="C566">
        <v>0.57720000000000005</v>
      </c>
      <c r="F566" s="1">
        <v>44321</v>
      </c>
      <c r="G566">
        <v>72.790000000000006</v>
      </c>
      <c r="K566" s="1">
        <v>44442</v>
      </c>
      <c r="L566">
        <v>4.5133000000000001</v>
      </c>
      <c r="W566" s="1">
        <v>44445</v>
      </c>
      <c r="X566">
        <v>0.60499999999999998</v>
      </c>
    </row>
    <row r="567" spans="2:24" x14ac:dyDescent="0.3">
      <c r="B567" s="1">
        <v>44320</v>
      </c>
      <c r="C567">
        <v>0.57210000000000005</v>
      </c>
      <c r="F567" s="1">
        <v>44320</v>
      </c>
      <c r="G567">
        <v>72.150000000000006</v>
      </c>
      <c r="K567" s="1">
        <v>44441</v>
      </c>
      <c r="L567">
        <v>4.508</v>
      </c>
      <c r="W567" s="1">
        <v>44442</v>
      </c>
      <c r="X567">
        <v>0.61</v>
      </c>
    </row>
    <row r="568" spans="2:24" x14ac:dyDescent="0.3">
      <c r="B568" s="1">
        <v>44319</v>
      </c>
      <c r="C568">
        <v>0.5736</v>
      </c>
      <c r="F568" s="1">
        <v>44319</v>
      </c>
      <c r="G568">
        <v>72.33</v>
      </c>
      <c r="K568" s="1">
        <v>44440</v>
      </c>
      <c r="L568">
        <v>4.508</v>
      </c>
      <c r="W568" s="1">
        <v>44441</v>
      </c>
      <c r="X568">
        <v>0.60929999999999995</v>
      </c>
    </row>
    <row r="569" spans="2:24" x14ac:dyDescent="0.3">
      <c r="B569" s="1">
        <v>44316</v>
      </c>
      <c r="C569">
        <v>0.58220000000000005</v>
      </c>
      <c r="F569" s="1">
        <v>44316</v>
      </c>
      <c r="G569">
        <v>73.42</v>
      </c>
      <c r="K569" s="1">
        <v>44439</v>
      </c>
      <c r="L569">
        <v>4.5763999999999996</v>
      </c>
      <c r="W569" s="1">
        <v>44440</v>
      </c>
      <c r="X569">
        <v>0.60929999999999995</v>
      </c>
    </row>
    <row r="570" spans="2:24" x14ac:dyDescent="0.3">
      <c r="B570" s="1">
        <v>44315</v>
      </c>
      <c r="C570">
        <v>0.57720000000000005</v>
      </c>
      <c r="F570" s="1">
        <v>44315</v>
      </c>
      <c r="G570">
        <v>72.790000000000006</v>
      </c>
      <c r="K570" s="1">
        <v>44438</v>
      </c>
      <c r="L570">
        <v>4.4817</v>
      </c>
      <c r="W570" s="1">
        <v>44439</v>
      </c>
      <c r="X570">
        <v>0.61850000000000005</v>
      </c>
    </row>
    <row r="571" spans="2:24" x14ac:dyDescent="0.3">
      <c r="B571" s="1">
        <v>44314</v>
      </c>
      <c r="C571">
        <v>0.5837</v>
      </c>
      <c r="F571" s="1">
        <v>44314</v>
      </c>
      <c r="G571">
        <v>73.61</v>
      </c>
      <c r="K571" s="1">
        <v>44435</v>
      </c>
      <c r="L571">
        <v>4.6026999999999996</v>
      </c>
      <c r="W571" s="1">
        <v>44438</v>
      </c>
      <c r="X571">
        <v>0.60570000000000002</v>
      </c>
    </row>
    <row r="572" spans="2:24" x14ac:dyDescent="0.3">
      <c r="B572" s="1">
        <v>44313</v>
      </c>
      <c r="C572">
        <v>0.57210000000000005</v>
      </c>
      <c r="F572" s="1">
        <v>44313</v>
      </c>
      <c r="G572">
        <v>72.150000000000006</v>
      </c>
      <c r="K572" s="1">
        <v>44434</v>
      </c>
      <c r="L572">
        <v>4.6342999999999996</v>
      </c>
      <c r="W572" s="1">
        <v>44435</v>
      </c>
      <c r="X572">
        <v>0.62209999999999999</v>
      </c>
    </row>
    <row r="573" spans="2:24" x14ac:dyDescent="0.3">
      <c r="B573" s="1">
        <v>44309</v>
      </c>
      <c r="C573">
        <v>0.59299999999999997</v>
      </c>
      <c r="F573" s="1">
        <v>44309</v>
      </c>
      <c r="G573">
        <v>74.790000000000006</v>
      </c>
      <c r="K573" s="1">
        <v>44433</v>
      </c>
      <c r="L573">
        <v>4.4923000000000002</v>
      </c>
      <c r="W573" s="1">
        <v>44434</v>
      </c>
      <c r="X573">
        <v>0.62629999999999997</v>
      </c>
    </row>
    <row r="574" spans="2:24" x14ac:dyDescent="0.3">
      <c r="B574" s="1">
        <v>44308</v>
      </c>
      <c r="C574">
        <v>0.60529999999999995</v>
      </c>
      <c r="F574" s="1">
        <v>44308</v>
      </c>
      <c r="G574">
        <v>76.33</v>
      </c>
      <c r="K574" s="1">
        <v>44432</v>
      </c>
      <c r="L574">
        <v>4.4870000000000001</v>
      </c>
      <c r="W574" s="1">
        <v>44433</v>
      </c>
      <c r="X574">
        <v>0.60709999999999997</v>
      </c>
    </row>
    <row r="575" spans="2:24" x14ac:dyDescent="0.3">
      <c r="B575" s="1">
        <v>44307</v>
      </c>
      <c r="C575">
        <v>0.61250000000000004</v>
      </c>
      <c r="F575" s="1">
        <v>44307</v>
      </c>
      <c r="G575">
        <v>77.239999999999995</v>
      </c>
      <c r="K575" s="1">
        <v>44431</v>
      </c>
      <c r="L575">
        <v>4.4660000000000002</v>
      </c>
      <c r="W575" s="1">
        <v>44432</v>
      </c>
      <c r="X575">
        <v>0.60640000000000005</v>
      </c>
    </row>
    <row r="576" spans="2:24" x14ac:dyDescent="0.3">
      <c r="B576" s="1">
        <v>44306</v>
      </c>
      <c r="C576">
        <v>0.61539999999999995</v>
      </c>
      <c r="F576" s="1">
        <v>44306</v>
      </c>
      <c r="G576">
        <v>77.61</v>
      </c>
      <c r="K576" s="1">
        <v>44428</v>
      </c>
      <c r="L576">
        <v>4.4554</v>
      </c>
      <c r="W576" s="1">
        <v>44431</v>
      </c>
      <c r="X576">
        <v>0.60360000000000003</v>
      </c>
    </row>
    <row r="577" spans="2:24" x14ac:dyDescent="0.3">
      <c r="B577" s="1">
        <v>44305</v>
      </c>
      <c r="C577">
        <v>0.62260000000000004</v>
      </c>
      <c r="F577" s="1">
        <v>44305</v>
      </c>
      <c r="G577">
        <v>78.52</v>
      </c>
      <c r="K577" s="1">
        <v>44427</v>
      </c>
      <c r="L577">
        <v>4.4817</v>
      </c>
      <c r="W577" s="1">
        <v>44428</v>
      </c>
      <c r="X577">
        <v>0.60219999999999996</v>
      </c>
    </row>
    <row r="578" spans="2:24" x14ac:dyDescent="0.3">
      <c r="B578" s="1">
        <v>44302</v>
      </c>
      <c r="C578">
        <v>0.62619999999999998</v>
      </c>
      <c r="F578" s="1">
        <v>44302</v>
      </c>
      <c r="G578">
        <v>78.97</v>
      </c>
      <c r="K578" s="1">
        <v>44426</v>
      </c>
      <c r="L578">
        <v>4.4764999999999997</v>
      </c>
      <c r="W578" s="1">
        <v>44427</v>
      </c>
      <c r="X578">
        <v>0.60570000000000002</v>
      </c>
    </row>
    <row r="579" spans="2:24" x14ac:dyDescent="0.3">
      <c r="B579" s="1">
        <v>44301</v>
      </c>
      <c r="C579">
        <v>0.62770000000000004</v>
      </c>
      <c r="F579" s="1">
        <v>44301</v>
      </c>
      <c r="G579">
        <v>79.16</v>
      </c>
      <c r="K579" s="1">
        <v>44425</v>
      </c>
      <c r="L579">
        <v>4.4554</v>
      </c>
      <c r="W579" s="1">
        <v>44426</v>
      </c>
      <c r="X579">
        <v>0.60499999999999998</v>
      </c>
    </row>
    <row r="580" spans="2:24" x14ac:dyDescent="0.3">
      <c r="B580" s="1">
        <v>44298</v>
      </c>
      <c r="C580">
        <v>0.62770000000000004</v>
      </c>
      <c r="F580" s="1">
        <v>44298</v>
      </c>
      <c r="G580">
        <v>79.16</v>
      </c>
      <c r="K580" s="1">
        <v>44424</v>
      </c>
      <c r="L580">
        <v>4.3975999999999997</v>
      </c>
      <c r="W580" s="1">
        <v>44425</v>
      </c>
      <c r="X580">
        <v>0.60219999999999996</v>
      </c>
    </row>
    <row r="581" spans="2:24" x14ac:dyDescent="0.3">
      <c r="B581" s="1">
        <v>44295</v>
      </c>
      <c r="C581">
        <v>0.62119999999999997</v>
      </c>
      <c r="F581" s="1">
        <v>44295</v>
      </c>
      <c r="G581">
        <v>78.34</v>
      </c>
      <c r="K581" s="1">
        <v>44421</v>
      </c>
      <c r="L581">
        <v>4.3975999999999997</v>
      </c>
      <c r="W581" s="1">
        <v>44424</v>
      </c>
      <c r="X581">
        <v>0.59430000000000005</v>
      </c>
    </row>
    <row r="582" spans="2:24" x14ac:dyDescent="0.3">
      <c r="B582" s="1">
        <v>44294</v>
      </c>
      <c r="C582">
        <v>0.61829999999999996</v>
      </c>
      <c r="F582" s="1">
        <v>44294</v>
      </c>
      <c r="G582">
        <v>77.97</v>
      </c>
      <c r="K582" s="1">
        <v>44420</v>
      </c>
      <c r="L582">
        <v>4.3608000000000002</v>
      </c>
      <c r="W582" s="1">
        <v>44421</v>
      </c>
      <c r="X582">
        <v>0.59430000000000005</v>
      </c>
    </row>
    <row r="583" spans="2:24" x14ac:dyDescent="0.3">
      <c r="B583" s="1">
        <v>44293</v>
      </c>
      <c r="C583">
        <v>0.61760000000000004</v>
      </c>
      <c r="F583" s="1">
        <v>44293</v>
      </c>
      <c r="G583">
        <v>77.88</v>
      </c>
      <c r="K583" s="1">
        <v>44419</v>
      </c>
      <c r="L583">
        <v>4.3871000000000002</v>
      </c>
      <c r="W583" s="1">
        <v>44420</v>
      </c>
      <c r="X583">
        <v>0.58940000000000003</v>
      </c>
    </row>
    <row r="584" spans="2:24" x14ac:dyDescent="0.3">
      <c r="B584" s="1">
        <v>44292</v>
      </c>
      <c r="C584">
        <v>0.61829999999999996</v>
      </c>
      <c r="F584" s="1">
        <v>44292</v>
      </c>
      <c r="G584">
        <v>77.97</v>
      </c>
      <c r="K584" s="1">
        <v>44418</v>
      </c>
      <c r="L584">
        <v>4.3659999999999997</v>
      </c>
      <c r="W584" s="1">
        <v>44419</v>
      </c>
      <c r="X584">
        <v>0.59289999999999998</v>
      </c>
    </row>
    <row r="585" spans="2:24" x14ac:dyDescent="0.3">
      <c r="B585" s="1">
        <v>44291</v>
      </c>
      <c r="C585">
        <v>0.61109999999999998</v>
      </c>
      <c r="F585" s="1">
        <v>44291</v>
      </c>
      <c r="G585">
        <v>77.06</v>
      </c>
      <c r="K585" s="1">
        <v>44417</v>
      </c>
      <c r="L585">
        <v>4.3659999999999997</v>
      </c>
      <c r="W585" s="1">
        <v>44418</v>
      </c>
      <c r="X585">
        <v>0.59009999999999996</v>
      </c>
    </row>
    <row r="586" spans="2:24" x14ac:dyDescent="0.3">
      <c r="B586" s="1">
        <v>44287</v>
      </c>
      <c r="C586">
        <v>0.61760000000000004</v>
      </c>
      <c r="F586" s="1">
        <v>44287</v>
      </c>
      <c r="G586">
        <v>77.88</v>
      </c>
      <c r="K586" s="1">
        <v>44414</v>
      </c>
      <c r="L586">
        <v>4.4028</v>
      </c>
      <c r="W586" s="1">
        <v>44417</v>
      </c>
      <c r="X586">
        <v>0.59009999999999996</v>
      </c>
    </row>
    <row r="587" spans="2:24" x14ac:dyDescent="0.3">
      <c r="B587" s="1">
        <v>44286</v>
      </c>
      <c r="C587">
        <v>0.6169</v>
      </c>
      <c r="F587" s="1">
        <v>44286</v>
      </c>
      <c r="G587">
        <v>77.790000000000006</v>
      </c>
      <c r="K587" s="1">
        <v>44413</v>
      </c>
      <c r="L587">
        <v>4.3975999999999997</v>
      </c>
      <c r="W587" s="1">
        <v>44414</v>
      </c>
      <c r="X587">
        <v>0.59509999999999996</v>
      </c>
    </row>
    <row r="588" spans="2:24" x14ac:dyDescent="0.3">
      <c r="B588" s="1">
        <v>44285</v>
      </c>
      <c r="C588">
        <v>0.66120000000000001</v>
      </c>
      <c r="F588" s="1">
        <v>44285</v>
      </c>
      <c r="G588">
        <v>80.239999999999995</v>
      </c>
      <c r="K588" s="1">
        <v>44412</v>
      </c>
      <c r="L588">
        <v>4.4448999999999996</v>
      </c>
      <c r="W588" s="1">
        <v>44413</v>
      </c>
      <c r="X588">
        <v>0.59430000000000005</v>
      </c>
    </row>
    <row r="589" spans="2:24" x14ac:dyDescent="0.3">
      <c r="B589" s="1">
        <v>44284</v>
      </c>
      <c r="C589">
        <v>0.66559999999999997</v>
      </c>
      <c r="F589" s="1">
        <v>44284</v>
      </c>
      <c r="G589">
        <v>80.77</v>
      </c>
      <c r="K589" s="1">
        <v>44411</v>
      </c>
      <c r="L589">
        <v>4.4448999999999996</v>
      </c>
      <c r="W589" s="1">
        <v>44412</v>
      </c>
      <c r="X589">
        <v>0.60070000000000001</v>
      </c>
    </row>
    <row r="590" spans="2:24" x14ac:dyDescent="0.3">
      <c r="B590" s="1">
        <v>44281</v>
      </c>
      <c r="C590">
        <v>0.64949999999999997</v>
      </c>
      <c r="F590" s="1">
        <v>44281</v>
      </c>
      <c r="G590">
        <v>78.81</v>
      </c>
      <c r="K590" s="1">
        <v>44410</v>
      </c>
      <c r="L590">
        <v>4.4764999999999997</v>
      </c>
      <c r="W590" s="1">
        <v>44411</v>
      </c>
      <c r="X590">
        <v>0.60070000000000001</v>
      </c>
    </row>
    <row r="591" spans="2:24" x14ac:dyDescent="0.3">
      <c r="B591" s="1">
        <v>44280</v>
      </c>
      <c r="C591">
        <v>0.65310000000000001</v>
      </c>
      <c r="F591" s="1">
        <v>44280</v>
      </c>
      <c r="G591">
        <v>79.260000000000005</v>
      </c>
      <c r="K591" s="1">
        <v>44407</v>
      </c>
      <c r="L591">
        <v>4.4870000000000001</v>
      </c>
      <c r="W591" s="1">
        <v>44410</v>
      </c>
      <c r="X591">
        <v>0.60499999999999998</v>
      </c>
    </row>
    <row r="592" spans="2:24" x14ac:dyDescent="0.3">
      <c r="B592" s="1">
        <v>44279</v>
      </c>
      <c r="C592">
        <v>0.65680000000000005</v>
      </c>
      <c r="F592" s="1">
        <v>44279</v>
      </c>
      <c r="G592">
        <v>79.7</v>
      </c>
      <c r="K592" s="1">
        <v>44406</v>
      </c>
      <c r="L592">
        <v>4.4660000000000002</v>
      </c>
      <c r="W592" s="1">
        <v>44407</v>
      </c>
      <c r="X592">
        <v>0.60640000000000005</v>
      </c>
    </row>
    <row r="593" spans="2:24" x14ac:dyDescent="0.3">
      <c r="B593" s="1">
        <v>44278</v>
      </c>
      <c r="C593">
        <v>0.63919999999999999</v>
      </c>
      <c r="F593" s="1">
        <v>44278</v>
      </c>
      <c r="G593">
        <v>77.569999999999993</v>
      </c>
      <c r="K593" s="1">
        <v>44405</v>
      </c>
      <c r="L593">
        <v>4.4397000000000002</v>
      </c>
      <c r="W593" s="1">
        <v>44406</v>
      </c>
      <c r="X593">
        <v>0.60360000000000003</v>
      </c>
    </row>
    <row r="594" spans="2:24" x14ac:dyDescent="0.3">
      <c r="B594" s="1">
        <v>44277</v>
      </c>
      <c r="C594">
        <v>0.63329999999999997</v>
      </c>
      <c r="F594" s="1">
        <v>44277</v>
      </c>
      <c r="G594">
        <v>76.86</v>
      </c>
      <c r="K594" s="1">
        <v>44404</v>
      </c>
      <c r="L594">
        <v>4.4185999999999996</v>
      </c>
      <c r="W594" s="1">
        <v>44405</v>
      </c>
      <c r="X594">
        <v>0.6</v>
      </c>
    </row>
    <row r="595" spans="2:24" x14ac:dyDescent="0.3">
      <c r="B595" s="1">
        <v>44274</v>
      </c>
      <c r="C595">
        <v>0.6341</v>
      </c>
      <c r="F595" s="1">
        <v>44274</v>
      </c>
      <c r="G595">
        <v>76.95</v>
      </c>
      <c r="K595" s="1">
        <v>44403</v>
      </c>
      <c r="L595">
        <v>4.4134000000000002</v>
      </c>
      <c r="W595" s="1">
        <v>44404</v>
      </c>
      <c r="X595">
        <v>0.59719999999999995</v>
      </c>
    </row>
    <row r="596" spans="2:24" x14ac:dyDescent="0.3">
      <c r="B596" s="1">
        <v>44273</v>
      </c>
      <c r="C596">
        <v>0.62890000000000001</v>
      </c>
      <c r="F596" s="1">
        <v>44273</v>
      </c>
      <c r="G596">
        <v>76.319999999999993</v>
      </c>
      <c r="K596" s="1">
        <v>44399</v>
      </c>
      <c r="L596">
        <v>4.4764999999999997</v>
      </c>
      <c r="W596" s="1">
        <v>44403</v>
      </c>
      <c r="X596">
        <v>0.59650000000000003</v>
      </c>
    </row>
    <row r="597" spans="2:24" x14ac:dyDescent="0.3">
      <c r="B597" s="1">
        <v>44272</v>
      </c>
      <c r="C597">
        <v>0.63039999999999996</v>
      </c>
      <c r="F597" s="1">
        <v>44272</v>
      </c>
      <c r="G597">
        <v>76.5</v>
      </c>
      <c r="K597" s="1">
        <v>44397</v>
      </c>
      <c r="L597">
        <v>4.5659000000000001</v>
      </c>
      <c r="W597" s="1">
        <v>44399</v>
      </c>
      <c r="X597">
        <v>0.60499999999999998</v>
      </c>
    </row>
    <row r="598" spans="2:24" x14ac:dyDescent="0.3">
      <c r="B598" s="1">
        <v>44271</v>
      </c>
      <c r="C598">
        <v>0.63919999999999999</v>
      </c>
      <c r="F598" s="1">
        <v>44271</v>
      </c>
      <c r="G598">
        <v>77.569999999999993</v>
      </c>
      <c r="K598" s="1">
        <v>44396</v>
      </c>
      <c r="L598">
        <v>4.6185</v>
      </c>
      <c r="W598" s="1">
        <v>44397</v>
      </c>
      <c r="X598">
        <v>0.61709999999999998</v>
      </c>
    </row>
    <row r="599" spans="2:24" x14ac:dyDescent="0.3">
      <c r="B599" s="1">
        <v>44270</v>
      </c>
      <c r="C599">
        <v>0.64290000000000003</v>
      </c>
      <c r="F599" s="1">
        <v>44270</v>
      </c>
      <c r="G599">
        <v>78.010000000000005</v>
      </c>
      <c r="K599" s="1">
        <v>44393</v>
      </c>
      <c r="L599">
        <v>4.5922000000000001</v>
      </c>
      <c r="W599" s="1">
        <v>44396</v>
      </c>
      <c r="X599">
        <v>0.62419999999999998</v>
      </c>
    </row>
    <row r="600" spans="2:24" x14ac:dyDescent="0.3">
      <c r="B600" s="1">
        <v>44267</v>
      </c>
      <c r="C600">
        <v>0.63700000000000001</v>
      </c>
      <c r="F600" s="1">
        <v>44267</v>
      </c>
      <c r="G600">
        <v>77.3</v>
      </c>
      <c r="K600" s="1">
        <v>44392</v>
      </c>
      <c r="L600">
        <v>4.5763999999999996</v>
      </c>
      <c r="W600" s="1">
        <v>44393</v>
      </c>
      <c r="X600">
        <v>0.62070000000000003</v>
      </c>
    </row>
    <row r="601" spans="2:24" x14ac:dyDescent="0.3">
      <c r="B601" s="1">
        <v>44265</v>
      </c>
      <c r="C601">
        <v>0.63109999999999999</v>
      </c>
      <c r="F601" s="1">
        <v>44265</v>
      </c>
      <c r="G601">
        <v>76.59</v>
      </c>
      <c r="K601" s="1">
        <v>44391</v>
      </c>
      <c r="L601">
        <v>4.5816999999999997</v>
      </c>
      <c r="W601" s="1">
        <v>44392</v>
      </c>
      <c r="X601">
        <v>0.61850000000000005</v>
      </c>
    </row>
    <row r="602" spans="2:24" x14ac:dyDescent="0.3">
      <c r="B602" s="1">
        <v>44264</v>
      </c>
      <c r="C602">
        <v>0.64580000000000004</v>
      </c>
      <c r="F602" s="1">
        <v>44264</v>
      </c>
      <c r="G602">
        <v>78.37</v>
      </c>
      <c r="K602" s="1">
        <v>44390</v>
      </c>
      <c r="L602">
        <v>4.5712000000000002</v>
      </c>
      <c r="W602" s="1">
        <v>44391</v>
      </c>
      <c r="X602">
        <v>0.61919999999999997</v>
      </c>
    </row>
    <row r="603" spans="2:24" x14ac:dyDescent="0.3">
      <c r="B603" s="1">
        <v>44263</v>
      </c>
      <c r="C603">
        <v>0.63190000000000002</v>
      </c>
      <c r="F603" s="1">
        <v>44263</v>
      </c>
      <c r="G603">
        <v>76.680000000000007</v>
      </c>
      <c r="K603" s="1">
        <v>44389</v>
      </c>
      <c r="L603">
        <v>4.5922000000000001</v>
      </c>
      <c r="W603" s="1">
        <v>44390</v>
      </c>
      <c r="X603">
        <v>0.61780000000000002</v>
      </c>
    </row>
    <row r="604" spans="2:24" x14ac:dyDescent="0.3">
      <c r="B604" s="1">
        <v>44260</v>
      </c>
      <c r="C604">
        <v>0.62229999999999996</v>
      </c>
      <c r="F604" s="1">
        <v>44260</v>
      </c>
      <c r="G604">
        <v>75.52</v>
      </c>
      <c r="K604" s="1">
        <v>44386</v>
      </c>
      <c r="L604">
        <v>4.5922000000000001</v>
      </c>
      <c r="W604" s="1">
        <v>44389</v>
      </c>
      <c r="X604">
        <v>0.62070000000000003</v>
      </c>
    </row>
    <row r="605" spans="2:24" x14ac:dyDescent="0.3">
      <c r="B605" s="1">
        <v>44259</v>
      </c>
      <c r="C605">
        <v>0.61939999999999995</v>
      </c>
      <c r="F605" s="1">
        <v>44259</v>
      </c>
      <c r="G605">
        <v>75.17</v>
      </c>
      <c r="K605" s="1">
        <v>44385</v>
      </c>
      <c r="L605">
        <v>4.5553999999999997</v>
      </c>
      <c r="W605" s="1">
        <v>44386</v>
      </c>
      <c r="X605">
        <v>0.62070000000000003</v>
      </c>
    </row>
    <row r="606" spans="2:24" x14ac:dyDescent="0.3">
      <c r="B606" s="1">
        <v>44258</v>
      </c>
      <c r="C606">
        <v>0.62890000000000001</v>
      </c>
      <c r="F606" s="1">
        <v>44258</v>
      </c>
      <c r="G606">
        <v>76.319999999999993</v>
      </c>
      <c r="K606" s="1">
        <v>44384</v>
      </c>
      <c r="L606">
        <v>4.5500999999999996</v>
      </c>
      <c r="W606" s="1">
        <v>44385</v>
      </c>
      <c r="X606">
        <v>0.61570000000000003</v>
      </c>
    </row>
    <row r="607" spans="2:24" x14ac:dyDescent="0.3">
      <c r="B607" s="1">
        <v>44257</v>
      </c>
      <c r="C607">
        <v>0.63629999999999998</v>
      </c>
      <c r="F607" s="1">
        <v>44257</v>
      </c>
      <c r="G607">
        <v>77.209999999999994</v>
      </c>
      <c r="K607" s="1">
        <v>44383</v>
      </c>
      <c r="L607">
        <v>4.5449000000000002</v>
      </c>
      <c r="W607" s="1">
        <v>44384</v>
      </c>
      <c r="X607">
        <v>0.61499999999999999</v>
      </c>
    </row>
    <row r="608" spans="2:24" x14ac:dyDescent="0.3">
      <c r="B608" s="1">
        <v>44256</v>
      </c>
      <c r="C608">
        <v>0.64729999999999999</v>
      </c>
      <c r="F608" s="1">
        <v>44256</v>
      </c>
      <c r="G608">
        <v>78.55</v>
      </c>
      <c r="K608" s="1">
        <v>44382</v>
      </c>
      <c r="L608">
        <v>4.5712000000000002</v>
      </c>
      <c r="W608" s="1">
        <v>44383</v>
      </c>
      <c r="X608">
        <v>0.61429999999999996</v>
      </c>
    </row>
    <row r="609" spans="2:24" x14ac:dyDescent="0.3">
      <c r="B609" s="1">
        <v>44252</v>
      </c>
      <c r="C609">
        <v>0.65090000000000003</v>
      </c>
      <c r="F609" s="1">
        <v>44252</v>
      </c>
      <c r="G609">
        <v>78.989999999999995</v>
      </c>
      <c r="K609" s="1">
        <v>44379</v>
      </c>
      <c r="L609">
        <v>4.6238000000000001</v>
      </c>
      <c r="W609" s="1">
        <v>44382</v>
      </c>
      <c r="X609">
        <v>0.61780000000000002</v>
      </c>
    </row>
    <row r="610" spans="2:24" x14ac:dyDescent="0.3">
      <c r="B610" s="1">
        <v>44251</v>
      </c>
      <c r="C610">
        <v>0.62309999999999999</v>
      </c>
      <c r="F610" s="1">
        <v>44251</v>
      </c>
      <c r="G610">
        <v>75.61</v>
      </c>
      <c r="K610" s="1">
        <v>44378</v>
      </c>
      <c r="L610">
        <v>4.6342999999999996</v>
      </c>
      <c r="W610" s="1">
        <v>44379</v>
      </c>
      <c r="X610">
        <v>0.62490000000000001</v>
      </c>
    </row>
    <row r="611" spans="2:24" x14ac:dyDescent="0.3">
      <c r="B611" s="1">
        <v>44250</v>
      </c>
      <c r="C611">
        <v>0.63039999999999996</v>
      </c>
      <c r="F611" s="1">
        <v>44250</v>
      </c>
      <c r="G611">
        <v>76.5</v>
      </c>
      <c r="K611" s="1">
        <v>44377</v>
      </c>
      <c r="L611">
        <v>4.6289999999999996</v>
      </c>
      <c r="W611" s="1">
        <v>44378</v>
      </c>
      <c r="X611">
        <v>0.62629999999999997</v>
      </c>
    </row>
    <row r="612" spans="2:24" x14ac:dyDescent="0.3">
      <c r="B612" s="1">
        <v>44249</v>
      </c>
      <c r="C612">
        <v>0.65239999999999998</v>
      </c>
      <c r="F612" s="1">
        <v>44249</v>
      </c>
      <c r="G612">
        <v>79.17</v>
      </c>
      <c r="K612" s="1">
        <v>44376</v>
      </c>
      <c r="L612">
        <v>5.0579999999999998</v>
      </c>
      <c r="W612" s="1">
        <v>44377</v>
      </c>
      <c r="X612">
        <v>0.62560000000000004</v>
      </c>
    </row>
    <row r="613" spans="2:24" x14ac:dyDescent="0.3">
      <c r="B613" s="1">
        <v>44246</v>
      </c>
      <c r="C613">
        <v>0.65969999999999995</v>
      </c>
      <c r="F613" s="1">
        <v>44246</v>
      </c>
      <c r="G613">
        <v>80.06</v>
      </c>
      <c r="K613" s="1">
        <v>44375</v>
      </c>
      <c r="L613">
        <v>5.0749000000000004</v>
      </c>
      <c r="W613" s="1">
        <v>44376</v>
      </c>
      <c r="X613">
        <v>0.64790000000000003</v>
      </c>
    </row>
    <row r="614" spans="2:24" x14ac:dyDescent="0.3">
      <c r="B614" s="1">
        <v>44245</v>
      </c>
      <c r="C614">
        <v>0.64649999999999996</v>
      </c>
      <c r="F614" s="1">
        <v>44245</v>
      </c>
      <c r="G614">
        <v>78.459999999999994</v>
      </c>
      <c r="K614" s="1">
        <v>44372</v>
      </c>
      <c r="L614">
        <v>5.0636999999999999</v>
      </c>
      <c r="W614" s="1">
        <v>44375</v>
      </c>
      <c r="X614">
        <v>0.65</v>
      </c>
    </row>
    <row r="615" spans="2:24" x14ac:dyDescent="0.3">
      <c r="B615" s="1">
        <v>44244</v>
      </c>
      <c r="C615">
        <v>0.64649999999999996</v>
      </c>
      <c r="F615" s="1">
        <v>44244</v>
      </c>
      <c r="G615">
        <v>78.459999999999994</v>
      </c>
      <c r="K615" s="1">
        <v>44370</v>
      </c>
      <c r="L615">
        <v>5.0636999999999999</v>
      </c>
      <c r="W615" s="1">
        <v>44372</v>
      </c>
      <c r="X615">
        <v>0.64859999999999995</v>
      </c>
    </row>
    <row r="616" spans="2:24" x14ac:dyDescent="0.3">
      <c r="B616" s="1">
        <v>44243</v>
      </c>
      <c r="C616">
        <v>0.64290000000000003</v>
      </c>
      <c r="F616" s="1">
        <v>44243</v>
      </c>
      <c r="G616">
        <v>78.010000000000005</v>
      </c>
      <c r="K616" s="1">
        <v>44369</v>
      </c>
      <c r="L616">
        <v>4.9679000000000002</v>
      </c>
      <c r="W616" s="1">
        <v>44370</v>
      </c>
      <c r="X616">
        <v>0.64859999999999995</v>
      </c>
    </row>
    <row r="617" spans="2:24" x14ac:dyDescent="0.3">
      <c r="B617" s="1">
        <v>44242</v>
      </c>
      <c r="C617">
        <v>0.66190000000000004</v>
      </c>
      <c r="F617" s="1">
        <v>44242</v>
      </c>
      <c r="G617">
        <v>80.33</v>
      </c>
      <c r="K617" s="1">
        <v>44368</v>
      </c>
      <c r="L617">
        <v>5.0468000000000002</v>
      </c>
      <c r="W617" s="1">
        <v>44369</v>
      </c>
      <c r="X617">
        <v>0.63629999999999998</v>
      </c>
    </row>
    <row r="618" spans="2:24" x14ac:dyDescent="0.3">
      <c r="B618" s="1">
        <v>44239</v>
      </c>
      <c r="C618">
        <v>0.64580000000000004</v>
      </c>
      <c r="F618" s="1">
        <v>44239</v>
      </c>
      <c r="G618">
        <v>78.37</v>
      </c>
      <c r="K618" s="1">
        <v>44365</v>
      </c>
      <c r="L618">
        <v>5.0749000000000004</v>
      </c>
      <c r="W618" s="1">
        <v>44368</v>
      </c>
      <c r="X618">
        <v>0.64639999999999997</v>
      </c>
    </row>
    <row r="619" spans="2:24" x14ac:dyDescent="0.3">
      <c r="B619" s="1">
        <v>44238</v>
      </c>
      <c r="C619">
        <v>0.62890000000000001</v>
      </c>
      <c r="F619" s="1">
        <v>44238</v>
      </c>
      <c r="G619">
        <v>76.319999999999993</v>
      </c>
      <c r="K619" s="1">
        <v>44364</v>
      </c>
      <c r="L619">
        <v>5.0693000000000001</v>
      </c>
      <c r="W619" s="1">
        <v>44365</v>
      </c>
      <c r="X619">
        <v>0.65</v>
      </c>
    </row>
    <row r="620" spans="2:24" x14ac:dyDescent="0.3">
      <c r="B620" s="1">
        <v>44237</v>
      </c>
      <c r="C620">
        <v>0.64139999999999997</v>
      </c>
      <c r="F620" s="1">
        <v>44237</v>
      </c>
      <c r="G620">
        <v>77.84</v>
      </c>
      <c r="K620" s="1">
        <v>44363</v>
      </c>
      <c r="L620">
        <v>5.0693000000000001</v>
      </c>
      <c r="W620" s="1">
        <v>44364</v>
      </c>
      <c r="X620">
        <v>0.64929999999999999</v>
      </c>
    </row>
    <row r="621" spans="2:24" x14ac:dyDescent="0.3">
      <c r="B621" s="1">
        <v>44236</v>
      </c>
      <c r="C621">
        <v>0.64359999999999995</v>
      </c>
      <c r="F621" s="1">
        <v>44236</v>
      </c>
      <c r="G621">
        <v>78.099999999999994</v>
      </c>
      <c r="K621" s="1">
        <v>44362</v>
      </c>
      <c r="L621">
        <v>5.0693000000000001</v>
      </c>
      <c r="W621" s="1">
        <v>44363</v>
      </c>
      <c r="X621">
        <v>0.64929999999999999</v>
      </c>
    </row>
    <row r="622" spans="2:24" x14ac:dyDescent="0.3">
      <c r="B622" s="1">
        <v>44235</v>
      </c>
      <c r="C622">
        <v>0.65969999999999995</v>
      </c>
      <c r="F622" s="1">
        <v>44235</v>
      </c>
      <c r="G622">
        <v>80.06</v>
      </c>
      <c r="K622" s="1">
        <v>44361</v>
      </c>
      <c r="L622">
        <v>5.1031000000000004</v>
      </c>
      <c r="W622" s="1">
        <v>44362</v>
      </c>
      <c r="X622">
        <v>0.64929999999999999</v>
      </c>
    </row>
    <row r="623" spans="2:24" x14ac:dyDescent="0.3">
      <c r="B623" s="1">
        <v>44232</v>
      </c>
      <c r="C623">
        <v>0.67949999999999999</v>
      </c>
      <c r="F623" s="1">
        <v>44232</v>
      </c>
      <c r="G623">
        <v>82.46</v>
      </c>
      <c r="K623" s="1">
        <v>44358</v>
      </c>
      <c r="L623">
        <v>5.1538000000000004</v>
      </c>
      <c r="W623" s="1">
        <v>44361</v>
      </c>
      <c r="X623">
        <v>0.65359999999999996</v>
      </c>
    </row>
    <row r="624" spans="2:24" x14ac:dyDescent="0.3">
      <c r="B624" s="1">
        <v>44230</v>
      </c>
      <c r="C624">
        <v>0.68169999999999997</v>
      </c>
      <c r="F624" s="1">
        <v>44230</v>
      </c>
      <c r="G624">
        <v>82.73</v>
      </c>
      <c r="K624" s="1">
        <v>44357</v>
      </c>
      <c r="L624">
        <v>5.1311999999999998</v>
      </c>
      <c r="W624" s="1">
        <v>44358</v>
      </c>
      <c r="X624">
        <v>0.66010000000000002</v>
      </c>
    </row>
    <row r="625" spans="2:24" x14ac:dyDescent="0.3">
      <c r="B625" s="1">
        <v>44229</v>
      </c>
      <c r="C625">
        <v>0.65900000000000003</v>
      </c>
      <c r="F625" s="1">
        <v>44229</v>
      </c>
      <c r="G625">
        <v>79.97</v>
      </c>
      <c r="K625" s="1">
        <v>44356</v>
      </c>
      <c r="L625">
        <v>5.1086999999999998</v>
      </c>
      <c r="W625" s="1">
        <v>44357</v>
      </c>
      <c r="X625">
        <v>0.6573</v>
      </c>
    </row>
    <row r="626" spans="2:24" x14ac:dyDescent="0.3">
      <c r="B626" s="1">
        <v>44228</v>
      </c>
      <c r="C626">
        <v>0.70589999999999997</v>
      </c>
      <c r="F626" s="1">
        <v>44228</v>
      </c>
      <c r="G626">
        <v>85.66</v>
      </c>
      <c r="K626" s="1">
        <v>44355</v>
      </c>
      <c r="L626">
        <v>5.0693000000000001</v>
      </c>
      <c r="W626" s="1">
        <v>44356</v>
      </c>
      <c r="X626">
        <v>0.65439999999999998</v>
      </c>
    </row>
    <row r="627" spans="2:24" x14ac:dyDescent="0.3">
      <c r="B627" s="1">
        <v>44225</v>
      </c>
      <c r="C627">
        <v>0.73080000000000001</v>
      </c>
      <c r="F627" s="1">
        <v>44225</v>
      </c>
      <c r="G627">
        <v>88.69</v>
      </c>
      <c r="K627" s="1">
        <v>44354</v>
      </c>
      <c r="L627">
        <v>5.1538000000000004</v>
      </c>
      <c r="W627" s="1">
        <v>44355</v>
      </c>
      <c r="X627">
        <v>0.64929999999999999</v>
      </c>
    </row>
    <row r="628" spans="2:24" x14ac:dyDescent="0.3">
      <c r="B628" s="1">
        <v>44223</v>
      </c>
      <c r="C628">
        <v>0.73150000000000004</v>
      </c>
      <c r="F628" s="1">
        <v>44223</v>
      </c>
      <c r="G628">
        <v>88.78</v>
      </c>
      <c r="K628" s="1">
        <v>44351</v>
      </c>
      <c r="L628">
        <v>5.165</v>
      </c>
      <c r="W628" s="1">
        <v>44354</v>
      </c>
      <c r="X628">
        <v>0.66010000000000002</v>
      </c>
    </row>
    <row r="629" spans="2:24" x14ac:dyDescent="0.3">
      <c r="B629" s="1">
        <v>44222</v>
      </c>
      <c r="C629">
        <v>0.73670000000000002</v>
      </c>
      <c r="F629" s="1">
        <v>44222</v>
      </c>
      <c r="G629">
        <v>89.4</v>
      </c>
      <c r="K629" s="1">
        <v>44350</v>
      </c>
      <c r="L629">
        <v>5.0749000000000004</v>
      </c>
      <c r="W629" s="1">
        <v>44351</v>
      </c>
      <c r="X629">
        <v>0.66159999999999997</v>
      </c>
    </row>
    <row r="630" spans="2:24" x14ac:dyDescent="0.3">
      <c r="B630" s="1">
        <v>44221</v>
      </c>
      <c r="C630">
        <v>0.73850000000000005</v>
      </c>
      <c r="F630" s="1">
        <v>44221</v>
      </c>
      <c r="G630">
        <v>89.62</v>
      </c>
      <c r="K630" s="1">
        <v>44349</v>
      </c>
      <c r="L630">
        <v>5.0016999999999996</v>
      </c>
      <c r="W630" s="1">
        <v>44350</v>
      </c>
      <c r="X630">
        <v>0.65</v>
      </c>
    </row>
    <row r="631" spans="2:24" x14ac:dyDescent="0.3">
      <c r="B631" s="1">
        <v>44218</v>
      </c>
      <c r="C631">
        <v>0.72709999999999997</v>
      </c>
      <c r="F631" s="1">
        <v>44218</v>
      </c>
      <c r="G631">
        <v>88.24</v>
      </c>
      <c r="K631" s="1">
        <v>44348</v>
      </c>
      <c r="L631">
        <v>5.0354999999999999</v>
      </c>
      <c r="W631" s="1">
        <v>44349</v>
      </c>
      <c r="X631">
        <v>0.64070000000000005</v>
      </c>
    </row>
    <row r="632" spans="2:24" x14ac:dyDescent="0.3">
      <c r="B632" s="1">
        <v>44217</v>
      </c>
      <c r="C632">
        <v>0.68679999999999997</v>
      </c>
      <c r="F632" s="1">
        <v>44217</v>
      </c>
      <c r="G632">
        <v>83.35</v>
      </c>
      <c r="K632" s="1">
        <v>44347</v>
      </c>
      <c r="L632">
        <v>4.9002999999999997</v>
      </c>
      <c r="W632" s="1">
        <v>44348</v>
      </c>
      <c r="X632">
        <v>0.64500000000000002</v>
      </c>
    </row>
    <row r="633" spans="2:24" x14ac:dyDescent="0.3">
      <c r="B633" s="1">
        <v>44216</v>
      </c>
      <c r="C633">
        <v>0.70879999999999999</v>
      </c>
      <c r="F633" s="1">
        <v>44216</v>
      </c>
      <c r="G633">
        <v>86.02</v>
      </c>
      <c r="K633" s="1">
        <v>44344</v>
      </c>
      <c r="L633">
        <v>4.8158000000000003</v>
      </c>
      <c r="W633" s="1">
        <v>44347</v>
      </c>
      <c r="X633">
        <v>0.62770000000000004</v>
      </c>
    </row>
    <row r="634" spans="2:24" x14ac:dyDescent="0.3">
      <c r="B634" s="1">
        <v>44215</v>
      </c>
      <c r="C634">
        <v>0.70520000000000005</v>
      </c>
      <c r="F634" s="1">
        <v>44215</v>
      </c>
      <c r="G634">
        <v>85.57</v>
      </c>
      <c r="K634" s="1">
        <v>44341</v>
      </c>
      <c r="L634">
        <v>4.7651000000000003</v>
      </c>
      <c r="W634" s="1">
        <v>44344</v>
      </c>
      <c r="X634">
        <v>0.6169</v>
      </c>
    </row>
    <row r="635" spans="2:24" x14ac:dyDescent="0.3">
      <c r="B635" s="1">
        <v>44214</v>
      </c>
      <c r="C635">
        <v>0.6502</v>
      </c>
      <c r="F635" s="1">
        <v>44214</v>
      </c>
      <c r="G635">
        <v>78.900000000000006</v>
      </c>
      <c r="K635" s="1">
        <v>44340</v>
      </c>
      <c r="L635">
        <v>4.6749999999999998</v>
      </c>
      <c r="W635" s="1">
        <v>44341</v>
      </c>
      <c r="X635">
        <v>0.61040000000000005</v>
      </c>
    </row>
    <row r="636" spans="2:24" x14ac:dyDescent="0.3">
      <c r="B636" s="1">
        <v>44211</v>
      </c>
      <c r="C636">
        <v>0.6179</v>
      </c>
      <c r="F636" s="1">
        <v>44211</v>
      </c>
      <c r="G636">
        <v>74.989999999999995</v>
      </c>
      <c r="K636" s="1">
        <v>44337</v>
      </c>
      <c r="L636">
        <v>4.6749999999999998</v>
      </c>
      <c r="W636" s="1">
        <v>44340</v>
      </c>
      <c r="X636">
        <v>0.5988</v>
      </c>
    </row>
    <row r="637" spans="2:24" x14ac:dyDescent="0.3">
      <c r="B637" s="1">
        <v>44209</v>
      </c>
      <c r="C637">
        <v>0.60109999999999997</v>
      </c>
      <c r="F637" s="1">
        <v>44209</v>
      </c>
      <c r="G637">
        <v>72.94</v>
      </c>
      <c r="K637" s="1">
        <v>44336</v>
      </c>
      <c r="L637">
        <v>4.6919000000000004</v>
      </c>
      <c r="W637" s="1">
        <v>44337</v>
      </c>
      <c r="X637">
        <v>0.5988</v>
      </c>
    </row>
    <row r="638" spans="2:24" x14ac:dyDescent="0.3">
      <c r="B638" s="1">
        <v>44208</v>
      </c>
      <c r="C638">
        <v>0.60109999999999997</v>
      </c>
      <c r="F638" s="1">
        <v>44208</v>
      </c>
      <c r="G638">
        <v>72.94</v>
      </c>
      <c r="K638" s="1">
        <v>44335</v>
      </c>
      <c r="L638">
        <v>4.782</v>
      </c>
      <c r="W638" s="1">
        <v>44336</v>
      </c>
      <c r="X638">
        <v>0.60099999999999998</v>
      </c>
    </row>
    <row r="639" spans="2:24" x14ac:dyDescent="0.3">
      <c r="B639" s="1">
        <v>44207</v>
      </c>
      <c r="C639">
        <v>0.60329999999999995</v>
      </c>
      <c r="F639" s="1">
        <v>44207</v>
      </c>
      <c r="G639">
        <v>73.209999999999994</v>
      </c>
      <c r="K639" s="1">
        <v>44334</v>
      </c>
      <c r="L639">
        <v>4.7538999999999998</v>
      </c>
      <c r="W639" s="1">
        <v>44335</v>
      </c>
      <c r="X639">
        <v>0.61250000000000004</v>
      </c>
    </row>
    <row r="640" spans="2:24" x14ac:dyDescent="0.3">
      <c r="B640" s="1">
        <v>44204</v>
      </c>
      <c r="C640">
        <v>0.60399999999999998</v>
      </c>
      <c r="F640" s="1">
        <v>44204</v>
      </c>
      <c r="G640">
        <v>73.3</v>
      </c>
      <c r="K640" s="1">
        <v>44333</v>
      </c>
      <c r="L640">
        <v>4.7201000000000004</v>
      </c>
      <c r="W640" s="1">
        <v>44334</v>
      </c>
      <c r="X640">
        <v>0.6089</v>
      </c>
    </row>
    <row r="641" spans="2:24" x14ac:dyDescent="0.3">
      <c r="B641" s="1">
        <v>44203</v>
      </c>
      <c r="C641">
        <v>0.60619999999999996</v>
      </c>
      <c r="F641" s="1">
        <v>44203</v>
      </c>
      <c r="G641">
        <v>73.569999999999993</v>
      </c>
      <c r="K641" s="1">
        <v>44329</v>
      </c>
      <c r="L641">
        <v>4.6131000000000002</v>
      </c>
      <c r="W641" s="1">
        <v>44333</v>
      </c>
      <c r="X641">
        <v>0.60460000000000003</v>
      </c>
    </row>
    <row r="642" spans="2:24" x14ac:dyDescent="0.3">
      <c r="B642" s="1">
        <v>44202</v>
      </c>
      <c r="C642">
        <v>0.60840000000000005</v>
      </c>
      <c r="F642" s="1">
        <v>44202</v>
      </c>
      <c r="G642">
        <v>73.83</v>
      </c>
      <c r="K642" s="1">
        <v>44328</v>
      </c>
      <c r="L642">
        <v>4.5397999999999996</v>
      </c>
      <c r="W642" s="1">
        <v>44329</v>
      </c>
      <c r="X642">
        <v>0.59089999999999998</v>
      </c>
    </row>
    <row r="643" spans="2:24" x14ac:dyDescent="0.3">
      <c r="B643" s="1">
        <v>44201</v>
      </c>
      <c r="C643">
        <v>0.6099</v>
      </c>
      <c r="F643" s="1">
        <v>44201</v>
      </c>
      <c r="G643">
        <v>74.010000000000005</v>
      </c>
      <c r="K643" s="1">
        <v>44327</v>
      </c>
      <c r="L643">
        <v>4.5397999999999996</v>
      </c>
      <c r="W643" s="1">
        <v>44328</v>
      </c>
      <c r="X643">
        <v>0.58150000000000002</v>
      </c>
    </row>
    <row r="644" spans="2:24" x14ac:dyDescent="0.3">
      <c r="B644" s="1">
        <v>44200</v>
      </c>
      <c r="C644">
        <v>0.61060000000000003</v>
      </c>
      <c r="F644" s="1">
        <v>44200</v>
      </c>
      <c r="G644">
        <v>74.099999999999994</v>
      </c>
      <c r="K644" s="1">
        <v>44326</v>
      </c>
      <c r="L644">
        <v>4.5286</v>
      </c>
      <c r="W644" s="1">
        <v>44327</v>
      </c>
      <c r="X644">
        <v>0.58150000000000002</v>
      </c>
    </row>
    <row r="645" spans="2:24" x14ac:dyDescent="0.3">
      <c r="B645" s="1">
        <v>44196</v>
      </c>
      <c r="C645">
        <v>0.59299999999999997</v>
      </c>
      <c r="F645" s="1">
        <v>44196</v>
      </c>
      <c r="G645">
        <v>71.959999999999994</v>
      </c>
      <c r="K645" s="1">
        <v>44323</v>
      </c>
      <c r="L645">
        <v>4.5117000000000003</v>
      </c>
      <c r="W645" s="1">
        <v>44326</v>
      </c>
      <c r="X645">
        <v>0.58009999999999995</v>
      </c>
    </row>
    <row r="646" spans="2:24" x14ac:dyDescent="0.3">
      <c r="B646" s="1">
        <v>44195</v>
      </c>
      <c r="C646">
        <v>0.58750000000000002</v>
      </c>
      <c r="F646" s="1">
        <v>44195</v>
      </c>
      <c r="G646">
        <v>71.61</v>
      </c>
      <c r="K646" s="1">
        <v>44322</v>
      </c>
      <c r="L646">
        <v>4.4835000000000003</v>
      </c>
      <c r="W646" s="1">
        <v>44323</v>
      </c>
      <c r="X646">
        <v>0.57789999999999997</v>
      </c>
    </row>
    <row r="647" spans="2:24" x14ac:dyDescent="0.3">
      <c r="B647" s="1">
        <v>44193</v>
      </c>
      <c r="C647">
        <v>0.58450000000000002</v>
      </c>
      <c r="F647" s="1">
        <v>44193</v>
      </c>
      <c r="G647">
        <v>71.25</v>
      </c>
      <c r="K647" s="1">
        <v>44321</v>
      </c>
      <c r="L647">
        <v>4.5060000000000002</v>
      </c>
      <c r="W647" s="1">
        <v>44322</v>
      </c>
      <c r="X647">
        <v>0.57430000000000003</v>
      </c>
    </row>
    <row r="648" spans="2:24" x14ac:dyDescent="0.3">
      <c r="B648" s="1">
        <v>44189</v>
      </c>
      <c r="C648">
        <v>0.57720000000000005</v>
      </c>
      <c r="F648" s="1">
        <v>44189</v>
      </c>
      <c r="G648">
        <v>70.36</v>
      </c>
      <c r="K648" s="1">
        <v>44320</v>
      </c>
      <c r="L648">
        <v>4.4665999999999997</v>
      </c>
      <c r="W648" s="1">
        <v>44321</v>
      </c>
      <c r="X648">
        <v>0.57720000000000005</v>
      </c>
    </row>
    <row r="649" spans="2:24" x14ac:dyDescent="0.3">
      <c r="B649" s="1">
        <v>44188</v>
      </c>
      <c r="C649">
        <v>0.57650000000000001</v>
      </c>
      <c r="F649" s="1">
        <v>44188</v>
      </c>
      <c r="G649">
        <v>70.27</v>
      </c>
      <c r="K649" s="1">
        <v>44319</v>
      </c>
      <c r="L649">
        <v>4.4779</v>
      </c>
      <c r="W649" s="1">
        <v>44320</v>
      </c>
      <c r="X649">
        <v>0.57210000000000005</v>
      </c>
    </row>
    <row r="650" spans="2:24" x14ac:dyDescent="0.3">
      <c r="B650" s="1">
        <v>44187</v>
      </c>
      <c r="C650">
        <v>0.58020000000000005</v>
      </c>
      <c r="F650" s="1">
        <v>44187</v>
      </c>
      <c r="G650">
        <v>70.72</v>
      </c>
      <c r="K650" s="1">
        <v>44316</v>
      </c>
      <c r="L650">
        <v>4.5454999999999997</v>
      </c>
      <c r="W650" s="1">
        <v>44319</v>
      </c>
      <c r="X650">
        <v>0.5736</v>
      </c>
    </row>
    <row r="651" spans="2:24" x14ac:dyDescent="0.3">
      <c r="B651" s="1">
        <v>44186</v>
      </c>
      <c r="C651">
        <v>0.57940000000000003</v>
      </c>
      <c r="F651" s="1">
        <v>44186</v>
      </c>
      <c r="G651">
        <v>70.63</v>
      </c>
      <c r="K651" s="1">
        <v>44315</v>
      </c>
      <c r="L651">
        <v>4.5060000000000002</v>
      </c>
      <c r="W651" s="1">
        <v>44316</v>
      </c>
      <c r="X651">
        <v>0.58220000000000005</v>
      </c>
    </row>
    <row r="652" spans="2:24" x14ac:dyDescent="0.3">
      <c r="B652" s="1">
        <v>44183</v>
      </c>
      <c r="C652">
        <v>0.58379999999999999</v>
      </c>
      <c r="F652" s="1">
        <v>44183</v>
      </c>
      <c r="G652">
        <v>71.16</v>
      </c>
      <c r="K652" s="1">
        <v>44314</v>
      </c>
      <c r="L652">
        <v>4.5567000000000002</v>
      </c>
      <c r="W652" s="1">
        <v>44315</v>
      </c>
      <c r="X652">
        <v>0.57720000000000005</v>
      </c>
    </row>
    <row r="653" spans="2:24" x14ac:dyDescent="0.3">
      <c r="B653" s="1">
        <v>44182</v>
      </c>
      <c r="C653">
        <v>0.58750000000000002</v>
      </c>
      <c r="F653" s="1">
        <v>44182</v>
      </c>
      <c r="G653">
        <v>71.61</v>
      </c>
      <c r="K653" s="1">
        <v>44313</v>
      </c>
      <c r="L653">
        <v>4.4665999999999997</v>
      </c>
      <c r="W653" s="1">
        <v>44314</v>
      </c>
      <c r="X653">
        <v>0.5837</v>
      </c>
    </row>
    <row r="654" spans="2:24" x14ac:dyDescent="0.3">
      <c r="B654" s="1">
        <v>44181</v>
      </c>
      <c r="C654">
        <v>0.59109999999999996</v>
      </c>
      <c r="F654" s="1">
        <v>44181</v>
      </c>
      <c r="G654">
        <v>72.05</v>
      </c>
      <c r="K654" s="1">
        <v>44309</v>
      </c>
      <c r="L654">
        <v>4.63</v>
      </c>
      <c r="W654" s="1">
        <v>44313</v>
      </c>
      <c r="X654">
        <v>0.57210000000000005</v>
      </c>
    </row>
    <row r="655" spans="2:24" x14ac:dyDescent="0.3">
      <c r="B655" s="1">
        <v>44180</v>
      </c>
      <c r="C655">
        <v>0.59109999999999996</v>
      </c>
      <c r="F655" s="1">
        <v>44180</v>
      </c>
      <c r="G655">
        <v>72.05</v>
      </c>
      <c r="K655" s="1">
        <v>44308</v>
      </c>
      <c r="L655">
        <v>4.7256999999999998</v>
      </c>
      <c r="W655" s="1">
        <v>44309</v>
      </c>
      <c r="X655">
        <v>0.59299999999999997</v>
      </c>
    </row>
    <row r="656" spans="2:24" x14ac:dyDescent="0.3">
      <c r="B656" s="1">
        <v>44179</v>
      </c>
      <c r="C656">
        <v>0.59909999999999997</v>
      </c>
      <c r="F656" s="1">
        <v>44179</v>
      </c>
      <c r="G656">
        <v>73.03</v>
      </c>
      <c r="K656" s="1">
        <v>44307</v>
      </c>
      <c r="L656">
        <v>4.782</v>
      </c>
      <c r="W656" s="1">
        <v>44308</v>
      </c>
      <c r="X656">
        <v>0.60529999999999995</v>
      </c>
    </row>
    <row r="657" spans="2:24" x14ac:dyDescent="0.3">
      <c r="B657" s="1">
        <v>44176</v>
      </c>
      <c r="C657">
        <v>0.60570000000000002</v>
      </c>
      <c r="F657" s="1">
        <v>44176</v>
      </c>
      <c r="G657">
        <v>73.83</v>
      </c>
      <c r="K657" s="1">
        <v>44306</v>
      </c>
      <c r="L657">
        <v>4.8045999999999998</v>
      </c>
      <c r="W657" s="1">
        <v>44307</v>
      </c>
      <c r="X657">
        <v>0.61250000000000004</v>
      </c>
    </row>
    <row r="658" spans="2:24" x14ac:dyDescent="0.3">
      <c r="B658" s="1">
        <v>44175</v>
      </c>
      <c r="C658">
        <v>0.60499999999999998</v>
      </c>
      <c r="F658" s="1">
        <v>44175</v>
      </c>
      <c r="G658">
        <v>73.739999999999995</v>
      </c>
      <c r="K658" s="1">
        <v>44305</v>
      </c>
      <c r="L658">
        <v>4.8609</v>
      </c>
      <c r="W658" s="1">
        <v>44306</v>
      </c>
      <c r="X658">
        <v>0.61539999999999995</v>
      </c>
    </row>
    <row r="659" spans="2:24" x14ac:dyDescent="0.3">
      <c r="B659" s="1">
        <v>44174</v>
      </c>
      <c r="C659">
        <v>0.60719999999999996</v>
      </c>
      <c r="F659" s="1">
        <v>44174</v>
      </c>
      <c r="G659">
        <v>74.010000000000005</v>
      </c>
      <c r="K659" s="1">
        <v>44302</v>
      </c>
      <c r="L659">
        <v>4.8890000000000002</v>
      </c>
      <c r="W659" s="1">
        <v>44305</v>
      </c>
      <c r="X659">
        <v>0.62260000000000004</v>
      </c>
    </row>
    <row r="660" spans="2:24" x14ac:dyDescent="0.3">
      <c r="B660" s="1">
        <v>44173</v>
      </c>
      <c r="C660">
        <v>0.61670000000000003</v>
      </c>
      <c r="F660" s="1">
        <v>44173</v>
      </c>
      <c r="G660">
        <v>75.17</v>
      </c>
      <c r="K660" s="1">
        <v>44301</v>
      </c>
      <c r="L660">
        <v>4.9002999999999997</v>
      </c>
      <c r="W660" s="1">
        <v>44302</v>
      </c>
      <c r="X660">
        <v>0.62619999999999998</v>
      </c>
    </row>
    <row r="661" spans="2:24" x14ac:dyDescent="0.3">
      <c r="B661" s="1">
        <v>44172</v>
      </c>
      <c r="C661">
        <v>0.60860000000000003</v>
      </c>
      <c r="F661" s="1">
        <v>44172</v>
      </c>
      <c r="G661">
        <v>74.19</v>
      </c>
      <c r="K661" s="1">
        <v>44298</v>
      </c>
      <c r="L661">
        <v>4.9002999999999997</v>
      </c>
      <c r="W661" s="1">
        <v>44301</v>
      </c>
      <c r="X661">
        <v>0.62770000000000004</v>
      </c>
    </row>
    <row r="662" spans="2:24" x14ac:dyDescent="0.3">
      <c r="B662" s="1">
        <v>44169</v>
      </c>
      <c r="C662">
        <v>0.59699999999999998</v>
      </c>
      <c r="F662" s="1">
        <v>44169</v>
      </c>
      <c r="G662">
        <v>72.760000000000005</v>
      </c>
      <c r="K662" s="1">
        <v>44295</v>
      </c>
      <c r="L662">
        <v>4.8495999999999997</v>
      </c>
      <c r="W662" s="1">
        <v>44298</v>
      </c>
      <c r="X662">
        <v>0.62770000000000004</v>
      </c>
    </row>
    <row r="663" spans="2:24" x14ac:dyDescent="0.3">
      <c r="B663" s="1">
        <v>44168</v>
      </c>
      <c r="C663">
        <v>0.58819999999999995</v>
      </c>
      <c r="F663" s="1">
        <v>44168</v>
      </c>
      <c r="G663">
        <v>71.7</v>
      </c>
      <c r="K663" s="1">
        <v>44294</v>
      </c>
      <c r="L663">
        <v>4.8270999999999997</v>
      </c>
      <c r="W663" s="1">
        <v>44295</v>
      </c>
      <c r="X663">
        <v>0.62119999999999997</v>
      </c>
    </row>
    <row r="664" spans="2:24" x14ac:dyDescent="0.3">
      <c r="B664" s="1">
        <v>44167</v>
      </c>
      <c r="C664">
        <v>0.58750000000000002</v>
      </c>
      <c r="F664" s="1">
        <v>44167</v>
      </c>
      <c r="G664">
        <v>71.61</v>
      </c>
      <c r="K664" s="1">
        <v>44293</v>
      </c>
      <c r="L664">
        <v>4.8215000000000003</v>
      </c>
      <c r="W664" s="1">
        <v>44294</v>
      </c>
      <c r="X664">
        <v>0.61829999999999996</v>
      </c>
    </row>
    <row r="665" spans="2:24" x14ac:dyDescent="0.3">
      <c r="B665" s="1">
        <v>44166</v>
      </c>
      <c r="C665">
        <v>0.58599999999999997</v>
      </c>
      <c r="F665" s="1">
        <v>44166</v>
      </c>
      <c r="G665">
        <v>71.430000000000007</v>
      </c>
      <c r="K665" s="1">
        <v>44292</v>
      </c>
      <c r="L665">
        <v>4.8270999999999997</v>
      </c>
      <c r="W665" s="1">
        <v>44293</v>
      </c>
      <c r="X665">
        <v>0.61760000000000004</v>
      </c>
    </row>
    <row r="666" spans="2:24" x14ac:dyDescent="0.3">
      <c r="B666" s="1">
        <v>44165</v>
      </c>
      <c r="C666">
        <v>0.57509999999999994</v>
      </c>
      <c r="F666" s="1">
        <v>44165</v>
      </c>
      <c r="G666">
        <v>70.099999999999994</v>
      </c>
      <c r="K666" s="1">
        <v>44291</v>
      </c>
      <c r="L666">
        <v>4.7708000000000004</v>
      </c>
      <c r="W666" s="1">
        <v>44292</v>
      </c>
      <c r="X666">
        <v>0.61829999999999996</v>
      </c>
    </row>
    <row r="667" spans="2:24" x14ac:dyDescent="0.3">
      <c r="B667" s="1">
        <v>44162</v>
      </c>
      <c r="C667">
        <v>0.55830000000000002</v>
      </c>
      <c r="F667" s="1">
        <v>44162</v>
      </c>
      <c r="G667">
        <v>68.05</v>
      </c>
      <c r="K667" s="1">
        <v>44287</v>
      </c>
      <c r="L667">
        <v>4.8215000000000003</v>
      </c>
      <c r="W667" s="1">
        <v>44291</v>
      </c>
      <c r="X667">
        <v>0.61109999999999998</v>
      </c>
    </row>
    <row r="668" spans="2:24" x14ac:dyDescent="0.3">
      <c r="B668" s="1">
        <v>44161</v>
      </c>
      <c r="C668">
        <v>0.55830000000000002</v>
      </c>
      <c r="F668" s="1">
        <v>44161</v>
      </c>
      <c r="G668">
        <v>68.05</v>
      </c>
      <c r="K668" s="1">
        <v>44286</v>
      </c>
      <c r="L668">
        <v>4.8158000000000003</v>
      </c>
      <c r="W668" s="1">
        <v>44287</v>
      </c>
      <c r="X668">
        <v>0.61760000000000004</v>
      </c>
    </row>
    <row r="669" spans="2:24" x14ac:dyDescent="0.3">
      <c r="B669" s="1">
        <v>44160</v>
      </c>
      <c r="C669">
        <v>0.55679999999999996</v>
      </c>
      <c r="F669" s="1">
        <v>44160</v>
      </c>
      <c r="G669">
        <v>67.87</v>
      </c>
      <c r="K669" s="1">
        <v>44285</v>
      </c>
      <c r="L669">
        <v>5.6528999999999998</v>
      </c>
      <c r="W669" s="1">
        <v>44286</v>
      </c>
      <c r="X669">
        <v>0.6169</v>
      </c>
    </row>
    <row r="670" spans="2:24" x14ac:dyDescent="0.3">
      <c r="B670" s="1">
        <v>44159</v>
      </c>
      <c r="C670">
        <v>0.55900000000000005</v>
      </c>
      <c r="F670" s="1">
        <v>44159</v>
      </c>
      <c r="G670">
        <v>68.14</v>
      </c>
      <c r="K670" s="1">
        <v>44284</v>
      </c>
      <c r="L670">
        <v>5.6905000000000001</v>
      </c>
      <c r="W670" s="1">
        <v>44285</v>
      </c>
      <c r="X670">
        <v>0.66120000000000001</v>
      </c>
    </row>
    <row r="671" spans="2:24" x14ac:dyDescent="0.3">
      <c r="B671" s="1">
        <v>44158</v>
      </c>
      <c r="C671">
        <v>0.55830000000000002</v>
      </c>
      <c r="F671" s="1">
        <v>44158</v>
      </c>
      <c r="G671">
        <v>68.05</v>
      </c>
      <c r="K671" s="1">
        <v>44281</v>
      </c>
      <c r="L671">
        <v>5.5526999999999997</v>
      </c>
      <c r="W671" s="1">
        <v>44284</v>
      </c>
      <c r="X671">
        <v>0.66559999999999997</v>
      </c>
    </row>
    <row r="672" spans="2:24" x14ac:dyDescent="0.3">
      <c r="B672" s="1">
        <v>44155</v>
      </c>
      <c r="C672">
        <v>0.5554</v>
      </c>
      <c r="F672" s="1">
        <v>44155</v>
      </c>
      <c r="G672">
        <v>67.69</v>
      </c>
      <c r="K672" s="1">
        <v>44280</v>
      </c>
      <c r="L672">
        <v>5.5839999999999996</v>
      </c>
      <c r="W672" s="1">
        <v>44281</v>
      </c>
      <c r="X672">
        <v>0.64949999999999997</v>
      </c>
    </row>
    <row r="673" spans="2:24" x14ac:dyDescent="0.3">
      <c r="B673" s="1">
        <v>44154</v>
      </c>
      <c r="C673">
        <v>0.55459999999999998</v>
      </c>
      <c r="F673" s="1">
        <v>44154</v>
      </c>
      <c r="G673">
        <v>67.61</v>
      </c>
      <c r="K673" s="1">
        <v>44279</v>
      </c>
      <c r="L673">
        <v>5.6153000000000004</v>
      </c>
      <c r="W673" s="1">
        <v>44280</v>
      </c>
      <c r="X673">
        <v>0.65310000000000001</v>
      </c>
    </row>
    <row r="674" spans="2:24" x14ac:dyDescent="0.3">
      <c r="B674" s="1">
        <v>44153</v>
      </c>
      <c r="C674">
        <v>0.5554</v>
      </c>
      <c r="F674" s="1">
        <v>44153</v>
      </c>
      <c r="G674">
        <v>67.69</v>
      </c>
      <c r="K674" s="1">
        <v>44278</v>
      </c>
      <c r="L674">
        <v>5.4649000000000001</v>
      </c>
      <c r="W674" s="1">
        <v>44279</v>
      </c>
      <c r="X674">
        <v>0.65680000000000005</v>
      </c>
    </row>
    <row r="675" spans="2:24" x14ac:dyDescent="0.3">
      <c r="B675" s="1">
        <v>44152</v>
      </c>
      <c r="C675">
        <v>0.55100000000000005</v>
      </c>
      <c r="F675" s="1">
        <v>44152</v>
      </c>
      <c r="G675">
        <v>67.16</v>
      </c>
      <c r="K675" s="1">
        <v>44277</v>
      </c>
      <c r="L675">
        <v>5.4147999999999996</v>
      </c>
      <c r="W675" s="1">
        <v>44278</v>
      </c>
      <c r="X675">
        <v>0.63919999999999999</v>
      </c>
    </row>
    <row r="676" spans="2:24" x14ac:dyDescent="0.3">
      <c r="B676" s="1">
        <v>44151</v>
      </c>
      <c r="C676">
        <v>0.5554</v>
      </c>
      <c r="F676" s="1">
        <v>44151</v>
      </c>
      <c r="G676">
        <v>67.69</v>
      </c>
      <c r="K676" s="1">
        <v>44274</v>
      </c>
      <c r="L676">
        <v>5.4210000000000003</v>
      </c>
      <c r="W676" s="1">
        <v>44277</v>
      </c>
      <c r="X676">
        <v>0.63329999999999997</v>
      </c>
    </row>
    <row r="677" spans="2:24" x14ac:dyDescent="0.3">
      <c r="B677" s="1">
        <v>44148</v>
      </c>
      <c r="C677">
        <v>0.56189999999999996</v>
      </c>
      <c r="F677" s="1">
        <v>44148</v>
      </c>
      <c r="G677">
        <v>68.489999999999995</v>
      </c>
      <c r="K677" s="1">
        <v>44273</v>
      </c>
      <c r="L677">
        <v>5.3772000000000002</v>
      </c>
      <c r="W677" s="1">
        <v>44274</v>
      </c>
      <c r="X677">
        <v>0.6341</v>
      </c>
    </row>
    <row r="678" spans="2:24" x14ac:dyDescent="0.3">
      <c r="B678" s="1">
        <v>44147</v>
      </c>
      <c r="C678">
        <v>0.56189999999999996</v>
      </c>
      <c r="F678" s="1">
        <v>44147</v>
      </c>
      <c r="G678">
        <v>68.489999999999995</v>
      </c>
      <c r="K678" s="1">
        <v>44272</v>
      </c>
      <c r="L678">
        <v>5.3897000000000004</v>
      </c>
      <c r="W678" s="1">
        <v>44273</v>
      </c>
      <c r="X678">
        <v>0.62890000000000001</v>
      </c>
    </row>
    <row r="679" spans="2:24" x14ac:dyDescent="0.3">
      <c r="B679" s="1">
        <v>44146</v>
      </c>
      <c r="C679">
        <v>0.57650000000000001</v>
      </c>
      <c r="F679" s="1">
        <v>44146</v>
      </c>
      <c r="G679">
        <v>70.27</v>
      </c>
      <c r="K679" s="1">
        <v>44271</v>
      </c>
      <c r="L679">
        <v>5.4649000000000001</v>
      </c>
      <c r="W679" s="1">
        <v>44272</v>
      </c>
      <c r="X679">
        <v>0.63039999999999996</v>
      </c>
    </row>
    <row r="680" spans="2:24" x14ac:dyDescent="0.3">
      <c r="B680" s="1">
        <v>44145</v>
      </c>
      <c r="C680">
        <v>0.56999999999999995</v>
      </c>
      <c r="F680" s="1">
        <v>44145</v>
      </c>
      <c r="G680">
        <v>69.47</v>
      </c>
      <c r="K680" s="1">
        <v>44270</v>
      </c>
      <c r="L680">
        <v>5.4962</v>
      </c>
      <c r="W680" s="1">
        <v>44271</v>
      </c>
      <c r="X680">
        <v>0.63919999999999999</v>
      </c>
    </row>
    <row r="681" spans="2:24" x14ac:dyDescent="0.3">
      <c r="B681" s="1">
        <v>44144</v>
      </c>
      <c r="C681">
        <v>0.54810000000000003</v>
      </c>
      <c r="F681" s="1">
        <v>44144</v>
      </c>
      <c r="G681">
        <v>66.8</v>
      </c>
      <c r="K681" s="1">
        <v>44267</v>
      </c>
      <c r="L681">
        <v>5.4461000000000004</v>
      </c>
      <c r="W681" s="1">
        <v>44270</v>
      </c>
      <c r="X681">
        <v>0.64290000000000003</v>
      </c>
    </row>
    <row r="682" spans="2:24" x14ac:dyDescent="0.3">
      <c r="B682" s="1">
        <v>44141</v>
      </c>
      <c r="C682">
        <v>0.54810000000000003</v>
      </c>
      <c r="F682" s="1">
        <v>44141</v>
      </c>
      <c r="G682">
        <v>66.8</v>
      </c>
      <c r="K682" s="1">
        <v>44265</v>
      </c>
      <c r="L682">
        <v>5.3959999999999999</v>
      </c>
      <c r="W682" s="1">
        <v>44267</v>
      </c>
      <c r="X682">
        <v>0.63700000000000001</v>
      </c>
    </row>
    <row r="683" spans="2:24" x14ac:dyDescent="0.3">
      <c r="B683" s="1">
        <v>44140</v>
      </c>
      <c r="C683">
        <v>0.54369999999999996</v>
      </c>
      <c r="F683" s="1">
        <v>44140</v>
      </c>
      <c r="G683">
        <v>66.27</v>
      </c>
      <c r="K683" s="1">
        <v>44264</v>
      </c>
      <c r="L683">
        <v>5.5213000000000001</v>
      </c>
      <c r="W683" s="1">
        <v>44265</v>
      </c>
      <c r="X683">
        <v>0.63109999999999999</v>
      </c>
    </row>
    <row r="684" spans="2:24" x14ac:dyDescent="0.3">
      <c r="B684" s="1">
        <v>44139</v>
      </c>
      <c r="C684">
        <v>0.54369999999999996</v>
      </c>
      <c r="F684" s="1">
        <v>44139</v>
      </c>
      <c r="G684">
        <v>66.27</v>
      </c>
      <c r="K684" s="1">
        <v>44263</v>
      </c>
      <c r="L684">
        <v>5.4021999999999997</v>
      </c>
      <c r="W684" s="1">
        <v>44264</v>
      </c>
      <c r="X684">
        <v>0.64580000000000004</v>
      </c>
    </row>
    <row r="685" spans="2:24" x14ac:dyDescent="0.3">
      <c r="B685" s="1">
        <v>44138</v>
      </c>
      <c r="C685">
        <v>0.53639999999999999</v>
      </c>
      <c r="F685" s="1">
        <v>44138</v>
      </c>
      <c r="G685">
        <v>65.38</v>
      </c>
      <c r="K685" s="1">
        <v>44260</v>
      </c>
      <c r="L685">
        <v>5.3208000000000002</v>
      </c>
      <c r="W685" s="1">
        <v>44263</v>
      </c>
      <c r="X685">
        <v>0.63190000000000002</v>
      </c>
    </row>
    <row r="686" spans="2:24" x14ac:dyDescent="0.3">
      <c r="B686" s="1">
        <v>44137</v>
      </c>
      <c r="C686">
        <v>0.53269999999999995</v>
      </c>
      <c r="F686" s="1">
        <v>44137</v>
      </c>
      <c r="G686">
        <v>64.94</v>
      </c>
      <c r="K686" s="1">
        <v>44259</v>
      </c>
      <c r="L686">
        <v>5.2957000000000001</v>
      </c>
      <c r="W686" s="1">
        <v>44260</v>
      </c>
      <c r="X686">
        <v>0.62229999999999996</v>
      </c>
    </row>
    <row r="687" spans="2:24" x14ac:dyDescent="0.3">
      <c r="B687" s="1">
        <v>44133</v>
      </c>
      <c r="C687">
        <v>0.54220000000000002</v>
      </c>
      <c r="F687" s="1">
        <v>44133</v>
      </c>
      <c r="G687">
        <v>66.09</v>
      </c>
      <c r="K687" s="1">
        <v>44258</v>
      </c>
      <c r="L687">
        <v>5.3772000000000002</v>
      </c>
      <c r="W687" s="1">
        <v>44259</v>
      </c>
      <c r="X687">
        <v>0.61939999999999995</v>
      </c>
    </row>
    <row r="688" spans="2:24" x14ac:dyDescent="0.3">
      <c r="B688" s="1">
        <v>44132</v>
      </c>
      <c r="C688">
        <v>0.53269999999999995</v>
      </c>
      <c r="F688" s="1">
        <v>44132</v>
      </c>
      <c r="G688">
        <v>64.94</v>
      </c>
      <c r="K688" s="1">
        <v>44257</v>
      </c>
      <c r="L688">
        <v>5.4398</v>
      </c>
      <c r="W688" s="1">
        <v>44258</v>
      </c>
      <c r="X688">
        <v>0.62890000000000001</v>
      </c>
    </row>
    <row r="689" spans="2:24" x14ac:dyDescent="0.3">
      <c r="B689" s="1">
        <v>44131</v>
      </c>
      <c r="C689">
        <v>0.53859999999999997</v>
      </c>
      <c r="F689" s="1">
        <v>44131</v>
      </c>
      <c r="G689">
        <v>65.650000000000006</v>
      </c>
      <c r="K689" s="1">
        <v>44256</v>
      </c>
      <c r="L689">
        <v>5.5338000000000003</v>
      </c>
      <c r="W689" s="1">
        <v>44257</v>
      </c>
      <c r="X689">
        <v>0.63629999999999998</v>
      </c>
    </row>
    <row r="690" spans="2:24" x14ac:dyDescent="0.3">
      <c r="B690" s="1">
        <v>44130</v>
      </c>
      <c r="C690">
        <v>0.5393</v>
      </c>
      <c r="F690" s="1">
        <v>44130</v>
      </c>
      <c r="G690">
        <v>65.739999999999995</v>
      </c>
      <c r="K690" s="1">
        <v>44252</v>
      </c>
      <c r="L690">
        <v>5.5651999999999999</v>
      </c>
      <c r="W690" s="1">
        <v>44256</v>
      </c>
      <c r="X690">
        <v>0.64729999999999999</v>
      </c>
    </row>
    <row r="691" spans="2:24" x14ac:dyDescent="0.3">
      <c r="B691" s="1">
        <v>44127</v>
      </c>
      <c r="C691">
        <v>0.54369999999999996</v>
      </c>
      <c r="F691" s="1">
        <v>44127</v>
      </c>
      <c r="G691">
        <v>66.27</v>
      </c>
      <c r="K691" s="1">
        <v>44251</v>
      </c>
      <c r="L691">
        <v>5.327</v>
      </c>
      <c r="W691" s="1">
        <v>44252</v>
      </c>
      <c r="X691">
        <v>0.65090000000000003</v>
      </c>
    </row>
    <row r="692" spans="2:24" x14ac:dyDescent="0.3">
      <c r="B692" s="1">
        <v>44126</v>
      </c>
      <c r="C692">
        <v>0.54369999999999996</v>
      </c>
      <c r="F692" s="1">
        <v>44126</v>
      </c>
      <c r="G692">
        <v>66.27</v>
      </c>
      <c r="K692" s="1">
        <v>44250</v>
      </c>
      <c r="L692">
        <v>5.3897000000000004</v>
      </c>
      <c r="W692" s="1">
        <v>44251</v>
      </c>
      <c r="X692">
        <v>0.62309999999999999</v>
      </c>
    </row>
    <row r="693" spans="2:24" x14ac:dyDescent="0.3">
      <c r="B693" s="1">
        <v>44125</v>
      </c>
      <c r="C693">
        <v>0.53859999999999997</v>
      </c>
      <c r="F693" s="1">
        <v>44125</v>
      </c>
      <c r="G693">
        <v>65.650000000000006</v>
      </c>
      <c r="K693" s="1">
        <v>44249</v>
      </c>
      <c r="L693">
        <v>5.5777000000000001</v>
      </c>
      <c r="W693" s="1">
        <v>44250</v>
      </c>
      <c r="X693">
        <v>0.63039999999999996</v>
      </c>
    </row>
    <row r="694" spans="2:24" x14ac:dyDescent="0.3">
      <c r="B694" s="1">
        <v>44124</v>
      </c>
      <c r="C694">
        <v>0.55969999999999998</v>
      </c>
      <c r="F694" s="1">
        <v>44124</v>
      </c>
      <c r="G694">
        <v>68.23</v>
      </c>
      <c r="K694" s="1">
        <v>44246</v>
      </c>
      <c r="L694">
        <v>5.6403999999999996</v>
      </c>
      <c r="W694" s="1">
        <v>44249</v>
      </c>
      <c r="X694">
        <v>0.65239999999999998</v>
      </c>
    </row>
    <row r="695" spans="2:24" x14ac:dyDescent="0.3">
      <c r="B695" s="1">
        <v>44123</v>
      </c>
      <c r="C695">
        <v>0.56479999999999997</v>
      </c>
      <c r="F695" s="1">
        <v>44123</v>
      </c>
      <c r="G695">
        <v>68.849999999999994</v>
      </c>
      <c r="K695" s="1">
        <v>44245</v>
      </c>
      <c r="L695">
        <v>5.5275999999999996</v>
      </c>
      <c r="W695" s="1">
        <v>44246</v>
      </c>
      <c r="X695">
        <v>0.65969999999999995</v>
      </c>
    </row>
    <row r="696" spans="2:24" x14ac:dyDescent="0.3">
      <c r="B696" s="1">
        <v>44120</v>
      </c>
      <c r="C696">
        <v>0.56410000000000005</v>
      </c>
      <c r="F696" s="1">
        <v>44120</v>
      </c>
      <c r="G696">
        <v>68.760000000000005</v>
      </c>
      <c r="K696" s="1">
        <v>44244</v>
      </c>
      <c r="L696">
        <v>5.5275999999999996</v>
      </c>
      <c r="W696" s="1">
        <v>44245</v>
      </c>
      <c r="X696">
        <v>0.64649999999999996</v>
      </c>
    </row>
    <row r="697" spans="2:24" x14ac:dyDescent="0.3">
      <c r="B697" s="1">
        <v>44119</v>
      </c>
      <c r="C697">
        <v>0.56559999999999999</v>
      </c>
      <c r="F697" s="1">
        <v>44119</v>
      </c>
      <c r="G697">
        <v>68.94</v>
      </c>
      <c r="K697" s="1">
        <v>44243</v>
      </c>
      <c r="L697">
        <v>5.4962</v>
      </c>
      <c r="W697" s="1">
        <v>44244</v>
      </c>
      <c r="X697">
        <v>0.64649999999999996</v>
      </c>
    </row>
    <row r="698" spans="2:24" x14ac:dyDescent="0.3">
      <c r="B698" s="1">
        <v>44118</v>
      </c>
      <c r="C698">
        <v>0.56630000000000003</v>
      </c>
      <c r="F698" s="1">
        <v>44118</v>
      </c>
      <c r="G698">
        <v>69.03</v>
      </c>
      <c r="K698" s="1">
        <v>44242</v>
      </c>
      <c r="L698">
        <v>5.6592000000000002</v>
      </c>
      <c r="W698" s="1">
        <v>44243</v>
      </c>
      <c r="X698">
        <v>0.64290000000000003</v>
      </c>
    </row>
    <row r="699" spans="2:24" x14ac:dyDescent="0.3">
      <c r="B699" s="1">
        <v>44117</v>
      </c>
      <c r="C699">
        <v>0.54369999999999996</v>
      </c>
      <c r="F699" s="1">
        <v>44117</v>
      </c>
      <c r="G699">
        <v>66.27</v>
      </c>
      <c r="K699" s="1">
        <v>44239</v>
      </c>
      <c r="L699">
        <v>5.5213000000000001</v>
      </c>
      <c r="W699" s="1">
        <v>44242</v>
      </c>
      <c r="X699">
        <v>0.66190000000000004</v>
      </c>
    </row>
    <row r="700" spans="2:24" x14ac:dyDescent="0.3">
      <c r="B700" s="1">
        <v>44116</v>
      </c>
      <c r="C700">
        <v>0.54949999999999999</v>
      </c>
      <c r="F700" s="1">
        <v>44116</v>
      </c>
      <c r="G700">
        <v>66.98</v>
      </c>
      <c r="K700" s="1">
        <v>44238</v>
      </c>
      <c r="L700">
        <v>5.3772000000000002</v>
      </c>
      <c r="W700" s="1">
        <v>44239</v>
      </c>
      <c r="X700">
        <v>0.64580000000000004</v>
      </c>
    </row>
    <row r="701" spans="2:24" x14ac:dyDescent="0.3">
      <c r="B701" s="1">
        <v>44113</v>
      </c>
      <c r="C701">
        <v>0.56189999999999996</v>
      </c>
      <c r="F701" s="1">
        <v>44113</v>
      </c>
      <c r="G701">
        <v>68.489999999999995</v>
      </c>
      <c r="K701" s="1">
        <v>44237</v>
      </c>
      <c r="L701">
        <v>5.4836999999999998</v>
      </c>
      <c r="W701" s="1">
        <v>44238</v>
      </c>
      <c r="X701">
        <v>0.62890000000000001</v>
      </c>
    </row>
    <row r="702" spans="2:24" x14ac:dyDescent="0.3">
      <c r="B702" s="1">
        <v>44112</v>
      </c>
      <c r="C702">
        <v>0.5524</v>
      </c>
      <c r="F702" s="1">
        <v>44112</v>
      </c>
      <c r="G702">
        <v>67.34</v>
      </c>
      <c r="K702" s="1">
        <v>44236</v>
      </c>
      <c r="L702">
        <v>5.5025000000000004</v>
      </c>
      <c r="W702" s="1">
        <v>44237</v>
      </c>
      <c r="X702">
        <v>0.64139999999999997</v>
      </c>
    </row>
    <row r="703" spans="2:24" x14ac:dyDescent="0.3">
      <c r="B703" s="1">
        <v>44111</v>
      </c>
      <c r="C703">
        <v>0.54290000000000005</v>
      </c>
      <c r="F703" s="1">
        <v>44111</v>
      </c>
      <c r="G703">
        <v>66.180000000000007</v>
      </c>
      <c r="K703" s="1">
        <v>44235</v>
      </c>
      <c r="L703">
        <v>5.6403999999999996</v>
      </c>
      <c r="W703" s="1">
        <v>44236</v>
      </c>
      <c r="X703">
        <v>0.64359999999999995</v>
      </c>
    </row>
    <row r="704" spans="2:24" x14ac:dyDescent="0.3">
      <c r="B704" s="1">
        <v>44110</v>
      </c>
      <c r="C704">
        <v>0.54290000000000005</v>
      </c>
      <c r="F704" s="1">
        <v>44110</v>
      </c>
      <c r="G704">
        <v>66.180000000000007</v>
      </c>
      <c r="K704" s="1">
        <v>44232</v>
      </c>
      <c r="L704">
        <v>5.8095999999999997</v>
      </c>
      <c r="W704" s="1">
        <v>44235</v>
      </c>
      <c r="X704">
        <v>0.65969999999999995</v>
      </c>
    </row>
    <row r="705" spans="2:24" x14ac:dyDescent="0.3">
      <c r="B705" s="1">
        <v>44109</v>
      </c>
      <c r="C705">
        <v>0.54510000000000003</v>
      </c>
      <c r="F705" s="1">
        <v>44109</v>
      </c>
      <c r="G705">
        <v>66.45</v>
      </c>
      <c r="K705" s="1">
        <v>44230</v>
      </c>
      <c r="L705">
        <v>5.8284000000000002</v>
      </c>
      <c r="W705" s="1">
        <v>44232</v>
      </c>
      <c r="X705">
        <v>0.67949999999999999</v>
      </c>
    </row>
    <row r="706" spans="2:24" x14ac:dyDescent="0.3">
      <c r="B706" s="1">
        <v>44106</v>
      </c>
      <c r="C706">
        <v>0.57799999999999996</v>
      </c>
      <c r="F706" s="1">
        <v>44106</v>
      </c>
      <c r="G706">
        <v>70.45</v>
      </c>
      <c r="K706" s="1">
        <v>44229</v>
      </c>
      <c r="L706">
        <v>5.6341000000000001</v>
      </c>
      <c r="W706" s="1">
        <v>44230</v>
      </c>
      <c r="X706">
        <v>0.68169999999999997</v>
      </c>
    </row>
    <row r="707" spans="2:24" x14ac:dyDescent="0.3">
      <c r="B707" s="1">
        <v>44104</v>
      </c>
      <c r="C707">
        <v>0.58309999999999995</v>
      </c>
      <c r="F707" s="1">
        <v>44104</v>
      </c>
      <c r="G707">
        <v>71.069999999999993</v>
      </c>
      <c r="K707" s="1">
        <v>44228</v>
      </c>
      <c r="L707">
        <v>6.0351999999999997</v>
      </c>
      <c r="W707" s="1">
        <v>44229</v>
      </c>
      <c r="X707">
        <v>0.65900000000000003</v>
      </c>
    </row>
    <row r="708" spans="2:24" x14ac:dyDescent="0.3">
      <c r="B708" s="1">
        <v>44103</v>
      </c>
      <c r="C708">
        <v>0.57540000000000002</v>
      </c>
      <c r="F708" s="1">
        <v>44103</v>
      </c>
      <c r="G708">
        <v>71.16</v>
      </c>
      <c r="K708" s="1">
        <v>44225</v>
      </c>
      <c r="L708">
        <v>6.2483000000000004</v>
      </c>
      <c r="W708" s="1">
        <v>44228</v>
      </c>
      <c r="X708">
        <v>0.70589999999999997</v>
      </c>
    </row>
    <row r="709" spans="2:24" x14ac:dyDescent="0.3">
      <c r="B709" s="1">
        <v>44102</v>
      </c>
      <c r="C709">
        <v>0.58189999999999997</v>
      </c>
      <c r="F709" s="1">
        <v>44102</v>
      </c>
      <c r="G709">
        <v>71.959999999999994</v>
      </c>
      <c r="K709" s="1">
        <v>44223</v>
      </c>
      <c r="L709">
        <v>6.2545999999999999</v>
      </c>
      <c r="W709" s="1">
        <v>44225</v>
      </c>
      <c r="X709">
        <v>0.73080000000000001</v>
      </c>
    </row>
    <row r="710" spans="2:24" x14ac:dyDescent="0.3">
      <c r="B710" s="1">
        <v>44099</v>
      </c>
      <c r="C710">
        <v>0.58260000000000001</v>
      </c>
      <c r="F710" s="1">
        <v>44099</v>
      </c>
      <c r="G710">
        <v>72.05</v>
      </c>
      <c r="K710" s="1">
        <v>44222</v>
      </c>
      <c r="L710">
        <v>6.2984</v>
      </c>
      <c r="W710" s="1">
        <v>44223</v>
      </c>
      <c r="X710">
        <v>0.73150000000000004</v>
      </c>
    </row>
    <row r="711" spans="2:24" x14ac:dyDescent="0.3">
      <c r="B711" s="1">
        <v>44098</v>
      </c>
      <c r="C711">
        <v>0.58040000000000003</v>
      </c>
      <c r="F711" s="1">
        <v>44098</v>
      </c>
      <c r="G711">
        <v>71.790000000000006</v>
      </c>
      <c r="K711" s="1">
        <v>44221</v>
      </c>
      <c r="L711">
        <v>6.3140999999999998</v>
      </c>
      <c r="W711" s="1">
        <v>44222</v>
      </c>
      <c r="X711">
        <v>0.73670000000000002</v>
      </c>
    </row>
    <row r="712" spans="2:24" x14ac:dyDescent="0.3">
      <c r="B712" s="1">
        <v>44097</v>
      </c>
      <c r="C712">
        <v>0.58189999999999997</v>
      </c>
      <c r="F712" s="1">
        <v>44097</v>
      </c>
      <c r="G712">
        <v>71.959999999999994</v>
      </c>
      <c r="K712" s="1">
        <v>44218</v>
      </c>
      <c r="L712">
        <v>6.2169999999999996</v>
      </c>
      <c r="W712" s="1">
        <v>44221</v>
      </c>
      <c r="X712">
        <v>0.73850000000000005</v>
      </c>
    </row>
    <row r="713" spans="2:24" x14ac:dyDescent="0.3">
      <c r="B713" s="1">
        <v>44096</v>
      </c>
      <c r="C713">
        <v>0.58189999999999997</v>
      </c>
      <c r="F713" s="1">
        <v>44096</v>
      </c>
      <c r="G713">
        <v>71.959999999999994</v>
      </c>
      <c r="K713" s="1">
        <v>44217</v>
      </c>
      <c r="L713">
        <v>5.8723000000000001</v>
      </c>
      <c r="W713" s="1">
        <v>44218</v>
      </c>
      <c r="X713">
        <v>0.72709999999999997</v>
      </c>
    </row>
    <row r="714" spans="2:24" x14ac:dyDescent="0.3">
      <c r="B714" s="1">
        <v>44095</v>
      </c>
      <c r="C714">
        <v>0.59050000000000002</v>
      </c>
      <c r="F714" s="1">
        <v>44095</v>
      </c>
      <c r="G714">
        <v>73.03</v>
      </c>
      <c r="K714" s="1">
        <v>44216</v>
      </c>
      <c r="L714">
        <v>6.0602999999999998</v>
      </c>
      <c r="W714" s="1">
        <v>44217</v>
      </c>
      <c r="X714">
        <v>0.68679999999999997</v>
      </c>
    </row>
    <row r="715" spans="2:24" x14ac:dyDescent="0.3">
      <c r="B715" s="1">
        <v>44092</v>
      </c>
      <c r="C715">
        <v>0.59560000000000002</v>
      </c>
      <c r="F715" s="1">
        <v>44092</v>
      </c>
      <c r="G715">
        <v>73.650000000000006</v>
      </c>
      <c r="K715" s="1">
        <v>44215</v>
      </c>
      <c r="L715">
        <v>6.0289999999999999</v>
      </c>
      <c r="W715" s="1">
        <v>44216</v>
      </c>
      <c r="X715">
        <v>0.70879999999999999</v>
      </c>
    </row>
    <row r="716" spans="2:24" x14ac:dyDescent="0.3">
      <c r="B716" s="1">
        <v>44091</v>
      </c>
      <c r="C716">
        <v>0.5927</v>
      </c>
      <c r="F716" s="1">
        <v>44091</v>
      </c>
      <c r="G716">
        <v>73.3</v>
      </c>
      <c r="K716" s="1">
        <v>44214</v>
      </c>
      <c r="L716">
        <v>5.5589000000000004</v>
      </c>
      <c r="W716" s="1">
        <v>44215</v>
      </c>
      <c r="X716">
        <v>0.70520000000000005</v>
      </c>
    </row>
    <row r="717" spans="2:24" x14ac:dyDescent="0.3">
      <c r="B717" s="1">
        <v>44090</v>
      </c>
      <c r="C717">
        <v>0.56820000000000004</v>
      </c>
      <c r="F717" s="1">
        <v>44090</v>
      </c>
      <c r="G717">
        <v>70.27</v>
      </c>
      <c r="K717" s="1">
        <v>44211</v>
      </c>
      <c r="L717">
        <v>5.2831999999999999</v>
      </c>
      <c r="W717" s="1">
        <v>44214</v>
      </c>
      <c r="X717">
        <v>0.6502</v>
      </c>
    </row>
    <row r="718" spans="2:24" x14ac:dyDescent="0.3">
      <c r="B718" s="1">
        <v>44089</v>
      </c>
      <c r="C718">
        <v>0.56530000000000002</v>
      </c>
      <c r="F718" s="1">
        <v>44089</v>
      </c>
      <c r="G718">
        <v>69.92</v>
      </c>
      <c r="K718" s="1">
        <v>44209</v>
      </c>
      <c r="L718">
        <v>5.1390000000000002</v>
      </c>
      <c r="W718" s="1">
        <v>44211</v>
      </c>
      <c r="X718">
        <v>0.6179</v>
      </c>
    </row>
    <row r="719" spans="2:24" x14ac:dyDescent="0.3">
      <c r="B719" s="1">
        <v>44088</v>
      </c>
      <c r="C719">
        <v>0.57040000000000002</v>
      </c>
      <c r="F719" s="1">
        <v>44088</v>
      </c>
      <c r="G719">
        <v>70.540000000000006</v>
      </c>
      <c r="K719" s="1">
        <v>44208</v>
      </c>
      <c r="L719">
        <v>5.1390000000000002</v>
      </c>
      <c r="W719" s="1">
        <v>44209</v>
      </c>
      <c r="X719">
        <v>0.60109999999999997</v>
      </c>
    </row>
    <row r="720" spans="2:24" x14ac:dyDescent="0.3">
      <c r="B720" s="1">
        <v>44085</v>
      </c>
      <c r="C720">
        <v>0.57179999999999997</v>
      </c>
      <c r="F720" s="1">
        <v>44085</v>
      </c>
      <c r="G720">
        <v>70.72</v>
      </c>
      <c r="K720" s="1">
        <v>44207</v>
      </c>
      <c r="L720">
        <v>5.1577999999999999</v>
      </c>
      <c r="W720" s="1">
        <v>44208</v>
      </c>
      <c r="X720">
        <v>0.60109999999999997</v>
      </c>
    </row>
    <row r="721" spans="2:24" x14ac:dyDescent="0.3">
      <c r="B721" s="1">
        <v>44084</v>
      </c>
      <c r="C721">
        <v>0.56820000000000004</v>
      </c>
      <c r="F721" s="1">
        <v>44084</v>
      </c>
      <c r="G721">
        <v>70.27</v>
      </c>
      <c r="K721" s="1">
        <v>44204</v>
      </c>
      <c r="L721">
        <v>5.1641000000000004</v>
      </c>
      <c r="W721" s="1">
        <v>44207</v>
      </c>
      <c r="X721">
        <v>0.60329999999999995</v>
      </c>
    </row>
    <row r="722" spans="2:24" x14ac:dyDescent="0.3">
      <c r="B722" s="1">
        <v>44083</v>
      </c>
      <c r="C722">
        <v>0.56820000000000004</v>
      </c>
      <c r="F722" s="1">
        <v>44083</v>
      </c>
      <c r="G722">
        <v>70.27</v>
      </c>
      <c r="K722" s="1">
        <v>44203</v>
      </c>
      <c r="L722">
        <v>5.1829000000000001</v>
      </c>
      <c r="W722" s="1">
        <v>44204</v>
      </c>
      <c r="X722">
        <v>0.60399999999999998</v>
      </c>
    </row>
    <row r="723" spans="2:24" x14ac:dyDescent="0.3">
      <c r="B723" s="1">
        <v>44082</v>
      </c>
      <c r="C723">
        <v>0.55810000000000004</v>
      </c>
      <c r="F723" s="1">
        <v>44082</v>
      </c>
      <c r="G723">
        <v>69.03</v>
      </c>
      <c r="K723" s="1">
        <v>44202</v>
      </c>
      <c r="L723">
        <v>5.2016999999999998</v>
      </c>
      <c r="W723" s="1">
        <v>44203</v>
      </c>
      <c r="X723">
        <v>0.60619999999999996</v>
      </c>
    </row>
    <row r="724" spans="2:24" x14ac:dyDescent="0.3">
      <c r="B724" s="1">
        <v>44081</v>
      </c>
      <c r="C724">
        <v>0.56100000000000005</v>
      </c>
      <c r="F724" s="1">
        <v>44081</v>
      </c>
      <c r="G724">
        <v>69.38</v>
      </c>
      <c r="K724" s="1">
        <v>44201</v>
      </c>
      <c r="L724">
        <v>5.2141999999999999</v>
      </c>
      <c r="W724" s="1">
        <v>44202</v>
      </c>
      <c r="X724">
        <v>0.60840000000000005</v>
      </c>
    </row>
    <row r="725" spans="2:24" x14ac:dyDescent="0.3">
      <c r="B725" s="1">
        <v>44078</v>
      </c>
      <c r="C725">
        <v>0.56530000000000002</v>
      </c>
      <c r="F725" s="1">
        <v>44078</v>
      </c>
      <c r="G725">
        <v>69.92</v>
      </c>
      <c r="K725" s="1">
        <v>44200</v>
      </c>
      <c r="L725">
        <v>5.2205000000000004</v>
      </c>
      <c r="W725" s="1">
        <v>44201</v>
      </c>
      <c r="X725">
        <v>0.6099</v>
      </c>
    </row>
    <row r="726" spans="2:24" x14ac:dyDescent="0.3">
      <c r="B726" s="1">
        <v>44077</v>
      </c>
      <c r="C726">
        <v>0.57250000000000001</v>
      </c>
      <c r="F726" s="1">
        <v>44077</v>
      </c>
      <c r="G726">
        <v>70.81</v>
      </c>
      <c r="K726" s="1">
        <v>44196</v>
      </c>
      <c r="L726">
        <v>5.0701000000000001</v>
      </c>
      <c r="W726" s="1">
        <v>44200</v>
      </c>
      <c r="X726">
        <v>0.61060000000000003</v>
      </c>
    </row>
    <row r="727" spans="2:24" x14ac:dyDescent="0.3">
      <c r="B727" s="1">
        <v>44076</v>
      </c>
      <c r="C727">
        <v>0.57540000000000002</v>
      </c>
      <c r="F727" s="1">
        <v>44076</v>
      </c>
      <c r="G727">
        <v>71.16</v>
      </c>
      <c r="K727" s="1">
        <v>44195</v>
      </c>
      <c r="L727">
        <v>5.0012999999999996</v>
      </c>
      <c r="W727" s="1">
        <v>44196</v>
      </c>
      <c r="X727">
        <v>0.59299999999999997</v>
      </c>
    </row>
    <row r="728" spans="2:24" x14ac:dyDescent="0.3">
      <c r="B728" s="1">
        <v>44074</v>
      </c>
      <c r="C728">
        <v>0.58189999999999997</v>
      </c>
      <c r="F728" s="1">
        <v>44074</v>
      </c>
      <c r="G728">
        <v>71.959999999999994</v>
      </c>
      <c r="K728" s="1">
        <v>44193</v>
      </c>
      <c r="L728">
        <v>4.9763999999999999</v>
      </c>
      <c r="W728" s="1">
        <v>44195</v>
      </c>
      <c r="X728">
        <v>0.58750000000000002</v>
      </c>
    </row>
    <row r="729" spans="2:24" x14ac:dyDescent="0.3">
      <c r="B729" s="1">
        <v>44071</v>
      </c>
      <c r="C729">
        <v>0.58620000000000005</v>
      </c>
      <c r="F729" s="1">
        <v>44071</v>
      </c>
      <c r="G729">
        <v>72.5</v>
      </c>
      <c r="K729" s="1">
        <v>44189</v>
      </c>
      <c r="L729">
        <v>4.9142999999999999</v>
      </c>
      <c r="W729" s="1">
        <v>44193</v>
      </c>
      <c r="X729">
        <v>0.58450000000000002</v>
      </c>
    </row>
    <row r="730" spans="2:24" x14ac:dyDescent="0.3">
      <c r="B730" s="1">
        <v>44070</v>
      </c>
      <c r="C730">
        <v>0.57609999999999995</v>
      </c>
      <c r="F730" s="1">
        <v>44070</v>
      </c>
      <c r="G730">
        <v>71.25</v>
      </c>
      <c r="K730" s="1">
        <v>44188</v>
      </c>
      <c r="L730">
        <v>4.9081000000000001</v>
      </c>
      <c r="W730" s="1">
        <v>44189</v>
      </c>
      <c r="X730">
        <v>0.57720000000000005</v>
      </c>
    </row>
    <row r="731" spans="2:24" x14ac:dyDescent="0.3">
      <c r="B731" s="1">
        <v>44069</v>
      </c>
      <c r="C731">
        <v>0.58689999999999998</v>
      </c>
      <c r="F731" s="1">
        <v>44069</v>
      </c>
      <c r="G731">
        <v>72.59</v>
      </c>
      <c r="K731" s="1">
        <v>44187</v>
      </c>
      <c r="L731">
        <v>4.9391999999999996</v>
      </c>
      <c r="W731" s="1">
        <v>44188</v>
      </c>
      <c r="X731">
        <v>0.57650000000000001</v>
      </c>
    </row>
    <row r="732" spans="2:24" x14ac:dyDescent="0.3">
      <c r="B732" s="1">
        <v>44068</v>
      </c>
      <c r="C732">
        <v>0.59119999999999995</v>
      </c>
      <c r="F732" s="1">
        <v>44068</v>
      </c>
      <c r="G732">
        <v>73.12</v>
      </c>
      <c r="K732" s="1">
        <v>44186</v>
      </c>
      <c r="L732">
        <v>4.9329999999999998</v>
      </c>
      <c r="W732" s="1">
        <v>44187</v>
      </c>
      <c r="X732">
        <v>0.58020000000000005</v>
      </c>
    </row>
    <row r="733" spans="2:24" x14ac:dyDescent="0.3">
      <c r="B733" s="1">
        <v>44067</v>
      </c>
      <c r="C733">
        <v>0.60129999999999995</v>
      </c>
      <c r="F733" s="1">
        <v>44067</v>
      </c>
      <c r="G733">
        <v>74.37</v>
      </c>
      <c r="K733" s="1">
        <v>44183</v>
      </c>
      <c r="L733">
        <v>4.9702000000000002</v>
      </c>
      <c r="W733" s="1">
        <v>44186</v>
      </c>
      <c r="X733">
        <v>0.57940000000000003</v>
      </c>
    </row>
    <row r="734" spans="2:24" x14ac:dyDescent="0.3">
      <c r="B734" s="1">
        <v>44064</v>
      </c>
      <c r="C734">
        <v>0.59770000000000001</v>
      </c>
      <c r="F734" s="1">
        <v>44064</v>
      </c>
      <c r="G734">
        <v>73.92</v>
      </c>
      <c r="K734" s="1">
        <v>44182</v>
      </c>
      <c r="L734">
        <v>5.0012999999999996</v>
      </c>
      <c r="W734" s="1">
        <v>44183</v>
      </c>
      <c r="X734">
        <v>0.58379999999999999</v>
      </c>
    </row>
    <row r="735" spans="2:24" x14ac:dyDescent="0.3">
      <c r="B735" s="1">
        <v>44063</v>
      </c>
      <c r="C735">
        <v>0.59699999999999998</v>
      </c>
      <c r="F735" s="1">
        <v>44063</v>
      </c>
      <c r="G735">
        <v>73.83</v>
      </c>
      <c r="K735" s="1">
        <v>44181</v>
      </c>
      <c r="L735">
        <v>5.0324</v>
      </c>
      <c r="W735" s="1">
        <v>44182</v>
      </c>
      <c r="X735">
        <v>0.58750000000000002</v>
      </c>
    </row>
    <row r="736" spans="2:24" x14ac:dyDescent="0.3">
      <c r="B736" s="1">
        <v>44062</v>
      </c>
      <c r="C736">
        <v>0.59770000000000001</v>
      </c>
      <c r="F736" s="1">
        <v>44062</v>
      </c>
      <c r="G736">
        <v>73.92</v>
      </c>
      <c r="K736" s="1">
        <v>44180</v>
      </c>
      <c r="L736">
        <v>5.0324</v>
      </c>
      <c r="W736" s="1">
        <v>44181</v>
      </c>
      <c r="X736">
        <v>0.59109999999999996</v>
      </c>
    </row>
    <row r="737" spans="2:24" x14ac:dyDescent="0.3">
      <c r="B737" s="1">
        <v>44061</v>
      </c>
      <c r="C737">
        <v>0.59340000000000004</v>
      </c>
      <c r="F737" s="1">
        <v>44061</v>
      </c>
      <c r="G737">
        <v>73.39</v>
      </c>
      <c r="K737" s="1">
        <v>44179</v>
      </c>
      <c r="L737">
        <v>5.1006999999999998</v>
      </c>
      <c r="W737" s="1">
        <v>44180</v>
      </c>
      <c r="X737">
        <v>0.59109999999999996</v>
      </c>
    </row>
    <row r="738" spans="2:24" x14ac:dyDescent="0.3">
      <c r="B738" s="1">
        <v>44060</v>
      </c>
      <c r="C738">
        <v>0.58979999999999999</v>
      </c>
      <c r="F738" s="1">
        <v>44060</v>
      </c>
      <c r="G738">
        <v>72.94</v>
      </c>
      <c r="K738" s="1">
        <v>44176</v>
      </c>
      <c r="L738">
        <v>5.1566000000000001</v>
      </c>
      <c r="W738" s="1">
        <v>44179</v>
      </c>
      <c r="X738">
        <v>0.59909999999999997</v>
      </c>
    </row>
    <row r="739" spans="2:24" x14ac:dyDescent="0.3">
      <c r="B739" s="1">
        <v>44057</v>
      </c>
      <c r="C739">
        <v>0.59340000000000004</v>
      </c>
      <c r="F739" s="1">
        <v>44057</v>
      </c>
      <c r="G739">
        <v>73.39</v>
      </c>
      <c r="K739" s="1">
        <v>44175</v>
      </c>
      <c r="L739">
        <v>5.1504000000000003</v>
      </c>
      <c r="W739" s="1">
        <v>44176</v>
      </c>
      <c r="X739">
        <v>0.60570000000000002</v>
      </c>
    </row>
    <row r="740" spans="2:24" x14ac:dyDescent="0.3">
      <c r="B740" s="1">
        <v>44056</v>
      </c>
      <c r="C740">
        <v>0.59989999999999999</v>
      </c>
      <c r="F740" s="1">
        <v>44056</v>
      </c>
      <c r="G740">
        <v>74.19</v>
      </c>
      <c r="K740" s="1">
        <v>44174</v>
      </c>
      <c r="L740">
        <v>5.1689999999999996</v>
      </c>
      <c r="W740" s="1">
        <v>44175</v>
      </c>
      <c r="X740">
        <v>0.60499999999999998</v>
      </c>
    </row>
    <row r="741" spans="2:24" x14ac:dyDescent="0.3">
      <c r="B741" s="1">
        <v>44055</v>
      </c>
      <c r="C741">
        <v>0.58260000000000001</v>
      </c>
      <c r="F741" s="1">
        <v>44055</v>
      </c>
      <c r="G741">
        <v>72.05</v>
      </c>
      <c r="K741" s="1">
        <v>44173</v>
      </c>
      <c r="L741">
        <v>5.2497999999999996</v>
      </c>
      <c r="W741" s="1">
        <v>44174</v>
      </c>
      <c r="X741">
        <v>0.60719999999999996</v>
      </c>
    </row>
    <row r="742" spans="2:24" x14ac:dyDescent="0.3">
      <c r="B742" s="1">
        <v>44054</v>
      </c>
      <c r="C742">
        <v>0.55100000000000005</v>
      </c>
      <c r="F742" s="1">
        <v>44054</v>
      </c>
      <c r="G742">
        <v>68.14</v>
      </c>
      <c r="K742" s="1">
        <v>44172</v>
      </c>
      <c r="L742">
        <v>5.1814999999999998</v>
      </c>
      <c r="W742" s="1">
        <v>44173</v>
      </c>
      <c r="X742">
        <v>0.61670000000000003</v>
      </c>
    </row>
    <row r="743" spans="2:24" x14ac:dyDescent="0.3">
      <c r="B743" s="1">
        <v>44053</v>
      </c>
      <c r="C743">
        <v>0.54810000000000003</v>
      </c>
      <c r="F743" s="1">
        <v>44053</v>
      </c>
      <c r="G743">
        <v>67.78</v>
      </c>
      <c r="K743" s="1">
        <v>44169</v>
      </c>
      <c r="L743">
        <v>5.0820999999999996</v>
      </c>
      <c r="W743" s="1">
        <v>44172</v>
      </c>
      <c r="X743">
        <v>0.60860000000000003</v>
      </c>
    </row>
    <row r="744" spans="2:24" x14ac:dyDescent="0.3">
      <c r="B744" s="1">
        <v>44050</v>
      </c>
      <c r="C744">
        <v>0.55310000000000004</v>
      </c>
      <c r="F744" s="1">
        <v>44050</v>
      </c>
      <c r="G744">
        <v>68.41</v>
      </c>
      <c r="K744" s="1">
        <v>44168</v>
      </c>
      <c r="L744">
        <v>5.0075000000000003</v>
      </c>
      <c r="W744" s="1">
        <v>44169</v>
      </c>
      <c r="X744">
        <v>0.59699999999999998</v>
      </c>
    </row>
    <row r="745" spans="2:24" x14ac:dyDescent="0.3">
      <c r="B745" s="1">
        <v>44049</v>
      </c>
      <c r="C745">
        <v>0.55379999999999996</v>
      </c>
      <c r="F745" s="1">
        <v>44049</v>
      </c>
      <c r="G745">
        <v>68.489999999999995</v>
      </c>
      <c r="K745" s="1">
        <v>44167</v>
      </c>
      <c r="L745">
        <v>5.0012999999999996</v>
      </c>
      <c r="W745" s="1">
        <v>44168</v>
      </c>
      <c r="X745">
        <v>0.58819999999999995</v>
      </c>
    </row>
    <row r="746" spans="2:24" x14ac:dyDescent="0.3">
      <c r="B746" s="1">
        <v>44048</v>
      </c>
      <c r="C746">
        <v>0.55379999999999996</v>
      </c>
      <c r="F746" s="1">
        <v>44048</v>
      </c>
      <c r="G746">
        <v>68.489999999999995</v>
      </c>
      <c r="K746" s="1">
        <v>44166</v>
      </c>
      <c r="L746">
        <v>4.9889000000000001</v>
      </c>
      <c r="W746" s="1">
        <v>44167</v>
      </c>
      <c r="X746">
        <v>0.58750000000000002</v>
      </c>
    </row>
    <row r="747" spans="2:24" x14ac:dyDescent="0.3">
      <c r="B747" s="1">
        <v>44047</v>
      </c>
      <c r="C747">
        <v>0.5524</v>
      </c>
      <c r="F747" s="1">
        <v>44047</v>
      </c>
      <c r="G747">
        <v>68.319999999999993</v>
      </c>
      <c r="K747" s="1">
        <v>44165</v>
      </c>
      <c r="L747">
        <v>4.8956999999999997</v>
      </c>
      <c r="W747" s="1">
        <v>44166</v>
      </c>
      <c r="X747">
        <v>0.58599999999999997</v>
      </c>
    </row>
    <row r="748" spans="2:24" x14ac:dyDescent="0.3">
      <c r="B748" s="1">
        <v>44043</v>
      </c>
      <c r="C748">
        <v>0.53939999999999999</v>
      </c>
      <c r="F748" s="1">
        <v>44043</v>
      </c>
      <c r="G748">
        <v>66.72</v>
      </c>
      <c r="K748" s="1">
        <v>44162</v>
      </c>
      <c r="L748">
        <v>4.7527999999999997</v>
      </c>
      <c r="W748" s="1">
        <v>44165</v>
      </c>
      <c r="X748">
        <v>0.57509999999999994</v>
      </c>
    </row>
    <row r="749" spans="2:24" x14ac:dyDescent="0.3">
      <c r="B749" s="1">
        <v>44042</v>
      </c>
      <c r="C749">
        <v>0.52070000000000005</v>
      </c>
      <c r="F749" s="1">
        <v>44042</v>
      </c>
      <c r="G749">
        <v>64.400000000000006</v>
      </c>
      <c r="K749" s="1">
        <v>44161</v>
      </c>
      <c r="L749">
        <v>4.7527999999999997</v>
      </c>
      <c r="W749" s="1">
        <v>44162</v>
      </c>
      <c r="X749">
        <v>0.55830000000000002</v>
      </c>
    </row>
    <row r="750" spans="2:24" x14ac:dyDescent="0.3">
      <c r="B750" s="1">
        <v>44041</v>
      </c>
      <c r="C750">
        <v>0.52869999999999995</v>
      </c>
      <c r="F750" s="1">
        <v>44041</v>
      </c>
      <c r="G750">
        <v>65.38</v>
      </c>
      <c r="K750" s="1">
        <v>44160</v>
      </c>
      <c r="L750">
        <v>4.7404000000000002</v>
      </c>
      <c r="W750" s="1">
        <v>44161</v>
      </c>
      <c r="X750">
        <v>0.55830000000000002</v>
      </c>
    </row>
    <row r="751" spans="2:24" x14ac:dyDescent="0.3">
      <c r="B751" s="1">
        <v>44040</v>
      </c>
      <c r="C751">
        <v>0.5323</v>
      </c>
      <c r="F751" s="1">
        <v>44040</v>
      </c>
      <c r="G751">
        <v>65.83</v>
      </c>
      <c r="K751" s="1">
        <v>44159</v>
      </c>
      <c r="L751">
        <v>4.7590000000000003</v>
      </c>
      <c r="W751" s="1">
        <v>44160</v>
      </c>
      <c r="X751">
        <v>0.55679999999999996</v>
      </c>
    </row>
    <row r="752" spans="2:24" x14ac:dyDescent="0.3">
      <c r="B752" s="1">
        <v>44039</v>
      </c>
      <c r="C752">
        <v>0.53800000000000003</v>
      </c>
      <c r="F752" s="1">
        <v>44039</v>
      </c>
      <c r="G752">
        <v>66.540000000000006</v>
      </c>
      <c r="K752" s="1">
        <v>44158</v>
      </c>
      <c r="L752">
        <v>4.7527999999999997</v>
      </c>
      <c r="W752" s="1">
        <v>44159</v>
      </c>
      <c r="X752">
        <v>0.55900000000000005</v>
      </c>
    </row>
    <row r="753" spans="2:24" x14ac:dyDescent="0.3">
      <c r="B753" s="1">
        <v>44036</v>
      </c>
      <c r="C753">
        <v>0.53590000000000004</v>
      </c>
      <c r="F753" s="1">
        <v>44036</v>
      </c>
      <c r="G753">
        <v>66.27</v>
      </c>
      <c r="K753" s="1">
        <v>44155</v>
      </c>
      <c r="L753">
        <v>4.7279</v>
      </c>
      <c r="W753" s="1">
        <v>44158</v>
      </c>
      <c r="X753">
        <v>0.55830000000000002</v>
      </c>
    </row>
    <row r="754" spans="2:24" x14ac:dyDescent="0.3">
      <c r="B754" s="1">
        <v>44035</v>
      </c>
      <c r="C754">
        <v>0.53510000000000002</v>
      </c>
      <c r="F754" s="1">
        <v>44035</v>
      </c>
      <c r="G754">
        <v>66.180000000000007</v>
      </c>
      <c r="K754" s="1">
        <v>44154</v>
      </c>
      <c r="L754">
        <v>4.7217000000000002</v>
      </c>
      <c r="W754" s="1">
        <v>44155</v>
      </c>
      <c r="X754">
        <v>0.5554</v>
      </c>
    </row>
    <row r="755" spans="2:24" x14ac:dyDescent="0.3">
      <c r="B755" s="1">
        <v>44034</v>
      </c>
      <c r="C755">
        <v>0.53590000000000004</v>
      </c>
      <c r="F755" s="1">
        <v>44034</v>
      </c>
      <c r="G755">
        <v>66.27</v>
      </c>
      <c r="K755" s="1">
        <v>44153</v>
      </c>
      <c r="L755">
        <v>4.7279</v>
      </c>
      <c r="W755" s="1">
        <v>44154</v>
      </c>
      <c r="X755">
        <v>0.55459999999999998</v>
      </c>
    </row>
    <row r="756" spans="2:24" x14ac:dyDescent="0.3">
      <c r="B756" s="1">
        <v>44033</v>
      </c>
      <c r="C756">
        <v>0.5373</v>
      </c>
      <c r="F756" s="1">
        <v>44033</v>
      </c>
      <c r="G756">
        <v>66.45</v>
      </c>
      <c r="K756" s="1">
        <v>44152</v>
      </c>
      <c r="L756">
        <v>4.6906999999999996</v>
      </c>
      <c r="W756" s="1">
        <v>44153</v>
      </c>
      <c r="X756">
        <v>0.5554</v>
      </c>
    </row>
    <row r="757" spans="2:24" x14ac:dyDescent="0.3">
      <c r="B757" s="1">
        <v>44032</v>
      </c>
      <c r="C757">
        <v>0.53869999999999996</v>
      </c>
      <c r="F757" s="1">
        <v>44032</v>
      </c>
      <c r="G757">
        <v>66.63</v>
      </c>
      <c r="K757" s="1">
        <v>44151</v>
      </c>
      <c r="L757">
        <v>4.7279</v>
      </c>
      <c r="W757" s="1">
        <v>44152</v>
      </c>
      <c r="X757">
        <v>0.55100000000000005</v>
      </c>
    </row>
    <row r="758" spans="2:24" x14ac:dyDescent="0.3">
      <c r="B758" s="1">
        <v>44029</v>
      </c>
      <c r="C758">
        <v>0.5323</v>
      </c>
      <c r="F758" s="1">
        <v>44029</v>
      </c>
      <c r="G758">
        <v>65.83</v>
      </c>
      <c r="K758" s="1">
        <v>44148</v>
      </c>
      <c r="L758">
        <v>4.7838000000000003</v>
      </c>
      <c r="W758" s="1">
        <v>44151</v>
      </c>
      <c r="X758">
        <v>0.5554</v>
      </c>
    </row>
    <row r="759" spans="2:24" x14ac:dyDescent="0.3">
      <c r="B759" s="1">
        <v>44028</v>
      </c>
      <c r="C759">
        <v>0.5323</v>
      </c>
      <c r="F759" s="1">
        <v>44028</v>
      </c>
      <c r="G759">
        <v>65.83</v>
      </c>
      <c r="K759" s="1">
        <v>44147</v>
      </c>
      <c r="L759">
        <v>4.7838000000000003</v>
      </c>
      <c r="W759" s="1">
        <v>44148</v>
      </c>
      <c r="X759">
        <v>0.56189999999999996</v>
      </c>
    </row>
    <row r="760" spans="2:24" x14ac:dyDescent="0.3">
      <c r="B760" s="1">
        <v>44027</v>
      </c>
      <c r="C760">
        <v>0.5222</v>
      </c>
      <c r="F760" s="1">
        <v>44027</v>
      </c>
      <c r="G760">
        <v>64.58</v>
      </c>
      <c r="K760" s="1">
        <v>44146</v>
      </c>
      <c r="L760">
        <v>4.9081000000000001</v>
      </c>
      <c r="W760" s="1">
        <v>44147</v>
      </c>
      <c r="X760">
        <v>0.56189999999999996</v>
      </c>
    </row>
    <row r="761" spans="2:24" x14ac:dyDescent="0.3">
      <c r="B761" s="1">
        <v>44026</v>
      </c>
      <c r="C761">
        <v>0.52580000000000005</v>
      </c>
      <c r="F761" s="1">
        <v>44026</v>
      </c>
      <c r="G761">
        <v>65.03</v>
      </c>
      <c r="K761" s="1">
        <v>44145</v>
      </c>
      <c r="L761">
        <v>4.8521999999999998</v>
      </c>
      <c r="W761" s="1">
        <v>44146</v>
      </c>
      <c r="X761">
        <v>0.57650000000000001</v>
      </c>
    </row>
    <row r="762" spans="2:24" x14ac:dyDescent="0.3">
      <c r="B762" s="1">
        <v>44025</v>
      </c>
      <c r="C762">
        <v>0.50919999999999999</v>
      </c>
      <c r="F762" s="1">
        <v>44025</v>
      </c>
      <c r="G762">
        <v>62.98</v>
      </c>
      <c r="K762" s="1">
        <v>44144</v>
      </c>
      <c r="L762">
        <v>4.6657999999999999</v>
      </c>
      <c r="W762" s="1">
        <v>44145</v>
      </c>
      <c r="X762">
        <v>0.56999999999999995</v>
      </c>
    </row>
    <row r="763" spans="2:24" x14ac:dyDescent="0.3">
      <c r="B763" s="1">
        <v>44022</v>
      </c>
      <c r="C763">
        <v>0.53149999999999997</v>
      </c>
      <c r="F763" s="1">
        <v>44022</v>
      </c>
      <c r="G763">
        <v>65.739999999999995</v>
      </c>
      <c r="K763" s="1">
        <v>44141</v>
      </c>
      <c r="L763">
        <v>4.6657999999999999</v>
      </c>
      <c r="W763" s="1">
        <v>44144</v>
      </c>
      <c r="X763">
        <v>0.54810000000000003</v>
      </c>
    </row>
    <row r="764" spans="2:24" x14ac:dyDescent="0.3">
      <c r="B764" s="1">
        <v>44021</v>
      </c>
      <c r="C764">
        <v>0.55100000000000005</v>
      </c>
      <c r="F764" s="1">
        <v>44021</v>
      </c>
      <c r="G764">
        <v>68.14</v>
      </c>
      <c r="K764" s="1">
        <v>44140</v>
      </c>
      <c r="L764">
        <v>4.6284999999999998</v>
      </c>
      <c r="W764" s="1">
        <v>44141</v>
      </c>
      <c r="X764">
        <v>0.54810000000000003</v>
      </c>
    </row>
    <row r="765" spans="2:24" x14ac:dyDescent="0.3">
      <c r="B765" s="1">
        <v>44020</v>
      </c>
      <c r="C765">
        <v>0.55100000000000005</v>
      </c>
      <c r="F765" s="1">
        <v>44020</v>
      </c>
      <c r="G765">
        <v>68.14</v>
      </c>
      <c r="K765" s="1">
        <v>44139</v>
      </c>
      <c r="L765">
        <v>4.6284999999999998</v>
      </c>
      <c r="W765" s="1">
        <v>44140</v>
      </c>
      <c r="X765">
        <v>0.54369999999999996</v>
      </c>
    </row>
    <row r="766" spans="2:24" x14ac:dyDescent="0.3">
      <c r="B766" s="1">
        <v>44019</v>
      </c>
      <c r="C766">
        <v>0.55020000000000002</v>
      </c>
      <c r="F766" s="1">
        <v>44019</v>
      </c>
      <c r="G766">
        <v>68.05</v>
      </c>
      <c r="K766" s="1">
        <v>44138</v>
      </c>
      <c r="L766">
        <v>4.5663999999999998</v>
      </c>
      <c r="W766" s="1">
        <v>44139</v>
      </c>
      <c r="X766">
        <v>0.54369999999999996</v>
      </c>
    </row>
    <row r="767" spans="2:24" x14ac:dyDescent="0.3">
      <c r="B767" s="1">
        <v>44018</v>
      </c>
      <c r="C767">
        <v>0.54520000000000002</v>
      </c>
      <c r="F767" s="1">
        <v>44018</v>
      </c>
      <c r="G767">
        <v>67.430000000000007</v>
      </c>
      <c r="K767" s="1">
        <v>44137</v>
      </c>
      <c r="L767">
        <v>4.5353000000000003</v>
      </c>
      <c r="W767" s="1">
        <v>44138</v>
      </c>
      <c r="X767">
        <v>0.53639999999999999</v>
      </c>
    </row>
    <row r="768" spans="2:24" x14ac:dyDescent="0.3">
      <c r="B768" s="1">
        <v>44015</v>
      </c>
      <c r="C768">
        <v>0.55020000000000002</v>
      </c>
      <c r="F768" s="1">
        <v>44015</v>
      </c>
      <c r="G768">
        <v>68.05</v>
      </c>
      <c r="K768" s="1">
        <v>44133</v>
      </c>
      <c r="L768">
        <v>4.6161000000000003</v>
      </c>
      <c r="W768" s="1">
        <v>44137</v>
      </c>
      <c r="X768">
        <v>0.53269999999999995</v>
      </c>
    </row>
    <row r="769" spans="2:24" x14ac:dyDescent="0.3">
      <c r="B769" s="1">
        <v>44014</v>
      </c>
      <c r="C769">
        <v>0.55459999999999998</v>
      </c>
      <c r="F769" s="1">
        <v>44014</v>
      </c>
      <c r="G769">
        <v>68.58</v>
      </c>
      <c r="K769" s="1">
        <v>44132</v>
      </c>
      <c r="L769">
        <v>4.5353000000000003</v>
      </c>
      <c r="W769" s="1">
        <v>44133</v>
      </c>
      <c r="X769">
        <v>0.54220000000000002</v>
      </c>
    </row>
    <row r="770" spans="2:24" x14ac:dyDescent="0.3">
      <c r="B770" s="1">
        <v>44013</v>
      </c>
      <c r="C770">
        <v>0.56100000000000005</v>
      </c>
      <c r="F770" s="1">
        <v>44013</v>
      </c>
      <c r="G770">
        <v>69.38</v>
      </c>
      <c r="K770" s="1">
        <v>44131</v>
      </c>
      <c r="L770">
        <v>4.585</v>
      </c>
      <c r="W770" s="1">
        <v>44132</v>
      </c>
      <c r="X770">
        <v>0.53269999999999995</v>
      </c>
    </row>
    <row r="771" spans="2:24" x14ac:dyDescent="0.3">
      <c r="B771" s="1">
        <v>44012</v>
      </c>
      <c r="C771">
        <v>0.56679999999999997</v>
      </c>
      <c r="F771" s="1">
        <v>44012</v>
      </c>
      <c r="G771">
        <v>70.099999999999994</v>
      </c>
      <c r="K771" s="1">
        <v>44130</v>
      </c>
      <c r="L771">
        <v>4.5913000000000004</v>
      </c>
      <c r="W771" s="1">
        <v>44131</v>
      </c>
      <c r="X771">
        <v>0.53859999999999997</v>
      </c>
    </row>
    <row r="772" spans="2:24" x14ac:dyDescent="0.3">
      <c r="B772" s="1">
        <v>44011</v>
      </c>
      <c r="C772">
        <v>0.59809999999999997</v>
      </c>
      <c r="F772" s="1">
        <v>44011</v>
      </c>
      <c r="G772">
        <v>68.489999999999995</v>
      </c>
      <c r="K772" s="1">
        <v>44127</v>
      </c>
      <c r="L772">
        <v>4.6284999999999998</v>
      </c>
      <c r="W772" s="1">
        <v>44130</v>
      </c>
      <c r="X772">
        <v>0.5393</v>
      </c>
    </row>
    <row r="773" spans="2:24" x14ac:dyDescent="0.3">
      <c r="B773" s="1">
        <v>44008</v>
      </c>
      <c r="C773">
        <v>0.5958</v>
      </c>
      <c r="F773" s="1">
        <v>44008</v>
      </c>
      <c r="G773">
        <v>68.23</v>
      </c>
      <c r="K773" s="1">
        <v>44126</v>
      </c>
      <c r="L773">
        <v>4.6284999999999998</v>
      </c>
      <c r="W773" s="1">
        <v>44127</v>
      </c>
      <c r="X773">
        <v>0.54369999999999996</v>
      </c>
    </row>
    <row r="774" spans="2:24" x14ac:dyDescent="0.3">
      <c r="B774" s="1">
        <v>44007</v>
      </c>
      <c r="C774">
        <v>0.5837</v>
      </c>
      <c r="F774" s="1">
        <v>44007</v>
      </c>
      <c r="G774">
        <v>66.84</v>
      </c>
      <c r="K774" s="1">
        <v>44125</v>
      </c>
      <c r="L774">
        <v>4.585</v>
      </c>
      <c r="W774" s="1">
        <v>44126</v>
      </c>
      <c r="X774">
        <v>0.54369999999999996</v>
      </c>
    </row>
    <row r="775" spans="2:24" x14ac:dyDescent="0.3">
      <c r="B775" s="1">
        <v>44006</v>
      </c>
      <c r="C775">
        <v>0.57679999999999998</v>
      </c>
      <c r="F775" s="1">
        <v>44006</v>
      </c>
      <c r="G775">
        <v>66.06</v>
      </c>
      <c r="K775" s="1">
        <v>44124</v>
      </c>
      <c r="L775">
        <v>4.7652000000000001</v>
      </c>
      <c r="W775" s="1">
        <v>44125</v>
      </c>
      <c r="X775">
        <v>0.53859999999999997</v>
      </c>
    </row>
    <row r="776" spans="2:24" x14ac:dyDescent="0.3">
      <c r="B776" s="1">
        <v>44005</v>
      </c>
      <c r="C776">
        <v>0.57609999999999995</v>
      </c>
      <c r="F776" s="1">
        <v>44005</v>
      </c>
      <c r="G776">
        <v>65.97</v>
      </c>
      <c r="K776" s="1">
        <v>44123</v>
      </c>
      <c r="L776">
        <v>4.8087</v>
      </c>
      <c r="W776" s="1">
        <v>44124</v>
      </c>
      <c r="X776">
        <v>0.55969999999999998</v>
      </c>
    </row>
    <row r="777" spans="2:24" x14ac:dyDescent="0.3">
      <c r="B777" s="1">
        <v>44004</v>
      </c>
      <c r="C777">
        <v>0.56240000000000001</v>
      </c>
      <c r="F777" s="1">
        <v>44004</v>
      </c>
      <c r="G777">
        <v>64.41</v>
      </c>
      <c r="K777" s="1">
        <v>44120</v>
      </c>
      <c r="L777">
        <v>4.8025000000000002</v>
      </c>
      <c r="W777" s="1">
        <v>44123</v>
      </c>
      <c r="X777">
        <v>0.56479999999999997</v>
      </c>
    </row>
    <row r="778" spans="2:24" x14ac:dyDescent="0.3">
      <c r="B778" s="1">
        <v>44001</v>
      </c>
      <c r="C778">
        <v>0.53890000000000005</v>
      </c>
      <c r="F778" s="1">
        <v>44001</v>
      </c>
      <c r="G778">
        <v>61.71</v>
      </c>
      <c r="K778" s="1">
        <v>44119</v>
      </c>
      <c r="L778">
        <v>4.8148999999999997</v>
      </c>
      <c r="W778" s="1">
        <v>44120</v>
      </c>
      <c r="X778">
        <v>0.56410000000000005</v>
      </c>
    </row>
    <row r="779" spans="2:24" x14ac:dyDescent="0.3">
      <c r="B779" s="1">
        <v>44000</v>
      </c>
      <c r="C779">
        <v>0.52980000000000005</v>
      </c>
      <c r="F779" s="1">
        <v>44000</v>
      </c>
      <c r="G779">
        <v>60.67</v>
      </c>
      <c r="K779" s="1">
        <v>44118</v>
      </c>
      <c r="L779">
        <v>4.8211000000000004</v>
      </c>
      <c r="W779" s="1">
        <v>44119</v>
      </c>
      <c r="X779">
        <v>0.56559999999999999</v>
      </c>
    </row>
    <row r="780" spans="2:24" x14ac:dyDescent="0.3">
      <c r="B780" s="1">
        <v>43999</v>
      </c>
      <c r="C780">
        <v>0.53049999999999997</v>
      </c>
      <c r="F780" s="1">
        <v>43999</v>
      </c>
      <c r="G780">
        <v>60.76</v>
      </c>
      <c r="K780" s="1">
        <v>44117</v>
      </c>
      <c r="L780">
        <v>4.6284999999999998</v>
      </c>
      <c r="W780" s="1">
        <v>44118</v>
      </c>
      <c r="X780">
        <v>0.56630000000000003</v>
      </c>
    </row>
    <row r="781" spans="2:24" x14ac:dyDescent="0.3">
      <c r="B781" s="1">
        <v>43998</v>
      </c>
      <c r="C781">
        <v>0.5222</v>
      </c>
      <c r="F781" s="1">
        <v>43998</v>
      </c>
      <c r="G781">
        <v>59.8</v>
      </c>
      <c r="K781" s="1">
        <v>44116</v>
      </c>
      <c r="L781">
        <v>4.6782000000000004</v>
      </c>
      <c r="W781" s="1">
        <v>44117</v>
      </c>
      <c r="X781">
        <v>0.54369999999999996</v>
      </c>
    </row>
    <row r="782" spans="2:24" x14ac:dyDescent="0.3">
      <c r="B782" s="1">
        <v>43997</v>
      </c>
      <c r="C782">
        <v>0.5161</v>
      </c>
      <c r="F782" s="1">
        <v>43997</v>
      </c>
      <c r="G782">
        <v>59.11</v>
      </c>
      <c r="K782" s="1">
        <v>44113</v>
      </c>
      <c r="L782">
        <v>4.7838000000000003</v>
      </c>
      <c r="W782" s="1">
        <v>44116</v>
      </c>
      <c r="X782">
        <v>0.54949999999999999</v>
      </c>
    </row>
    <row r="783" spans="2:24" x14ac:dyDescent="0.3">
      <c r="B783" s="1">
        <v>43994</v>
      </c>
      <c r="C783">
        <v>0.5222</v>
      </c>
      <c r="F783" s="1">
        <v>43994</v>
      </c>
      <c r="G783">
        <v>59.8</v>
      </c>
      <c r="K783" s="1">
        <v>44112</v>
      </c>
      <c r="L783">
        <v>4.7031000000000001</v>
      </c>
      <c r="W783" s="1">
        <v>44113</v>
      </c>
      <c r="X783">
        <v>0.56189999999999996</v>
      </c>
    </row>
    <row r="784" spans="2:24" x14ac:dyDescent="0.3">
      <c r="B784" s="1">
        <v>43993</v>
      </c>
      <c r="C784">
        <v>0.51160000000000005</v>
      </c>
      <c r="F784" s="1">
        <v>43993</v>
      </c>
      <c r="G784">
        <v>58.58</v>
      </c>
      <c r="K784" s="1">
        <v>44111</v>
      </c>
      <c r="L784">
        <v>4.6223000000000001</v>
      </c>
      <c r="W784" s="1">
        <v>44112</v>
      </c>
      <c r="X784">
        <v>0.5524</v>
      </c>
    </row>
    <row r="785" spans="2:24" x14ac:dyDescent="0.3">
      <c r="B785" s="1">
        <v>43992</v>
      </c>
      <c r="C785">
        <v>0.49709999999999999</v>
      </c>
      <c r="F785" s="1">
        <v>43992</v>
      </c>
      <c r="G785">
        <v>56.93</v>
      </c>
      <c r="K785" s="1">
        <v>44110</v>
      </c>
      <c r="L785">
        <v>4.6223000000000001</v>
      </c>
      <c r="W785" s="1">
        <v>44111</v>
      </c>
      <c r="X785">
        <v>0.54290000000000005</v>
      </c>
    </row>
    <row r="786" spans="2:24" x14ac:dyDescent="0.3">
      <c r="B786" s="1">
        <v>43991</v>
      </c>
      <c r="C786">
        <v>0.49490000000000001</v>
      </c>
      <c r="F786" s="1">
        <v>43991</v>
      </c>
      <c r="G786">
        <v>56.67</v>
      </c>
      <c r="K786" s="1">
        <v>44109</v>
      </c>
      <c r="L786">
        <v>4.641</v>
      </c>
      <c r="W786" s="1">
        <v>44110</v>
      </c>
      <c r="X786">
        <v>0.54290000000000005</v>
      </c>
    </row>
    <row r="787" spans="2:24" x14ac:dyDescent="0.3">
      <c r="B787" s="1">
        <v>43990</v>
      </c>
      <c r="C787">
        <v>0.48199999999999998</v>
      </c>
      <c r="F787" s="1">
        <v>43990</v>
      </c>
      <c r="G787">
        <v>55.19</v>
      </c>
      <c r="K787" s="1">
        <v>44106</v>
      </c>
      <c r="L787">
        <v>4.9204999999999997</v>
      </c>
      <c r="W787" s="1">
        <v>44109</v>
      </c>
      <c r="X787">
        <v>0.54510000000000003</v>
      </c>
    </row>
    <row r="788" spans="2:24" x14ac:dyDescent="0.3">
      <c r="B788" s="1">
        <v>43986</v>
      </c>
      <c r="C788">
        <v>0.47589999999999999</v>
      </c>
      <c r="F788" s="1">
        <v>43986</v>
      </c>
      <c r="G788">
        <v>54.5</v>
      </c>
      <c r="K788" s="1">
        <v>44104</v>
      </c>
      <c r="L788">
        <v>4.9640000000000004</v>
      </c>
      <c r="W788" s="1">
        <v>44106</v>
      </c>
      <c r="X788">
        <v>0.57799999999999996</v>
      </c>
    </row>
    <row r="789" spans="2:24" x14ac:dyDescent="0.3">
      <c r="B789" s="1">
        <v>43985</v>
      </c>
      <c r="C789">
        <v>0.47820000000000001</v>
      </c>
      <c r="F789" s="1">
        <v>43985</v>
      </c>
      <c r="G789">
        <v>54.76</v>
      </c>
      <c r="K789" s="1">
        <v>44103</v>
      </c>
      <c r="L789">
        <v>4.6597</v>
      </c>
      <c r="W789" s="1">
        <v>44104</v>
      </c>
      <c r="X789">
        <v>0.58309999999999995</v>
      </c>
    </row>
    <row r="790" spans="2:24" x14ac:dyDescent="0.3">
      <c r="B790" s="1">
        <v>43984</v>
      </c>
      <c r="C790">
        <v>0.47289999999999999</v>
      </c>
      <c r="F790" s="1">
        <v>43984</v>
      </c>
      <c r="G790">
        <v>54.15</v>
      </c>
      <c r="K790" s="1">
        <v>44102</v>
      </c>
      <c r="L790">
        <v>4.7121000000000004</v>
      </c>
      <c r="W790" s="1">
        <v>44103</v>
      </c>
      <c r="X790">
        <v>0.57540000000000002</v>
      </c>
    </row>
    <row r="791" spans="2:24" x14ac:dyDescent="0.3">
      <c r="B791" s="1">
        <v>43983</v>
      </c>
      <c r="C791">
        <v>0.46750000000000003</v>
      </c>
      <c r="F791" s="1">
        <v>43983</v>
      </c>
      <c r="G791">
        <v>53.54</v>
      </c>
      <c r="K791" s="1">
        <v>44099</v>
      </c>
      <c r="L791">
        <v>4.7179000000000002</v>
      </c>
      <c r="W791" s="1">
        <v>44102</v>
      </c>
      <c r="X791">
        <v>0.58189999999999997</v>
      </c>
    </row>
    <row r="792" spans="2:24" x14ac:dyDescent="0.3">
      <c r="B792" s="1">
        <v>43980</v>
      </c>
      <c r="C792">
        <v>0.47820000000000001</v>
      </c>
      <c r="F792" s="1">
        <v>43980</v>
      </c>
      <c r="G792">
        <v>54.76</v>
      </c>
      <c r="K792" s="1">
        <v>44098</v>
      </c>
      <c r="L792">
        <v>4.7004000000000001</v>
      </c>
      <c r="W792" s="1">
        <v>44099</v>
      </c>
      <c r="X792">
        <v>0.58260000000000001</v>
      </c>
    </row>
    <row r="793" spans="2:24" x14ac:dyDescent="0.3">
      <c r="B793" s="1">
        <v>43979</v>
      </c>
      <c r="C793">
        <v>0.49180000000000001</v>
      </c>
      <c r="F793" s="1">
        <v>43979</v>
      </c>
      <c r="G793">
        <v>56.32</v>
      </c>
      <c r="K793" s="1">
        <v>44097</v>
      </c>
      <c r="L793">
        <v>4.7121000000000004</v>
      </c>
      <c r="W793" s="1">
        <v>44098</v>
      </c>
      <c r="X793">
        <v>0.58040000000000003</v>
      </c>
    </row>
    <row r="794" spans="2:24" x14ac:dyDescent="0.3">
      <c r="B794" s="1">
        <v>43978</v>
      </c>
      <c r="C794">
        <v>0.48580000000000001</v>
      </c>
      <c r="F794" s="1">
        <v>43978</v>
      </c>
      <c r="G794">
        <v>55.63</v>
      </c>
      <c r="K794" s="1">
        <v>44096</v>
      </c>
      <c r="L794">
        <v>4.7121000000000004</v>
      </c>
      <c r="W794" s="1">
        <v>44097</v>
      </c>
      <c r="X794">
        <v>0.58189999999999997</v>
      </c>
    </row>
    <row r="795" spans="2:24" x14ac:dyDescent="0.3">
      <c r="B795" s="1">
        <v>43977</v>
      </c>
      <c r="C795">
        <v>0.48499999999999999</v>
      </c>
      <c r="F795" s="1">
        <v>43977</v>
      </c>
      <c r="G795">
        <v>55.54</v>
      </c>
      <c r="K795" s="1">
        <v>44095</v>
      </c>
      <c r="L795">
        <v>4.782</v>
      </c>
      <c r="W795" s="1">
        <v>44096</v>
      </c>
      <c r="X795">
        <v>0.58189999999999997</v>
      </c>
    </row>
    <row r="796" spans="2:24" x14ac:dyDescent="0.3">
      <c r="B796" s="1">
        <v>43973</v>
      </c>
      <c r="C796">
        <v>0.51690000000000003</v>
      </c>
      <c r="F796" s="1">
        <v>43973</v>
      </c>
      <c r="G796">
        <v>59.19</v>
      </c>
      <c r="K796" s="1">
        <v>44092</v>
      </c>
      <c r="L796">
        <v>4.8228</v>
      </c>
      <c r="W796" s="1">
        <v>44095</v>
      </c>
      <c r="X796">
        <v>0.59050000000000002</v>
      </c>
    </row>
    <row r="797" spans="2:24" x14ac:dyDescent="0.3">
      <c r="B797" s="1">
        <v>43972</v>
      </c>
      <c r="C797">
        <v>0.53280000000000005</v>
      </c>
      <c r="F797" s="1">
        <v>43972</v>
      </c>
      <c r="G797">
        <v>61.02</v>
      </c>
      <c r="K797" s="1">
        <v>44091</v>
      </c>
      <c r="L797">
        <v>4.7995000000000001</v>
      </c>
      <c r="W797" s="1">
        <v>44092</v>
      </c>
      <c r="X797">
        <v>0.59560000000000002</v>
      </c>
    </row>
    <row r="798" spans="2:24" x14ac:dyDescent="0.3">
      <c r="B798" s="1">
        <v>43971</v>
      </c>
      <c r="C798">
        <v>0.4713</v>
      </c>
      <c r="F798" s="1">
        <v>43971</v>
      </c>
      <c r="G798">
        <v>53.98</v>
      </c>
      <c r="K798" s="1">
        <v>44090</v>
      </c>
      <c r="L798">
        <v>4.6013999999999999</v>
      </c>
      <c r="W798" s="1">
        <v>44091</v>
      </c>
      <c r="X798">
        <v>0.5927</v>
      </c>
    </row>
    <row r="799" spans="2:24" x14ac:dyDescent="0.3">
      <c r="B799" s="1">
        <v>43970</v>
      </c>
      <c r="C799">
        <v>0.43719999999999998</v>
      </c>
      <c r="F799" s="1">
        <v>43970</v>
      </c>
      <c r="G799">
        <v>50.07</v>
      </c>
      <c r="K799" s="1">
        <v>44089</v>
      </c>
      <c r="L799">
        <v>4.5781000000000001</v>
      </c>
      <c r="W799" s="1">
        <v>44090</v>
      </c>
      <c r="X799">
        <v>0.56820000000000004</v>
      </c>
    </row>
    <row r="800" spans="2:24" x14ac:dyDescent="0.3">
      <c r="B800" s="1">
        <v>43969</v>
      </c>
      <c r="C800">
        <v>0.42580000000000001</v>
      </c>
      <c r="F800" s="1">
        <v>43969</v>
      </c>
      <c r="G800">
        <v>48.76</v>
      </c>
      <c r="K800" s="1">
        <v>44088</v>
      </c>
      <c r="L800">
        <v>4.6189</v>
      </c>
      <c r="W800" s="1">
        <v>44089</v>
      </c>
      <c r="X800">
        <v>0.56530000000000002</v>
      </c>
    </row>
    <row r="801" spans="2:24" x14ac:dyDescent="0.3">
      <c r="B801" s="1">
        <v>43966</v>
      </c>
      <c r="C801">
        <v>0.41589999999999999</v>
      </c>
      <c r="F801" s="1">
        <v>43966</v>
      </c>
      <c r="G801">
        <v>47.63</v>
      </c>
      <c r="K801" s="1">
        <v>44085</v>
      </c>
      <c r="L801">
        <v>4.6304999999999996</v>
      </c>
      <c r="W801" s="1">
        <v>44088</v>
      </c>
      <c r="X801">
        <v>0.57040000000000002</v>
      </c>
    </row>
    <row r="802" spans="2:24" x14ac:dyDescent="0.3">
      <c r="B802" s="1">
        <v>43965</v>
      </c>
      <c r="C802">
        <v>0.38030000000000003</v>
      </c>
      <c r="F802" s="1">
        <v>43965</v>
      </c>
      <c r="G802">
        <v>43.55</v>
      </c>
      <c r="K802" s="1">
        <v>44084</v>
      </c>
      <c r="L802">
        <v>4.6013999999999999</v>
      </c>
      <c r="W802" s="1">
        <v>44085</v>
      </c>
      <c r="X802">
        <v>0.57179999999999997</v>
      </c>
    </row>
    <row r="803" spans="2:24" x14ac:dyDescent="0.3">
      <c r="B803" s="1">
        <v>43964</v>
      </c>
      <c r="C803">
        <v>0.42049999999999998</v>
      </c>
      <c r="F803" s="1">
        <v>43964</v>
      </c>
      <c r="G803">
        <v>48.15</v>
      </c>
      <c r="K803" s="1">
        <v>44083</v>
      </c>
      <c r="L803">
        <v>4.6013999999999999</v>
      </c>
      <c r="W803" s="1">
        <v>44084</v>
      </c>
      <c r="X803">
        <v>0.56820000000000004</v>
      </c>
    </row>
    <row r="804" spans="2:24" x14ac:dyDescent="0.3">
      <c r="B804" s="1">
        <v>43963</v>
      </c>
      <c r="C804">
        <v>0.41820000000000002</v>
      </c>
      <c r="F804" s="1">
        <v>43963</v>
      </c>
      <c r="G804">
        <v>47.89</v>
      </c>
      <c r="K804" s="1">
        <v>44082</v>
      </c>
      <c r="L804">
        <v>4.5198999999999998</v>
      </c>
      <c r="W804" s="1">
        <v>44083</v>
      </c>
      <c r="X804">
        <v>0.56820000000000004</v>
      </c>
    </row>
    <row r="805" spans="2:24" x14ac:dyDescent="0.3">
      <c r="B805" s="1">
        <v>43962</v>
      </c>
      <c r="C805">
        <v>0.41739999999999999</v>
      </c>
      <c r="F805" s="1">
        <v>43962</v>
      </c>
      <c r="G805">
        <v>47.81</v>
      </c>
      <c r="K805" s="1">
        <v>44081</v>
      </c>
      <c r="L805">
        <v>4.5431999999999997</v>
      </c>
      <c r="W805" s="1">
        <v>44082</v>
      </c>
      <c r="X805">
        <v>0.55810000000000004</v>
      </c>
    </row>
    <row r="806" spans="2:24" x14ac:dyDescent="0.3">
      <c r="B806" s="1">
        <v>43910</v>
      </c>
      <c r="C806">
        <v>0.45619999999999999</v>
      </c>
      <c r="F806" s="1">
        <v>43910</v>
      </c>
      <c r="G806">
        <v>52.24</v>
      </c>
      <c r="K806" s="1">
        <v>44078</v>
      </c>
      <c r="L806">
        <v>4.5781000000000001</v>
      </c>
      <c r="W806" s="1">
        <v>44081</v>
      </c>
      <c r="X806">
        <v>0.56100000000000005</v>
      </c>
    </row>
    <row r="807" spans="2:24" x14ac:dyDescent="0.3">
      <c r="B807" s="1">
        <v>43903</v>
      </c>
      <c r="C807">
        <v>0.55110000000000003</v>
      </c>
      <c r="F807" s="1">
        <v>43903</v>
      </c>
      <c r="G807">
        <v>62.67</v>
      </c>
      <c r="K807" s="1">
        <v>44077</v>
      </c>
      <c r="L807">
        <v>4.6364000000000001</v>
      </c>
      <c r="W807" s="1">
        <v>44078</v>
      </c>
      <c r="X807">
        <v>0.56530000000000002</v>
      </c>
    </row>
    <row r="808" spans="2:24" x14ac:dyDescent="0.3">
      <c r="B808" s="1">
        <v>43902</v>
      </c>
      <c r="C808">
        <v>0.57330000000000003</v>
      </c>
      <c r="F808" s="1">
        <v>43902</v>
      </c>
      <c r="G808">
        <v>65.19</v>
      </c>
      <c r="K808" s="1">
        <v>44076</v>
      </c>
      <c r="L808">
        <v>4.6597</v>
      </c>
      <c r="W808" s="1">
        <v>44077</v>
      </c>
      <c r="X808">
        <v>0.57250000000000001</v>
      </c>
    </row>
    <row r="809" spans="2:24" x14ac:dyDescent="0.3">
      <c r="B809" s="1">
        <v>43901</v>
      </c>
      <c r="C809">
        <v>0.59619999999999995</v>
      </c>
      <c r="F809" s="1">
        <v>43901</v>
      </c>
      <c r="G809">
        <v>67.8</v>
      </c>
      <c r="K809" s="1">
        <v>44074</v>
      </c>
      <c r="L809">
        <v>4.7121000000000004</v>
      </c>
      <c r="W809" s="1">
        <v>44076</v>
      </c>
      <c r="X809">
        <v>0.57540000000000002</v>
      </c>
    </row>
    <row r="810" spans="2:24" x14ac:dyDescent="0.3">
      <c r="B810" s="1">
        <v>43900</v>
      </c>
      <c r="C810">
        <v>0.59009999999999996</v>
      </c>
      <c r="F810" s="1">
        <v>43900</v>
      </c>
      <c r="G810">
        <v>67.099999999999994</v>
      </c>
      <c r="K810" s="1">
        <v>44071</v>
      </c>
      <c r="L810">
        <v>4.7469999999999999</v>
      </c>
      <c r="W810" s="1">
        <v>44074</v>
      </c>
      <c r="X810">
        <v>0.58189999999999997</v>
      </c>
    </row>
    <row r="811" spans="2:24" x14ac:dyDescent="0.3">
      <c r="B811" s="1">
        <v>43896</v>
      </c>
      <c r="C811">
        <v>0.60919999999999996</v>
      </c>
      <c r="F811" s="1">
        <v>43896</v>
      </c>
      <c r="G811">
        <v>69.28</v>
      </c>
      <c r="K811" s="1">
        <v>44070</v>
      </c>
      <c r="L811">
        <v>4.6654999999999998</v>
      </c>
      <c r="W811" s="1">
        <v>44071</v>
      </c>
      <c r="X811">
        <v>0.58620000000000005</v>
      </c>
    </row>
    <row r="812" spans="2:24" x14ac:dyDescent="0.3">
      <c r="B812" s="1">
        <v>43895</v>
      </c>
      <c r="C812">
        <v>0.61909999999999998</v>
      </c>
      <c r="F812" s="1">
        <v>43895</v>
      </c>
      <c r="G812">
        <v>70.41</v>
      </c>
      <c r="K812" s="1">
        <v>44069</v>
      </c>
      <c r="L812">
        <v>4.7529000000000003</v>
      </c>
      <c r="W812" s="1">
        <v>44070</v>
      </c>
      <c r="X812">
        <v>0.57609999999999995</v>
      </c>
    </row>
    <row r="813" spans="2:24" x14ac:dyDescent="0.3">
      <c r="B813" s="1">
        <v>43894</v>
      </c>
      <c r="C813">
        <v>0.64590000000000003</v>
      </c>
      <c r="F813" s="1">
        <v>43894</v>
      </c>
      <c r="G813">
        <v>73.45</v>
      </c>
      <c r="K813" s="1">
        <v>44068</v>
      </c>
      <c r="L813">
        <v>4.7877999999999998</v>
      </c>
      <c r="W813" s="1">
        <v>44069</v>
      </c>
      <c r="X813">
        <v>0.58689999999999998</v>
      </c>
    </row>
    <row r="814" spans="2:24" x14ac:dyDescent="0.3">
      <c r="B814" s="1">
        <v>43893</v>
      </c>
      <c r="C814">
        <v>0.65580000000000005</v>
      </c>
      <c r="F814" s="1">
        <v>43893</v>
      </c>
      <c r="G814">
        <v>74.58</v>
      </c>
      <c r="K814" s="1">
        <v>44067</v>
      </c>
      <c r="L814">
        <v>4.8693</v>
      </c>
      <c r="W814" s="1">
        <v>44068</v>
      </c>
      <c r="X814">
        <v>0.59119999999999995</v>
      </c>
    </row>
    <row r="815" spans="2:24" x14ac:dyDescent="0.3">
      <c r="B815" s="1">
        <v>43892</v>
      </c>
      <c r="C815">
        <v>0.65739999999999998</v>
      </c>
      <c r="F815" s="1">
        <v>43892</v>
      </c>
      <c r="G815">
        <v>74.75</v>
      </c>
      <c r="K815" s="1">
        <v>44064</v>
      </c>
      <c r="L815">
        <v>4.8402000000000003</v>
      </c>
      <c r="W815" s="1">
        <v>44067</v>
      </c>
      <c r="X815">
        <v>0.60129999999999995</v>
      </c>
    </row>
    <row r="816" spans="2:24" x14ac:dyDescent="0.3">
      <c r="B816" s="1">
        <v>43889</v>
      </c>
      <c r="C816">
        <v>0.65349999999999997</v>
      </c>
      <c r="F816" s="1">
        <v>43889</v>
      </c>
      <c r="G816">
        <v>74.319999999999993</v>
      </c>
      <c r="K816" s="1">
        <v>44063</v>
      </c>
      <c r="L816">
        <v>4.8343999999999996</v>
      </c>
      <c r="W816" s="1">
        <v>44064</v>
      </c>
      <c r="X816">
        <v>0.59770000000000001</v>
      </c>
    </row>
    <row r="817" spans="2:24" x14ac:dyDescent="0.3">
      <c r="B817" s="1">
        <v>43888</v>
      </c>
      <c r="C817">
        <v>0.66879999999999995</v>
      </c>
      <c r="F817" s="1">
        <v>43888</v>
      </c>
      <c r="G817">
        <v>76.06</v>
      </c>
      <c r="K817" s="1">
        <v>44062</v>
      </c>
      <c r="L817">
        <v>4.8402000000000003</v>
      </c>
      <c r="W817" s="1">
        <v>44063</v>
      </c>
      <c r="X817">
        <v>0.59699999999999998</v>
      </c>
    </row>
    <row r="818" spans="2:24" x14ac:dyDescent="0.3">
      <c r="B818" s="1">
        <v>43887</v>
      </c>
      <c r="C818">
        <v>0.66500000000000004</v>
      </c>
      <c r="F818" s="1">
        <v>43887</v>
      </c>
      <c r="G818">
        <v>75.62</v>
      </c>
      <c r="K818" s="1">
        <v>44061</v>
      </c>
      <c r="L818">
        <v>4.8052999999999999</v>
      </c>
      <c r="W818" s="1">
        <v>44062</v>
      </c>
      <c r="X818">
        <v>0.59770000000000001</v>
      </c>
    </row>
    <row r="819" spans="2:24" x14ac:dyDescent="0.3">
      <c r="B819" s="1">
        <v>43886</v>
      </c>
      <c r="C819">
        <v>0.68030000000000002</v>
      </c>
      <c r="F819" s="1">
        <v>43886</v>
      </c>
      <c r="G819">
        <v>77.36</v>
      </c>
      <c r="K819" s="1">
        <v>44060</v>
      </c>
      <c r="L819">
        <v>4.7762000000000002</v>
      </c>
      <c r="W819" s="1">
        <v>44061</v>
      </c>
      <c r="X819">
        <v>0.59340000000000004</v>
      </c>
    </row>
    <row r="820" spans="2:24" x14ac:dyDescent="0.3">
      <c r="B820" s="1">
        <v>43885</v>
      </c>
      <c r="C820">
        <v>0.68640000000000001</v>
      </c>
      <c r="F820" s="1">
        <v>43885</v>
      </c>
      <c r="G820">
        <v>78.06</v>
      </c>
      <c r="K820" s="1">
        <v>44057</v>
      </c>
      <c r="L820">
        <v>4.8052999999999999</v>
      </c>
      <c r="W820" s="1">
        <v>44060</v>
      </c>
      <c r="X820">
        <v>0.58979999999999999</v>
      </c>
    </row>
    <row r="821" spans="2:24" x14ac:dyDescent="0.3">
      <c r="B821" s="1">
        <v>43881</v>
      </c>
      <c r="C821">
        <v>0.68789999999999996</v>
      </c>
      <c r="F821" s="1">
        <v>43881</v>
      </c>
      <c r="G821">
        <v>78.23</v>
      </c>
      <c r="K821" s="1">
        <v>44056</v>
      </c>
      <c r="L821">
        <v>4.8577000000000004</v>
      </c>
      <c r="W821" s="1">
        <v>44057</v>
      </c>
      <c r="X821">
        <v>0.59340000000000004</v>
      </c>
    </row>
    <row r="822" spans="2:24" x14ac:dyDescent="0.3">
      <c r="B822" s="1">
        <v>43880</v>
      </c>
      <c r="C822">
        <v>0.68720000000000003</v>
      </c>
      <c r="F822" s="1">
        <v>43880</v>
      </c>
      <c r="G822">
        <v>78.14</v>
      </c>
      <c r="K822" s="1">
        <v>44055</v>
      </c>
      <c r="L822">
        <v>4.7179000000000002</v>
      </c>
      <c r="W822" s="1">
        <v>44056</v>
      </c>
      <c r="X822">
        <v>0.59989999999999999</v>
      </c>
    </row>
    <row r="823" spans="2:24" x14ac:dyDescent="0.3">
      <c r="B823" s="1">
        <v>43879</v>
      </c>
      <c r="C823">
        <v>0.6734</v>
      </c>
      <c r="F823" s="1">
        <v>43879</v>
      </c>
      <c r="G823">
        <v>76.58</v>
      </c>
      <c r="K823" s="1">
        <v>44054</v>
      </c>
      <c r="L823">
        <v>4.4615999999999998</v>
      </c>
      <c r="W823" s="1">
        <v>44055</v>
      </c>
      <c r="X823">
        <v>0.58260000000000001</v>
      </c>
    </row>
    <row r="824" spans="2:24" x14ac:dyDescent="0.3">
      <c r="B824" s="1">
        <v>43878</v>
      </c>
      <c r="C824">
        <v>0.65349999999999997</v>
      </c>
      <c r="F824" s="1">
        <v>43878</v>
      </c>
      <c r="G824">
        <v>74.319999999999993</v>
      </c>
      <c r="K824" s="1">
        <v>44053</v>
      </c>
      <c r="L824">
        <v>4.4382999999999999</v>
      </c>
      <c r="W824" s="1">
        <v>44054</v>
      </c>
      <c r="X824">
        <v>0.55100000000000005</v>
      </c>
    </row>
    <row r="825" spans="2:24" x14ac:dyDescent="0.3">
      <c r="B825" s="1">
        <v>43875</v>
      </c>
      <c r="C825">
        <v>0.65349999999999997</v>
      </c>
      <c r="F825" s="1">
        <v>43875</v>
      </c>
      <c r="G825">
        <v>74.319999999999993</v>
      </c>
      <c r="K825" s="1">
        <v>44050</v>
      </c>
      <c r="L825">
        <v>4.4790999999999999</v>
      </c>
      <c r="W825" s="1">
        <v>44053</v>
      </c>
      <c r="X825">
        <v>0.54810000000000003</v>
      </c>
    </row>
    <row r="826" spans="2:24" x14ac:dyDescent="0.3">
      <c r="B826" s="1">
        <v>43874</v>
      </c>
      <c r="C826">
        <v>0.66649999999999998</v>
      </c>
      <c r="F826" s="1">
        <v>43874</v>
      </c>
      <c r="G826">
        <v>75.8</v>
      </c>
      <c r="K826" s="1">
        <v>44049</v>
      </c>
      <c r="L826">
        <v>4.4848999999999997</v>
      </c>
      <c r="W826" s="1">
        <v>44050</v>
      </c>
      <c r="X826">
        <v>0.55310000000000004</v>
      </c>
    </row>
    <row r="827" spans="2:24" x14ac:dyDescent="0.3">
      <c r="B827" s="1">
        <v>43873</v>
      </c>
      <c r="C827">
        <v>0.67949999999999999</v>
      </c>
      <c r="F827" s="1">
        <v>43873</v>
      </c>
      <c r="G827">
        <v>77.27</v>
      </c>
      <c r="K827" s="1">
        <v>44048</v>
      </c>
      <c r="L827">
        <v>4.4848999999999997</v>
      </c>
      <c r="W827" s="1">
        <v>44049</v>
      </c>
      <c r="X827">
        <v>0.55379999999999996</v>
      </c>
    </row>
    <row r="828" spans="2:24" x14ac:dyDescent="0.3">
      <c r="B828" s="1">
        <v>43872</v>
      </c>
      <c r="C828">
        <v>0.70320000000000005</v>
      </c>
      <c r="F828" s="1">
        <v>43872</v>
      </c>
      <c r="G828">
        <v>79.97</v>
      </c>
      <c r="K828" s="1">
        <v>44047</v>
      </c>
      <c r="L828">
        <v>4.4733000000000001</v>
      </c>
      <c r="W828" s="1">
        <v>44048</v>
      </c>
      <c r="X828">
        <v>0.55379999999999996</v>
      </c>
    </row>
    <row r="829" spans="2:24" x14ac:dyDescent="0.3">
      <c r="B829" s="1">
        <v>43871</v>
      </c>
      <c r="C829">
        <v>0.70699999999999996</v>
      </c>
      <c r="F829" s="1">
        <v>43871</v>
      </c>
      <c r="G829">
        <v>80.400000000000006</v>
      </c>
      <c r="K829" s="1">
        <v>44043</v>
      </c>
      <c r="L829">
        <v>4.3684000000000003</v>
      </c>
      <c r="W829" s="1">
        <v>44047</v>
      </c>
      <c r="X829">
        <v>0.5524</v>
      </c>
    </row>
    <row r="830" spans="2:24" x14ac:dyDescent="0.3">
      <c r="B830" s="1">
        <v>43868</v>
      </c>
      <c r="C830">
        <v>0.70479999999999998</v>
      </c>
      <c r="F830" s="1">
        <v>43868</v>
      </c>
      <c r="G830">
        <v>80.14</v>
      </c>
      <c r="K830" s="1">
        <v>44042</v>
      </c>
      <c r="L830">
        <v>4.2169999999999996</v>
      </c>
      <c r="W830" s="1">
        <v>44043</v>
      </c>
      <c r="X830">
        <v>0.53939999999999999</v>
      </c>
    </row>
    <row r="831" spans="2:24" x14ac:dyDescent="0.3">
      <c r="B831" s="1">
        <v>43867</v>
      </c>
      <c r="C831">
        <v>0.70479999999999998</v>
      </c>
      <c r="F831" s="1">
        <v>43867</v>
      </c>
      <c r="G831">
        <v>80.14</v>
      </c>
      <c r="K831" s="1">
        <v>44041</v>
      </c>
      <c r="L831">
        <v>4.2811000000000003</v>
      </c>
      <c r="W831" s="1">
        <v>44042</v>
      </c>
      <c r="X831">
        <v>0.52070000000000005</v>
      </c>
    </row>
    <row r="832" spans="2:24" x14ac:dyDescent="0.3">
      <c r="B832" s="1">
        <v>43866</v>
      </c>
      <c r="C832">
        <v>0.71089999999999998</v>
      </c>
      <c r="F832" s="1">
        <v>43866</v>
      </c>
      <c r="G832">
        <v>80.84</v>
      </c>
      <c r="K832" s="1">
        <v>44040</v>
      </c>
      <c r="L832">
        <v>4.3102</v>
      </c>
      <c r="W832" s="1">
        <v>44041</v>
      </c>
      <c r="X832">
        <v>0.52869999999999995</v>
      </c>
    </row>
    <row r="833" spans="2:24" x14ac:dyDescent="0.3">
      <c r="B833" s="1">
        <v>43864</v>
      </c>
      <c r="C833">
        <v>0.70630000000000004</v>
      </c>
      <c r="F833" s="1">
        <v>43864</v>
      </c>
      <c r="G833">
        <v>80.319999999999993</v>
      </c>
      <c r="K833" s="1">
        <v>44039</v>
      </c>
      <c r="L833">
        <v>4.3567999999999998</v>
      </c>
      <c r="W833" s="1">
        <v>44040</v>
      </c>
      <c r="X833">
        <v>0.5323</v>
      </c>
    </row>
    <row r="834" spans="2:24" x14ac:dyDescent="0.3">
      <c r="B834" s="1">
        <v>43861</v>
      </c>
      <c r="C834">
        <v>0.70320000000000005</v>
      </c>
      <c r="F834" s="1">
        <v>43861</v>
      </c>
      <c r="G834">
        <v>79.97</v>
      </c>
      <c r="K834" s="1">
        <v>44036</v>
      </c>
      <c r="L834">
        <v>4.3392999999999997</v>
      </c>
      <c r="W834" s="1">
        <v>44039</v>
      </c>
      <c r="X834">
        <v>0.53800000000000003</v>
      </c>
    </row>
    <row r="835" spans="2:24" x14ac:dyDescent="0.3">
      <c r="B835" s="1">
        <v>43860</v>
      </c>
      <c r="C835">
        <v>0.70320000000000005</v>
      </c>
      <c r="F835" s="1">
        <v>43860</v>
      </c>
      <c r="G835">
        <v>79.97</v>
      </c>
      <c r="K835" s="1">
        <v>44035</v>
      </c>
      <c r="L835">
        <v>4.3334999999999999</v>
      </c>
      <c r="W835" s="1">
        <v>44036</v>
      </c>
      <c r="X835">
        <v>0.53590000000000004</v>
      </c>
    </row>
    <row r="836" spans="2:24" x14ac:dyDescent="0.3">
      <c r="B836" s="1">
        <v>43859</v>
      </c>
      <c r="C836">
        <v>0.70320000000000005</v>
      </c>
      <c r="F836" s="1">
        <v>43859</v>
      </c>
      <c r="G836">
        <v>79.97</v>
      </c>
      <c r="K836" s="1">
        <v>44034</v>
      </c>
      <c r="L836">
        <v>4.3392999999999997</v>
      </c>
      <c r="W836" s="1">
        <v>44035</v>
      </c>
      <c r="X836">
        <v>0.53510000000000002</v>
      </c>
    </row>
    <row r="837" spans="2:24" x14ac:dyDescent="0.3">
      <c r="B837" s="1">
        <v>43858</v>
      </c>
      <c r="C837">
        <v>0.71089999999999998</v>
      </c>
      <c r="F837" s="1">
        <v>43858</v>
      </c>
      <c r="G837">
        <v>80.84</v>
      </c>
      <c r="K837" s="1">
        <v>44033</v>
      </c>
      <c r="L837">
        <v>4.351</v>
      </c>
      <c r="W837" s="1">
        <v>44034</v>
      </c>
      <c r="X837">
        <v>0.53590000000000004</v>
      </c>
    </row>
    <row r="838" spans="2:24" x14ac:dyDescent="0.3">
      <c r="B838" s="1">
        <v>43857</v>
      </c>
      <c r="C838">
        <v>0.71089999999999998</v>
      </c>
      <c r="F838" s="1">
        <v>43857</v>
      </c>
      <c r="G838">
        <v>80.84</v>
      </c>
      <c r="K838" s="1">
        <v>44032</v>
      </c>
      <c r="L838">
        <v>4.3625999999999996</v>
      </c>
      <c r="W838" s="1">
        <v>44033</v>
      </c>
      <c r="X838">
        <v>0.5373</v>
      </c>
    </row>
    <row r="839" spans="2:24" x14ac:dyDescent="0.3">
      <c r="B839" s="1">
        <v>43854</v>
      </c>
      <c r="C839">
        <v>0.7147</v>
      </c>
      <c r="F839" s="1">
        <v>43854</v>
      </c>
      <c r="G839">
        <v>81.27</v>
      </c>
      <c r="K839" s="1">
        <v>44029</v>
      </c>
      <c r="L839">
        <v>4.3102</v>
      </c>
      <c r="W839" s="1">
        <v>44032</v>
      </c>
      <c r="X839">
        <v>0.53869999999999996</v>
      </c>
    </row>
    <row r="840" spans="2:24" x14ac:dyDescent="0.3">
      <c r="B840" s="1">
        <v>43853</v>
      </c>
      <c r="C840">
        <v>0.7147</v>
      </c>
      <c r="F840" s="1">
        <v>43853</v>
      </c>
      <c r="G840">
        <v>81.27</v>
      </c>
      <c r="K840" s="1">
        <v>44028</v>
      </c>
      <c r="L840">
        <v>4.3102</v>
      </c>
      <c r="W840" s="1">
        <v>44029</v>
      </c>
      <c r="X840">
        <v>0.5323</v>
      </c>
    </row>
    <row r="841" spans="2:24" x14ac:dyDescent="0.3">
      <c r="B841" s="1">
        <v>43852</v>
      </c>
      <c r="C841">
        <v>0.70320000000000005</v>
      </c>
      <c r="F841" s="1">
        <v>43852</v>
      </c>
      <c r="G841">
        <v>79.97</v>
      </c>
      <c r="K841" s="1">
        <v>44027</v>
      </c>
      <c r="L841">
        <v>4.2286000000000001</v>
      </c>
      <c r="W841" s="1">
        <v>44028</v>
      </c>
      <c r="X841">
        <v>0.5323</v>
      </c>
    </row>
    <row r="842" spans="2:24" x14ac:dyDescent="0.3">
      <c r="B842" s="1">
        <v>43851</v>
      </c>
      <c r="C842">
        <v>0.70320000000000005</v>
      </c>
      <c r="F842" s="1">
        <v>43851</v>
      </c>
      <c r="G842">
        <v>79.97</v>
      </c>
      <c r="K842" s="1">
        <v>44026</v>
      </c>
      <c r="L842">
        <v>4.2577999999999996</v>
      </c>
      <c r="W842" s="1">
        <v>44027</v>
      </c>
      <c r="X842">
        <v>0.5222</v>
      </c>
    </row>
    <row r="843" spans="2:24" x14ac:dyDescent="0.3">
      <c r="B843" s="1">
        <v>43850</v>
      </c>
      <c r="C843">
        <v>0.68789999999999996</v>
      </c>
      <c r="F843" s="1">
        <v>43850</v>
      </c>
      <c r="G843">
        <v>78.23</v>
      </c>
      <c r="K843" s="1">
        <v>44025</v>
      </c>
      <c r="L843">
        <v>4.1238000000000001</v>
      </c>
      <c r="W843" s="1">
        <v>44026</v>
      </c>
      <c r="X843">
        <v>0.52580000000000005</v>
      </c>
    </row>
    <row r="844" spans="2:24" x14ac:dyDescent="0.3">
      <c r="B844" s="1">
        <v>43847</v>
      </c>
      <c r="C844">
        <v>0.68720000000000003</v>
      </c>
      <c r="F844" s="1">
        <v>43847</v>
      </c>
      <c r="G844">
        <v>78.14</v>
      </c>
      <c r="K844" s="1">
        <v>44022</v>
      </c>
      <c r="L844">
        <v>4.3044000000000002</v>
      </c>
      <c r="W844" s="1">
        <v>44025</v>
      </c>
      <c r="X844">
        <v>0.50919999999999999</v>
      </c>
    </row>
    <row r="845" spans="2:24" x14ac:dyDescent="0.3">
      <c r="B845" s="1">
        <v>43846</v>
      </c>
      <c r="C845">
        <v>0.70320000000000005</v>
      </c>
      <c r="F845" s="1">
        <v>43846</v>
      </c>
      <c r="G845">
        <v>79.97</v>
      </c>
      <c r="K845" s="1">
        <v>44021</v>
      </c>
      <c r="L845">
        <v>4.4615999999999998</v>
      </c>
      <c r="W845" s="1">
        <v>44022</v>
      </c>
      <c r="X845">
        <v>0.53149999999999997</v>
      </c>
    </row>
    <row r="846" spans="2:24" x14ac:dyDescent="0.3">
      <c r="B846" s="1">
        <v>43844</v>
      </c>
      <c r="C846">
        <v>0.70169999999999999</v>
      </c>
      <c r="F846" s="1">
        <v>43844</v>
      </c>
      <c r="G846">
        <v>79.790000000000006</v>
      </c>
      <c r="K846" s="1">
        <v>44020</v>
      </c>
      <c r="L846">
        <v>4.4615999999999998</v>
      </c>
      <c r="W846" s="1">
        <v>44021</v>
      </c>
      <c r="X846">
        <v>0.55100000000000005</v>
      </c>
    </row>
    <row r="847" spans="2:24" x14ac:dyDescent="0.3">
      <c r="B847" s="1">
        <v>43843</v>
      </c>
      <c r="C847">
        <v>0.69410000000000005</v>
      </c>
      <c r="F847" s="1">
        <v>43843</v>
      </c>
      <c r="G847">
        <v>78.92</v>
      </c>
      <c r="K847" s="1">
        <v>44019</v>
      </c>
      <c r="L847">
        <v>4.4558</v>
      </c>
      <c r="W847" s="1">
        <v>44020</v>
      </c>
      <c r="X847">
        <v>0.55100000000000005</v>
      </c>
    </row>
    <row r="848" spans="2:24" x14ac:dyDescent="0.3">
      <c r="B848" s="1">
        <v>43839</v>
      </c>
      <c r="C848">
        <v>0.70930000000000004</v>
      </c>
      <c r="F848" s="1">
        <v>43839</v>
      </c>
      <c r="G848">
        <v>80.66</v>
      </c>
      <c r="K848" s="1">
        <v>44018</v>
      </c>
      <c r="L848">
        <v>4.415</v>
      </c>
      <c r="W848" s="1">
        <v>44019</v>
      </c>
      <c r="X848">
        <v>0.55020000000000002</v>
      </c>
    </row>
    <row r="849" spans="2:24" x14ac:dyDescent="0.3">
      <c r="B849" s="1">
        <v>43838</v>
      </c>
      <c r="C849">
        <v>0.70320000000000005</v>
      </c>
      <c r="F849" s="1">
        <v>43838</v>
      </c>
      <c r="G849">
        <v>79.97</v>
      </c>
      <c r="K849" s="1">
        <v>44015</v>
      </c>
      <c r="L849">
        <v>4.4558</v>
      </c>
      <c r="W849" s="1">
        <v>44018</v>
      </c>
      <c r="X849">
        <v>0.54520000000000002</v>
      </c>
    </row>
    <row r="850" spans="2:24" x14ac:dyDescent="0.3">
      <c r="B850" s="1">
        <v>43837</v>
      </c>
      <c r="C850">
        <v>0.71699999999999997</v>
      </c>
      <c r="F850" s="1">
        <v>43837</v>
      </c>
      <c r="G850">
        <v>81.53</v>
      </c>
      <c r="K850" s="1">
        <v>44014</v>
      </c>
      <c r="L850">
        <v>4.4907000000000004</v>
      </c>
      <c r="W850" s="1">
        <v>44015</v>
      </c>
      <c r="X850">
        <v>0.55020000000000002</v>
      </c>
    </row>
    <row r="851" spans="2:24" x14ac:dyDescent="0.3">
      <c r="B851" s="1">
        <v>43836</v>
      </c>
      <c r="C851">
        <v>0.71850000000000003</v>
      </c>
      <c r="F851" s="1">
        <v>43836</v>
      </c>
      <c r="G851">
        <v>81.709999999999994</v>
      </c>
      <c r="K851" s="1">
        <v>44013</v>
      </c>
      <c r="L851">
        <v>4.5431999999999997</v>
      </c>
      <c r="W851" s="1">
        <v>44014</v>
      </c>
      <c r="X851">
        <v>0.55459999999999998</v>
      </c>
    </row>
    <row r="852" spans="2:24" x14ac:dyDescent="0.3">
      <c r="B852" s="1">
        <v>43833</v>
      </c>
      <c r="C852">
        <v>0.72619999999999996</v>
      </c>
      <c r="F852" s="1">
        <v>43833</v>
      </c>
      <c r="G852">
        <v>82.58</v>
      </c>
      <c r="K852" s="1">
        <v>44012</v>
      </c>
      <c r="L852">
        <v>4.5898000000000003</v>
      </c>
      <c r="W852" s="1">
        <v>44013</v>
      </c>
      <c r="X852">
        <v>0.56100000000000005</v>
      </c>
    </row>
    <row r="853" spans="2:24" x14ac:dyDescent="0.3">
      <c r="B853" s="1">
        <v>43832</v>
      </c>
      <c r="C853">
        <v>0.72619999999999996</v>
      </c>
      <c r="F853" s="1">
        <v>43832</v>
      </c>
      <c r="G853">
        <v>82.58</v>
      </c>
      <c r="K853" s="1">
        <v>44011</v>
      </c>
      <c r="L853">
        <v>4.5236000000000001</v>
      </c>
      <c r="W853" s="1">
        <v>44012</v>
      </c>
      <c r="X853">
        <v>0.56679999999999997</v>
      </c>
    </row>
    <row r="854" spans="2:24" x14ac:dyDescent="0.3">
      <c r="B854" s="1">
        <v>43830</v>
      </c>
      <c r="C854">
        <v>0.72619999999999996</v>
      </c>
      <c r="F854" s="1">
        <v>43830</v>
      </c>
      <c r="G854">
        <v>82.58</v>
      </c>
      <c r="K854" s="1">
        <v>44008</v>
      </c>
      <c r="L854">
        <v>4.5060000000000002</v>
      </c>
      <c r="W854" s="1">
        <v>44011</v>
      </c>
      <c r="X854">
        <v>0.59809999999999997</v>
      </c>
    </row>
    <row r="855" spans="2:24" x14ac:dyDescent="0.3">
      <c r="B855" s="1">
        <v>43829</v>
      </c>
      <c r="C855">
        <v>0.75519999999999998</v>
      </c>
      <c r="F855" s="1">
        <v>43829</v>
      </c>
      <c r="G855">
        <v>83.36</v>
      </c>
      <c r="K855" s="1">
        <v>44007</v>
      </c>
      <c r="L855">
        <v>4.4145000000000003</v>
      </c>
      <c r="W855" s="1">
        <v>44008</v>
      </c>
      <c r="X855">
        <v>0.5958</v>
      </c>
    </row>
    <row r="856" spans="2:24" x14ac:dyDescent="0.3">
      <c r="B856" s="1">
        <v>43826</v>
      </c>
      <c r="C856">
        <v>0.76390000000000002</v>
      </c>
      <c r="F856" s="1">
        <v>43826</v>
      </c>
      <c r="G856">
        <v>84.31</v>
      </c>
      <c r="K856" s="1">
        <v>44006</v>
      </c>
      <c r="L856">
        <v>4.3628</v>
      </c>
      <c r="W856" s="1">
        <v>44007</v>
      </c>
      <c r="X856">
        <v>0.5837</v>
      </c>
    </row>
    <row r="857" spans="2:24" x14ac:dyDescent="0.3">
      <c r="B857" s="1">
        <v>43825</v>
      </c>
      <c r="C857">
        <v>0.7631</v>
      </c>
      <c r="F857" s="1">
        <v>43825</v>
      </c>
      <c r="G857">
        <v>84.23</v>
      </c>
      <c r="K857" s="1">
        <v>44005</v>
      </c>
      <c r="L857">
        <v>4.3571</v>
      </c>
      <c r="W857" s="1">
        <v>44006</v>
      </c>
      <c r="X857">
        <v>0.57679999999999998</v>
      </c>
    </row>
    <row r="858" spans="2:24" x14ac:dyDescent="0.3">
      <c r="B858" s="1">
        <v>43823</v>
      </c>
      <c r="C858">
        <v>0.75600000000000001</v>
      </c>
      <c r="F858" s="1">
        <v>43823</v>
      </c>
      <c r="G858">
        <v>83.44</v>
      </c>
      <c r="K858" s="1">
        <v>44004</v>
      </c>
      <c r="L858">
        <v>4.2537000000000003</v>
      </c>
      <c r="W858" s="1">
        <v>44005</v>
      </c>
      <c r="X858">
        <v>0.57609999999999995</v>
      </c>
    </row>
    <row r="859" spans="2:24" x14ac:dyDescent="0.3">
      <c r="B859" s="1">
        <v>43822</v>
      </c>
      <c r="C859">
        <v>0.75600000000000001</v>
      </c>
      <c r="F859" s="1">
        <v>43822</v>
      </c>
      <c r="G859">
        <v>83.44</v>
      </c>
      <c r="K859" s="1">
        <v>44001</v>
      </c>
      <c r="L859">
        <v>4.0758000000000001</v>
      </c>
      <c r="W859" s="1">
        <v>44004</v>
      </c>
      <c r="X859">
        <v>0.56240000000000001</v>
      </c>
    </row>
    <row r="860" spans="2:24" x14ac:dyDescent="0.3">
      <c r="B860" s="1">
        <v>43819</v>
      </c>
      <c r="C860">
        <v>0.76070000000000004</v>
      </c>
      <c r="F860" s="1">
        <v>43819</v>
      </c>
      <c r="G860">
        <v>83.97</v>
      </c>
      <c r="K860" s="1">
        <v>44000</v>
      </c>
      <c r="L860">
        <v>4.0068999999999999</v>
      </c>
      <c r="W860" s="1">
        <v>44001</v>
      </c>
      <c r="X860">
        <v>0.53890000000000005</v>
      </c>
    </row>
    <row r="861" spans="2:24" x14ac:dyDescent="0.3">
      <c r="B861" s="1">
        <v>43818</v>
      </c>
      <c r="C861">
        <v>0.76390000000000002</v>
      </c>
      <c r="F861" s="1">
        <v>43818</v>
      </c>
      <c r="G861">
        <v>84.31</v>
      </c>
      <c r="K861" s="1">
        <v>43999</v>
      </c>
      <c r="L861">
        <v>4.0125999999999999</v>
      </c>
      <c r="W861" s="1">
        <v>44000</v>
      </c>
      <c r="X861">
        <v>0.52980000000000005</v>
      </c>
    </row>
    <row r="862" spans="2:24" x14ac:dyDescent="0.3">
      <c r="B862" s="1">
        <v>43817</v>
      </c>
      <c r="C862">
        <v>0.76390000000000002</v>
      </c>
      <c r="F862" s="1">
        <v>43817</v>
      </c>
      <c r="G862">
        <v>84.31</v>
      </c>
      <c r="K862" s="1">
        <v>43998</v>
      </c>
      <c r="L862">
        <v>3.9495</v>
      </c>
      <c r="W862" s="1">
        <v>43999</v>
      </c>
      <c r="X862">
        <v>0.53049999999999997</v>
      </c>
    </row>
    <row r="863" spans="2:24" x14ac:dyDescent="0.3">
      <c r="B863" s="1">
        <v>43816</v>
      </c>
      <c r="C863">
        <v>0.76390000000000002</v>
      </c>
      <c r="F863" s="1">
        <v>43816</v>
      </c>
      <c r="G863">
        <v>84.31</v>
      </c>
      <c r="K863" s="1">
        <v>43997</v>
      </c>
      <c r="L863">
        <v>3.9036</v>
      </c>
      <c r="W863" s="1">
        <v>43998</v>
      </c>
      <c r="X863">
        <v>0.5222</v>
      </c>
    </row>
    <row r="864" spans="2:24" x14ac:dyDescent="0.3">
      <c r="B864" s="1">
        <v>43815</v>
      </c>
      <c r="C864">
        <v>0.76</v>
      </c>
      <c r="F864" s="1">
        <v>43815</v>
      </c>
      <c r="G864">
        <v>83.88</v>
      </c>
      <c r="K864" s="1">
        <v>43994</v>
      </c>
      <c r="L864">
        <v>3.9495</v>
      </c>
      <c r="W864" s="1">
        <v>43997</v>
      </c>
      <c r="X864">
        <v>0.5161</v>
      </c>
    </row>
    <row r="865" spans="2:24" x14ac:dyDescent="0.3">
      <c r="B865" s="1">
        <v>43812</v>
      </c>
      <c r="C865">
        <v>0.76</v>
      </c>
      <c r="F865" s="1">
        <v>43812</v>
      </c>
      <c r="G865">
        <v>83.88</v>
      </c>
      <c r="K865" s="1">
        <v>43993</v>
      </c>
      <c r="L865">
        <v>3.8691</v>
      </c>
      <c r="W865" s="1">
        <v>43994</v>
      </c>
      <c r="X865">
        <v>0.5222</v>
      </c>
    </row>
    <row r="866" spans="2:24" x14ac:dyDescent="0.3">
      <c r="B866" s="1">
        <v>43811</v>
      </c>
      <c r="C866">
        <v>0.75919999999999999</v>
      </c>
      <c r="F866" s="1">
        <v>43811</v>
      </c>
      <c r="G866">
        <v>83.79</v>
      </c>
      <c r="K866" s="1">
        <v>43992</v>
      </c>
      <c r="L866">
        <v>3.76</v>
      </c>
      <c r="W866" s="1">
        <v>43993</v>
      </c>
      <c r="X866">
        <v>0.51160000000000005</v>
      </c>
    </row>
    <row r="867" spans="2:24" x14ac:dyDescent="0.3">
      <c r="B867" s="1">
        <v>43809</v>
      </c>
      <c r="C867">
        <v>0.76700000000000002</v>
      </c>
      <c r="F867" s="1">
        <v>43809</v>
      </c>
      <c r="G867">
        <v>84.66</v>
      </c>
      <c r="K867" s="1">
        <v>43991</v>
      </c>
      <c r="L867">
        <v>3.7427999999999999</v>
      </c>
      <c r="W867" s="1">
        <v>43992</v>
      </c>
      <c r="X867">
        <v>0.49709999999999999</v>
      </c>
    </row>
    <row r="868" spans="2:24" x14ac:dyDescent="0.3">
      <c r="B868" s="1">
        <v>43808</v>
      </c>
      <c r="C868">
        <v>0.76390000000000002</v>
      </c>
      <c r="F868" s="1">
        <v>43808</v>
      </c>
      <c r="G868">
        <v>84.31</v>
      </c>
      <c r="K868" s="1">
        <v>43990</v>
      </c>
      <c r="L868">
        <v>3.6452</v>
      </c>
      <c r="W868" s="1">
        <v>43991</v>
      </c>
      <c r="X868">
        <v>0.49490000000000001</v>
      </c>
    </row>
    <row r="869" spans="2:24" x14ac:dyDescent="0.3">
      <c r="B869" s="1">
        <v>43805</v>
      </c>
      <c r="C869">
        <v>0.77180000000000004</v>
      </c>
      <c r="F869" s="1">
        <v>43805</v>
      </c>
      <c r="G869">
        <v>85.18</v>
      </c>
      <c r="K869" s="1">
        <v>43986</v>
      </c>
      <c r="L869">
        <v>3.5992999999999999</v>
      </c>
      <c r="W869" s="1">
        <v>43990</v>
      </c>
      <c r="X869">
        <v>0.48199999999999998</v>
      </c>
    </row>
    <row r="870" spans="2:24" x14ac:dyDescent="0.3">
      <c r="B870" s="1">
        <v>43804</v>
      </c>
      <c r="C870">
        <v>0.77100000000000002</v>
      </c>
      <c r="F870" s="1">
        <v>43804</v>
      </c>
      <c r="G870">
        <v>85.1</v>
      </c>
      <c r="K870" s="1">
        <v>43985</v>
      </c>
      <c r="L870">
        <v>3.6164999999999998</v>
      </c>
      <c r="W870" s="1">
        <v>43986</v>
      </c>
      <c r="X870">
        <v>0.47589999999999999</v>
      </c>
    </row>
    <row r="871" spans="2:24" x14ac:dyDescent="0.3">
      <c r="B871" s="1">
        <v>43803</v>
      </c>
      <c r="C871">
        <v>0.77180000000000004</v>
      </c>
      <c r="F871" s="1">
        <v>43803</v>
      </c>
      <c r="G871">
        <v>85.18</v>
      </c>
      <c r="K871" s="1">
        <v>43984</v>
      </c>
      <c r="L871">
        <v>3.5762999999999998</v>
      </c>
      <c r="W871" s="1">
        <v>43985</v>
      </c>
      <c r="X871">
        <v>0.47820000000000001</v>
      </c>
    </row>
    <row r="872" spans="2:24" x14ac:dyDescent="0.3">
      <c r="B872" s="1">
        <v>43802</v>
      </c>
      <c r="C872">
        <v>0.77959999999999996</v>
      </c>
      <c r="F872" s="1">
        <v>43802</v>
      </c>
      <c r="G872">
        <v>86.05</v>
      </c>
      <c r="K872" s="1">
        <v>43983</v>
      </c>
      <c r="L872">
        <v>3.5362</v>
      </c>
      <c r="W872" s="1">
        <v>43984</v>
      </c>
      <c r="X872">
        <v>0.47289999999999999</v>
      </c>
    </row>
    <row r="873" spans="2:24" x14ac:dyDescent="0.3">
      <c r="B873" s="1">
        <v>43801</v>
      </c>
      <c r="C873">
        <v>0.77810000000000001</v>
      </c>
      <c r="F873" s="1">
        <v>43801</v>
      </c>
      <c r="G873">
        <v>85.88</v>
      </c>
      <c r="K873" s="1">
        <v>43980</v>
      </c>
      <c r="L873">
        <v>3.6164999999999998</v>
      </c>
      <c r="W873" s="1">
        <v>43983</v>
      </c>
      <c r="X873">
        <v>0.46750000000000003</v>
      </c>
    </row>
    <row r="874" spans="2:24" x14ac:dyDescent="0.3">
      <c r="B874" s="1">
        <v>43798</v>
      </c>
      <c r="C874">
        <v>0.7883</v>
      </c>
      <c r="F874" s="1">
        <v>43798</v>
      </c>
      <c r="G874">
        <v>87.01</v>
      </c>
      <c r="K874" s="1">
        <v>43979</v>
      </c>
      <c r="L874">
        <v>3.7199</v>
      </c>
      <c r="W874" s="1">
        <v>43980</v>
      </c>
      <c r="X874">
        <v>0.47820000000000001</v>
      </c>
    </row>
    <row r="875" spans="2:24" x14ac:dyDescent="0.3">
      <c r="B875" s="1">
        <v>43797</v>
      </c>
      <c r="C875">
        <v>0.7954</v>
      </c>
      <c r="F875" s="1">
        <v>43797</v>
      </c>
      <c r="G875">
        <v>87.79</v>
      </c>
      <c r="K875" s="1">
        <v>43978</v>
      </c>
      <c r="L875">
        <v>3.6739000000000002</v>
      </c>
      <c r="W875" s="1">
        <v>43979</v>
      </c>
      <c r="X875">
        <v>0.49180000000000001</v>
      </c>
    </row>
    <row r="876" spans="2:24" x14ac:dyDescent="0.3">
      <c r="B876" s="1">
        <v>43796</v>
      </c>
      <c r="C876">
        <v>0.78749999999999998</v>
      </c>
      <c r="F876" s="1">
        <v>43796</v>
      </c>
      <c r="G876">
        <v>86.92</v>
      </c>
      <c r="K876" s="1">
        <v>43977</v>
      </c>
      <c r="L876">
        <v>3.6682000000000001</v>
      </c>
      <c r="W876" s="1">
        <v>43978</v>
      </c>
      <c r="X876">
        <v>0.48580000000000001</v>
      </c>
    </row>
    <row r="877" spans="2:24" x14ac:dyDescent="0.3">
      <c r="B877" s="1">
        <v>43795</v>
      </c>
      <c r="C877">
        <v>0.79069999999999996</v>
      </c>
      <c r="F877" s="1">
        <v>43795</v>
      </c>
      <c r="G877">
        <v>87.27</v>
      </c>
      <c r="K877" s="1">
        <v>43973</v>
      </c>
      <c r="L877">
        <v>3.9093</v>
      </c>
      <c r="W877" s="1">
        <v>43977</v>
      </c>
      <c r="X877">
        <v>0.48499999999999999</v>
      </c>
    </row>
    <row r="878" spans="2:24" x14ac:dyDescent="0.3">
      <c r="B878" s="1">
        <v>43794</v>
      </c>
      <c r="C878">
        <v>0.79300000000000004</v>
      </c>
      <c r="F878" s="1">
        <v>43794</v>
      </c>
      <c r="G878">
        <v>87.53</v>
      </c>
      <c r="K878" s="1">
        <v>43972</v>
      </c>
      <c r="L878">
        <v>4.0298999999999996</v>
      </c>
      <c r="W878" s="1">
        <v>43973</v>
      </c>
      <c r="X878">
        <v>0.51690000000000003</v>
      </c>
    </row>
    <row r="879" spans="2:24" x14ac:dyDescent="0.3">
      <c r="B879" s="1">
        <v>43791</v>
      </c>
      <c r="C879">
        <v>0.79779999999999995</v>
      </c>
      <c r="F879" s="1">
        <v>43791</v>
      </c>
      <c r="G879">
        <v>88.05</v>
      </c>
      <c r="K879" s="1">
        <v>43971</v>
      </c>
      <c r="L879">
        <v>3.5649000000000002</v>
      </c>
      <c r="W879" s="1">
        <v>43972</v>
      </c>
      <c r="X879">
        <v>0.53280000000000005</v>
      </c>
    </row>
    <row r="880" spans="2:24" x14ac:dyDescent="0.3">
      <c r="B880" s="1">
        <v>43790</v>
      </c>
      <c r="C880">
        <v>0.79930000000000001</v>
      </c>
      <c r="F880" s="1">
        <v>43790</v>
      </c>
      <c r="G880">
        <v>88.22</v>
      </c>
      <c r="K880" s="1">
        <v>43970</v>
      </c>
      <c r="L880">
        <v>3.3065000000000002</v>
      </c>
      <c r="W880" s="1">
        <v>43971</v>
      </c>
      <c r="X880">
        <v>0.4713</v>
      </c>
    </row>
    <row r="881" spans="2:24" x14ac:dyDescent="0.3">
      <c r="B881" s="1">
        <v>43789</v>
      </c>
      <c r="C881">
        <v>0.80479999999999996</v>
      </c>
      <c r="F881" s="1">
        <v>43789</v>
      </c>
      <c r="G881">
        <v>88.83</v>
      </c>
      <c r="K881" s="1">
        <v>43969</v>
      </c>
      <c r="L881">
        <v>3.2204000000000002</v>
      </c>
      <c r="W881" s="1">
        <v>43970</v>
      </c>
      <c r="X881">
        <v>0.43719999999999998</v>
      </c>
    </row>
    <row r="882" spans="2:24" x14ac:dyDescent="0.3">
      <c r="B882" s="1">
        <v>43788</v>
      </c>
      <c r="C882">
        <v>0.81510000000000005</v>
      </c>
      <c r="F882" s="1">
        <v>43788</v>
      </c>
      <c r="G882">
        <v>89.96</v>
      </c>
      <c r="K882" s="1">
        <v>43966</v>
      </c>
      <c r="L882">
        <v>3.1457999999999999</v>
      </c>
      <c r="W882" s="1">
        <v>43969</v>
      </c>
      <c r="X882">
        <v>0.42580000000000001</v>
      </c>
    </row>
    <row r="883" spans="2:24" x14ac:dyDescent="0.3">
      <c r="B883" s="1">
        <v>43787</v>
      </c>
      <c r="C883">
        <v>0.80169999999999997</v>
      </c>
      <c r="F883" s="1">
        <v>43787</v>
      </c>
      <c r="G883">
        <v>88.49</v>
      </c>
      <c r="K883" s="1">
        <v>43965</v>
      </c>
      <c r="L883">
        <v>2.8759999999999999</v>
      </c>
      <c r="W883" s="1">
        <v>43966</v>
      </c>
      <c r="X883">
        <v>0.41589999999999999</v>
      </c>
    </row>
    <row r="884" spans="2:24" x14ac:dyDescent="0.3">
      <c r="B884" s="1">
        <v>43784</v>
      </c>
      <c r="C884">
        <v>0.77959999999999996</v>
      </c>
      <c r="F884" s="1">
        <v>43784</v>
      </c>
      <c r="G884">
        <v>86.05</v>
      </c>
      <c r="K884" s="1">
        <v>43964</v>
      </c>
      <c r="L884">
        <v>3.1802999999999999</v>
      </c>
      <c r="W884" s="1">
        <v>43965</v>
      </c>
      <c r="X884">
        <v>0.38030000000000003</v>
      </c>
    </row>
    <row r="885" spans="2:24" x14ac:dyDescent="0.3">
      <c r="B885" s="1">
        <v>43783</v>
      </c>
      <c r="C885">
        <v>0.77959999999999996</v>
      </c>
      <c r="F885" s="1">
        <v>43783</v>
      </c>
      <c r="G885">
        <v>86.05</v>
      </c>
      <c r="K885" s="1">
        <v>43963</v>
      </c>
      <c r="L885">
        <v>3.1629999999999998</v>
      </c>
      <c r="W885" s="1">
        <v>43964</v>
      </c>
      <c r="X885">
        <v>0.42049999999999998</v>
      </c>
    </row>
    <row r="886" spans="2:24" x14ac:dyDescent="0.3">
      <c r="B886" s="1">
        <v>43782</v>
      </c>
      <c r="C886">
        <v>0.77649999999999997</v>
      </c>
      <c r="F886" s="1">
        <v>43782</v>
      </c>
      <c r="G886">
        <v>85.7</v>
      </c>
      <c r="K886" s="1">
        <v>43962</v>
      </c>
      <c r="L886">
        <v>3.1573000000000002</v>
      </c>
      <c r="W886" s="1">
        <v>43963</v>
      </c>
      <c r="X886">
        <v>0.41820000000000002</v>
      </c>
    </row>
    <row r="887" spans="2:24" x14ac:dyDescent="0.3">
      <c r="B887" s="1">
        <v>43777</v>
      </c>
      <c r="C887">
        <v>0.77810000000000001</v>
      </c>
      <c r="F887" s="1">
        <v>43777</v>
      </c>
      <c r="G887">
        <v>85.88</v>
      </c>
      <c r="K887" s="1">
        <v>43910</v>
      </c>
      <c r="L887">
        <v>3.4500999999999999</v>
      </c>
      <c r="W887" s="1">
        <v>43962</v>
      </c>
      <c r="X887">
        <v>0.41739999999999999</v>
      </c>
    </row>
    <row r="888" spans="2:24" x14ac:dyDescent="0.3">
      <c r="B888" s="1">
        <v>43776</v>
      </c>
      <c r="C888">
        <v>0.76549999999999996</v>
      </c>
      <c r="F888" s="1">
        <v>43776</v>
      </c>
      <c r="G888">
        <v>84.49</v>
      </c>
      <c r="K888" s="1">
        <v>43903</v>
      </c>
      <c r="L888">
        <v>4.2891000000000004</v>
      </c>
      <c r="W888" s="1">
        <v>43910</v>
      </c>
      <c r="X888">
        <v>0.45619999999999999</v>
      </c>
    </row>
    <row r="889" spans="2:24" x14ac:dyDescent="0.3">
      <c r="B889" s="1">
        <v>43775</v>
      </c>
      <c r="C889">
        <v>0.76780000000000004</v>
      </c>
      <c r="F889" s="1">
        <v>43775</v>
      </c>
      <c r="G889">
        <v>84.75</v>
      </c>
      <c r="K889" s="1">
        <v>43902</v>
      </c>
      <c r="L889">
        <v>4.4615999999999998</v>
      </c>
      <c r="W889" s="1">
        <v>43903</v>
      </c>
      <c r="X889">
        <v>0.55110000000000003</v>
      </c>
    </row>
    <row r="890" spans="2:24" x14ac:dyDescent="0.3">
      <c r="B890" s="1">
        <v>43774</v>
      </c>
      <c r="C890">
        <v>0.77100000000000002</v>
      </c>
      <c r="F890" s="1">
        <v>43774</v>
      </c>
      <c r="G890">
        <v>85.1</v>
      </c>
      <c r="K890" s="1">
        <v>43901</v>
      </c>
      <c r="L890">
        <v>4.6401000000000003</v>
      </c>
      <c r="W890" s="1">
        <v>43902</v>
      </c>
      <c r="X890">
        <v>0.57330000000000003</v>
      </c>
    </row>
    <row r="891" spans="2:24" x14ac:dyDescent="0.3">
      <c r="B891" s="1">
        <v>43773</v>
      </c>
      <c r="C891">
        <v>0.77890000000000004</v>
      </c>
      <c r="F891" s="1">
        <v>43773</v>
      </c>
      <c r="G891">
        <v>85.96</v>
      </c>
      <c r="K891" s="1">
        <v>43900</v>
      </c>
      <c r="L891">
        <v>4.5925000000000002</v>
      </c>
      <c r="W891" s="1">
        <v>43901</v>
      </c>
      <c r="X891">
        <v>0.59619999999999995</v>
      </c>
    </row>
    <row r="892" spans="2:24" x14ac:dyDescent="0.3">
      <c r="B892" s="1">
        <v>43770</v>
      </c>
      <c r="C892">
        <v>0.77180000000000004</v>
      </c>
      <c r="F892" s="1">
        <v>43770</v>
      </c>
      <c r="G892">
        <v>85.18</v>
      </c>
      <c r="K892" s="1">
        <v>43896</v>
      </c>
      <c r="L892">
        <v>4.7412000000000001</v>
      </c>
      <c r="W892" s="1">
        <v>43900</v>
      </c>
      <c r="X892">
        <v>0.59009999999999996</v>
      </c>
    </row>
    <row r="893" spans="2:24" x14ac:dyDescent="0.3">
      <c r="B893" s="1">
        <v>43769</v>
      </c>
      <c r="C893">
        <v>0.7631</v>
      </c>
      <c r="F893" s="1">
        <v>43769</v>
      </c>
      <c r="G893">
        <v>84.23</v>
      </c>
      <c r="K893" s="1">
        <v>43895</v>
      </c>
      <c r="L893">
        <v>4.8186</v>
      </c>
      <c r="W893" s="1">
        <v>43896</v>
      </c>
      <c r="X893">
        <v>0.60919999999999996</v>
      </c>
    </row>
    <row r="894" spans="2:24" x14ac:dyDescent="0.3">
      <c r="B894" s="1">
        <v>43768</v>
      </c>
      <c r="C894">
        <v>0.76390000000000002</v>
      </c>
      <c r="F894" s="1">
        <v>43768</v>
      </c>
      <c r="G894">
        <v>84.31</v>
      </c>
      <c r="K894" s="1">
        <v>43894</v>
      </c>
      <c r="L894">
        <v>5.0267999999999997</v>
      </c>
      <c r="W894" s="1">
        <v>43895</v>
      </c>
      <c r="X894">
        <v>0.61909999999999998</v>
      </c>
    </row>
    <row r="895" spans="2:24" x14ac:dyDescent="0.3">
      <c r="B895" s="1">
        <v>43767</v>
      </c>
      <c r="C895">
        <v>0.7702</v>
      </c>
      <c r="F895" s="1">
        <v>43767</v>
      </c>
      <c r="G895">
        <v>85.01</v>
      </c>
      <c r="K895" s="1">
        <v>43893</v>
      </c>
      <c r="L895">
        <v>5.1040999999999999</v>
      </c>
      <c r="W895" s="1">
        <v>43894</v>
      </c>
      <c r="X895">
        <v>0.64590000000000003</v>
      </c>
    </row>
    <row r="896" spans="2:24" x14ac:dyDescent="0.3">
      <c r="B896" s="1">
        <v>43766</v>
      </c>
      <c r="C896">
        <v>0.77180000000000004</v>
      </c>
      <c r="F896" s="1">
        <v>43766</v>
      </c>
      <c r="G896">
        <v>85.18</v>
      </c>
      <c r="K896" s="1">
        <v>43892</v>
      </c>
      <c r="L896">
        <v>5.1159999999999997</v>
      </c>
      <c r="W896" s="1">
        <v>43893</v>
      </c>
      <c r="X896">
        <v>0.65580000000000005</v>
      </c>
    </row>
    <row r="897" spans="2:24" x14ac:dyDescent="0.3">
      <c r="B897" s="1">
        <v>43763</v>
      </c>
      <c r="C897">
        <v>0.77569999999999995</v>
      </c>
      <c r="F897" s="1">
        <v>43763</v>
      </c>
      <c r="G897">
        <v>85.62</v>
      </c>
      <c r="K897" s="1">
        <v>43889</v>
      </c>
      <c r="L897">
        <v>5.0862999999999996</v>
      </c>
      <c r="W897" s="1">
        <v>43892</v>
      </c>
      <c r="X897">
        <v>0.65739999999999998</v>
      </c>
    </row>
    <row r="898" spans="2:24" x14ac:dyDescent="0.3">
      <c r="B898" s="1">
        <v>43762</v>
      </c>
      <c r="C898">
        <v>0.77259999999999995</v>
      </c>
      <c r="F898" s="1">
        <v>43762</v>
      </c>
      <c r="G898">
        <v>85.27</v>
      </c>
      <c r="K898" s="1">
        <v>43888</v>
      </c>
      <c r="L898">
        <v>5.2051999999999996</v>
      </c>
      <c r="W898" s="1">
        <v>43889</v>
      </c>
      <c r="X898">
        <v>0.65349999999999997</v>
      </c>
    </row>
    <row r="899" spans="2:24" x14ac:dyDescent="0.3">
      <c r="B899" s="1">
        <v>43761</v>
      </c>
      <c r="C899">
        <v>0.77959999999999996</v>
      </c>
      <c r="F899" s="1">
        <v>43761</v>
      </c>
      <c r="G899">
        <v>86.05</v>
      </c>
      <c r="K899" s="1">
        <v>43887</v>
      </c>
      <c r="L899">
        <v>5.1755000000000004</v>
      </c>
      <c r="W899" s="1">
        <v>43888</v>
      </c>
      <c r="X899">
        <v>0.66879999999999995</v>
      </c>
    </row>
    <row r="900" spans="2:24" x14ac:dyDescent="0.3">
      <c r="B900" s="1">
        <v>43760</v>
      </c>
      <c r="C900">
        <v>0.77959999999999996</v>
      </c>
      <c r="F900" s="1">
        <v>43760</v>
      </c>
      <c r="G900">
        <v>86.05</v>
      </c>
      <c r="K900" s="1">
        <v>43886</v>
      </c>
      <c r="L900">
        <v>5.2945000000000002</v>
      </c>
      <c r="W900" s="1">
        <v>43887</v>
      </c>
      <c r="X900">
        <v>0.66500000000000004</v>
      </c>
    </row>
    <row r="901" spans="2:24" x14ac:dyDescent="0.3">
      <c r="B901" s="1">
        <v>43759</v>
      </c>
      <c r="C901">
        <v>0.77959999999999996</v>
      </c>
      <c r="F901" s="1">
        <v>43759</v>
      </c>
      <c r="G901">
        <v>86.05</v>
      </c>
      <c r="K901" s="1">
        <v>43885</v>
      </c>
      <c r="L901">
        <v>5.3421000000000003</v>
      </c>
      <c r="W901" s="1">
        <v>43886</v>
      </c>
      <c r="X901">
        <v>0.68030000000000002</v>
      </c>
    </row>
    <row r="902" spans="2:24" x14ac:dyDescent="0.3">
      <c r="B902" s="1">
        <v>43756</v>
      </c>
      <c r="C902">
        <v>0.77890000000000004</v>
      </c>
      <c r="F902" s="1">
        <v>43756</v>
      </c>
      <c r="G902">
        <v>85.96</v>
      </c>
      <c r="K902" s="1">
        <v>43881</v>
      </c>
      <c r="L902">
        <v>5.3540000000000001</v>
      </c>
      <c r="W902" s="1">
        <v>43885</v>
      </c>
      <c r="X902">
        <v>0.68640000000000001</v>
      </c>
    </row>
    <row r="903" spans="2:24" x14ac:dyDescent="0.3">
      <c r="B903" s="1">
        <v>43755</v>
      </c>
      <c r="C903">
        <v>0.77810000000000001</v>
      </c>
      <c r="F903" s="1">
        <v>43755</v>
      </c>
      <c r="G903">
        <v>85.88</v>
      </c>
      <c r="K903" s="1">
        <v>43880</v>
      </c>
      <c r="L903">
        <v>5.3479999999999999</v>
      </c>
      <c r="W903" s="1">
        <v>43881</v>
      </c>
      <c r="X903">
        <v>0.68789999999999996</v>
      </c>
    </row>
    <row r="904" spans="2:24" x14ac:dyDescent="0.3">
      <c r="B904" s="1">
        <v>43754</v>
      </c>
      <c r="C904">
        <v>0.77180000000000004</v>
      </c>
      <c r="F904" s="1">
        <v>43754</v>
      </c>
      <c r="G904">
        <v>85.18</v>
      </c>
      <c r="K904" s="1">
        <v>43879</v>
      </c>
      <c r="L904">
        <v>5.2408999999999999</v>
      </c>
      <c r="W904" s="1">
        <v>43880</v>
      </c>
      <c r="X904">
        <v>0.68720000000000003</v>
      </c>
    </row>
    <row r="905" spans="2:24" x14ac:dyDescent="0.3">
      <c r="B905" s="1">
        <v>43753</v>
      </c>
      <c r="C905">
        <v>0.77180000000000004</v>
      </c>
      <c r="F905" s="1">
        <v>43753</v>
      </c>
      <c r="G905">
        <v>85.18</v>
      </c>
      <c r="K905" s="1">
        <v>43878</v>
      </c>
      <c r="L905">
        <v>5.0862999999999996</v>
      </c>
      <c r="W905" s="1">
        <v>43879</v>
      </c>
      <c r="X905">
        <v>0.6734</v>
      </c>
    </row>
    <row r="906" spans="2:24" x14ac:dyDescent="0.3">
      <c r="B906" s="1">
        <v>43752</v>
      </c>
      <c r="C906">
        <v>0.77959999999999996</v>
      </c>
      <c r="F906" s="1">
        <v>43752</v>
      </c>
      <c r="G906">
        <v>86.05</v>
      </c>
      <c r="K906" s="1">
        <v>43875</v>
      </c>
      <c r="L906">
        <v>5.0862999999999996</v>
      </c>
      <c r="W906" s="1">
        <v>43878</v>
      </c>
      <c r="X906">
        <v>0.65349999999999997</v>
      </c>
    </row>
    <row r="907" spans="2:24" x14ac:dyDescent="0.3">
      <c r="B907" s="1">
        <v>43749</v>
      </c>
      <c r="C907">
        <v>0.77959999999999996</v>
      </c>
      <c r="F907" s="1">
        <v>43749</v>
      </c>
      <c r="G907">
        <v>86.05</v>
      </c>
      <c r="K907" s="1">
        <v>43874</v>
      </c>
      <c r="L907">
        <v>5.1874000000000002</v>
      </c>
      <c r="W907" s="1">
        <v>43875</v>
      </c>
      <c r="X907">
        <v>0.65349999999999997</v>
      </c>
    </row>
    <row r="908" spans="2:24" x14ac:dyDescent="0.3">
      <c r="B908" s="1">
        <v>43748</v>
      </c>
      <c r="C908">
        <v>0.78039999999999998</v>
      </c>
      <c r="F908" s="1">
        <v>43748</v>
      </c>
      <c r="G908">
        <v>86.14</v>
      </c>
      <c r="K908" s="1">
        <v>43873</v>
      </c>
      <c r="L908">
        <v>5.2885</v>
      </c>
      <c r="W908" s="1">
        <v>43874</v>
      </c>
      <c r="X908">
        <v>0.66649999999999998</v>
      </c>
    </row>
    <row r="909" spans="2:24" x14ac:dyDescent="0.3">
      <c r="B909" s="1">
        <v>43747</v>
      </c>
      <c r="C909">
        <v>0.77959999999999996</v>
      </c>
      <c r="F909" s="1">
        <v>43747</v>
      </c>
      <c r="G909">
        <v>86.05</v>
      </c>
      <c r="K909" s="1">
        <v>43872</v>
      </c>
      <c r="L909">
        <v>5.4729000000000001</v>
      </c>
      <c r="W909" s="1">
        <v>43873</v>
      </c>
      <c r="X909">
        <v>0.67949999999999999</v>
      </c>
    </row>
    <row r="910" spans="2:24" x14ac:dyDescent="0.3">
      <c r="B910" s="1">
        <v>43746</v>
      </c>
      <c r="C910">
        <v>0.78669999999999995</v>
      </c>
      <c r="F910" s="1">
        <v>43746</v>
      </c>
      <c r="G910">
        <v>86.83</v>
      </c>
      <c r="K910" s="1">
        <v>43871</v>
      </c>
      <c r="L910">
        <v>5.5026999999999999</v>
      </c>
      <c r="W910" s="1">
        <v>43872</v>
      </c>
      <c r="X910">
        <v>0.70320000000000005</v>
      </c>
    </row>
    <row r="911" spans="2:24" x14ac:dyDescent="0.3">
      <c r="B911" s="1">
        <v>43745</v>
      </c>
      <c r="C911">
        <v>0.77959999999999996</v>
      </c>
      <c r="F911" s="1">
        <v>43745</v>
      </c>
      <c r="G911">
        <v>86.05</v>
      </c>
      <c r="K911" s="1">
        <v>43868</v>
      </c>
      <c r="L911">
        <v>5.4847999999999999</v>
      </c>
      <c r="W911" s="1">
        <v>43871</v>
      </c>
      <c r="X911">
        <v>0.70699999999999996</v>
      </c>
    </row>
    <row r="912" spans="2:24" x14ac:dyDescent="0.3">
      <c r="B912" s="1">
        <v>43742</v>
      </c>
      <c r="C912">
        <v>0.78039999999999998</v>
      </c>
      <c r="F912" s="1">
        <v>43742</v>
      </c>
      <c r="G912">
        <v>86.14</v>
      </c>
      <c r="K912" s="1">
        <v>43867</v>
      </c>
      <c r="L912">
        <v>5.4847999999999999</v>
      </c>
      <c r="W912" s="1">
        <v>43868</v>
      </c>
      <c r="X912">
        <v>0.70479999999999998</v>
      </c>
    </row>
    <row r="913" spans="2:24" x14ac:dyDescent="0.3">
      <c r="B913" s="1">
        <v>43741</v>
      </c>
      <c r="C913">
        <v>0.77490000000000003</v>
      </c>
      <c r="F913" s="1">
        <v>43741</v>
      </c>
      <c r="G913">
        <v>85.53</v>
      </c>
      <c r="K913" s="1">
        <v>43866</v>
      </c>
      <c r="L913">
        <v>5.5324</v>
      </c>
      <c r="W913" s="1">
        <v>43867</v>
      </c>
      <c r="X913">
        <v>0.70479999999999998</v>
      </c>
    </row>
    <row r="914" spans="2:24" x14ac:dyDescent="0.3">
      <c r="B914" s="1">
        <v>43740</v>
      </c>
      <c r="C914">
        <v>0.77180000000000004</v>
      </c>
      <c r="F914" s="1">
        <v>43740</v>
      </c>
      <c r="G914">
        <v>85.18</v>
      </c>
      <c r="K914" s="1">
        <v>43864</v>
      </c>
      <c r="L914">
        <v>5.4966999999999997</v>
      </c>
      <c r="W914" s="1">
        <v>43866</v>
      </c>
      <c r="X914">
        <v>0.71089999999999998</v>
      </c>
    </row>
    <row r="915" spans="2:24" x14ac:dyDescent="0.3">
      <c r="B915" s="1">
        <v>43739</v>
      </c>
      <c r="C915">
        <v>0.77180000000000004</v>
      </c>
      <c r="F915" s="1">
        <v>43739</v>
      </c>
      <c r="G915">
        <v>85.18</v>
      </c>
      <c r="K915" s="1">
        <v>43861</v>
      </c>
      <c r="L915">
        <v>5.4729000000000001</v>
      </c>
      <c r="W915" s="1">
        <v>43864</v>
      </c>
      <c r="X915">
        <v>0.70630000000000004</v>
      </c>
    </row>
    <row r="916" spans="2:24" x14ac:dyDescent="0.3">
      <c r="B916" s="1">
        <v>43738</v>
      </c>
      <c r="C916">
        <v>0.77259999999999995</v>
      </c>
      <c r="F916" s="1">
        <v>43738</v>
      </c>
      <c r="G916">
        <v>85.27</v>
      </c>
      <c r="K916" s="1">
        <v>43860</v>
      </c>
      <c r="L916">
        <v>5.4729000000000001</v>
      </c>
      <c r="W916" s="1">
        <v>43861</v>
      </c>
      <c r="X916">
        <v>0.70320000000000005</v>
      </c>
    </row>
    <row r="917" spans="2:24" x14ac:dyDescent="0.3">
      <c r="B917" s="1">
        <v>43735</v>
      </c>
      <c r="C917">
        <v>0.81269999999999998</v>
      </c>
      <c r="F917" s="1">
        <v>43735</v>
      </c>
      <c r="G917">
        <v>86.05</v>
      </c>
      <c r="K917" s="1">
        <v>43859</v>
      </c>
      <c r="L917">
        <v>5.4729000000000001</v>
      </c>
      <c r="W917" s="1">
        <v>43860</v>
      </c>
      <c r="X917">
        <v>0.70320000000000005</v>
      </c>
    </row>
    <row r="918" spans="2:24" x14ac:dyDescent="0.3">
      <c r="B918" s="1">
        <v>43734</v>
      </c>
      <c r="C918">
        <v>0.81189999999999996</v>
      </c>
      <c r="F918" s="1">
        <v>43734</v>
      </c>
      <c r="G918">
        <v>85.96</v>
      </c>
      <c r="K918" s="1">
        <v>43858</v>
      </c>
      <c r="L918">
        <v>5.5324</v>
      </c>
      <c r="W918" s="1">
        <v>43859</v>
      </c>
      <c r="X918">
        <v>0.70320000000000005</v>
      </c>
    </row>
    <row r="919" spans="2:24" x14ac:dyDescent="0.3">
      <c r="B919" s="1">
        <v>43733</v>
      </c>
      <c r="C919">
        <v>0.80449999999999999</v>
      </c>
      <c r="F919" s="1">
        <v>43733</v>
      </c>
      <c r="G919">
        <v>85.18</v>
      </c>
      <c r="K919" s="1">
        <v>43857</v>
      </c>
      <c r="L919">
        <v>5.5324</v>
      </c>
      <c r="W919" s="1">
        <v>43858</v>
      </c>
      <c r="X919">
        <v>0.71089999999999998</v>
      </c>
    </row>
    <row r="920" spans="2:24" x14ac:dyDescent="0.3">
      <c r="B920" s="1">
        <v>43732</v>
      </c>
      <c r="C920">
        <v>0.80530000000000002</v>
      </c>
      <c r="F920" s="1">
        <v>43732</v>
      </c>
      <c r="G920">
        <v>85.27</v>
      </c>
      <c r="K920" s="1">
        <v>43854</v>
      </c>
      <c r="L920">
        <v>5.5621999999999998</v>
      </c>
      <c r="W920" s="1">
        <v>43857</v>
      </c>
      <c r="X920">
        <v>0.71089999999999998</v>
      </c>
    </row>
    <row r="921" spans="2:24" x14ac:dyDescent="0.3">
      <c r="B921" s="1">
        <v>43731</v>
      </c>
      <c r="C921">
        <v>0.81599999999999995</v>
      </c>
      <c r="F921" s="1">
        <v>43731</v>
      </c>
      <c r="G921">
        <v>86.4</v>
      </c>
      <c r="K921" s="1">
        <v>43853</v>
      </c>
      <c r="L921">
        <v>5.5621999999999998</v>
      </c>
      <c r="W921" s="1">
        <v>43854</v>
      </c>
      <c r="X921">
        <v>0.7147</v>
      </c>
    </row>
    <row r="922" spans="2:24" x14ac:dyDescent="0.3">
      <c r="B922" s="1">
        <v>43728</v>
      </c>
      <c r="C922">
        <v>0.82089999999999996</v>
      </c>
      <c r="F922" s="1">
        <v>43728</v>
      </c>
      <c r="G922">
        <v>86.92</v>
      </c>
      <c r="K922" s="1">
        <v>43852</v>
      </c>
      <c r="L922">
        <v>5.4729000000000001</v>
      </c>
      <c r="W922" s="1">
        <v>43853</v>
      </c>
      <c r="X922">
        <v>0.7147</v>
      </c>
    </row>
    <row r="923" spans="2:24" x14ac:dyDescent="0.3">
      <c r="B923" s="1">
        <v>43727</v>
      </c>
      <c r="C923">
        <v>0.82089999999999996</v>
      </c>
      <c r="F923" s="1">
        <v>43727</v>
      </c>
      <c r="G923">
        <v>86.92</v>
      </c>
      <c r="K923" s="1">
        <v>43851</v>
      </c>
      <c r="L923">
        <v>5.4729000000000001</v>
      </c>
      <c r="W923" s="1">
        <v>43852</v>
      </c>
      <c r="X923">
        <v>0.70320000000000005</v>
      </c>
    </row>
    <row r="924" spans="2:24" x14ac:dyDescent="0.3">
      <c r="B924" s="1">
        <v>43726</v>
      </c>
      <c r="C924">
        <v>0.83650000000000002</v>
      </c>
      <c r="F924" s="1">
        <v>43726</v>
      </c>
      <c r="G924">
        <v>88.57</v>
      </c>
      <c r="K924" s="1">
        <v>43850</v>
      </c>
      <c r="L924">
        <v>5.3540000000000001</v>
      </c>
      <c r="W924" s="1">
        <v>43851</v>
      </c>
      <c r="X924">
        <v>0.70320000000000005</v>
      </c>
    </row>
    <row r="925" spans="2:24" x14ac:dyDescent="0.3">
      <c r="B925" s="1">
        <v>43725</v>
      </c>
      <c r="C925">
        <v>0.83730000000000004</v>
      </c>
      <c r="F925" s="1">
        <v>43725</v>
      </c>
      <c r="G925">
        <v>88.66</v>
      </c>
      <c r="K925" s="1">
        <v>43847</v>
      </c>
      <c r="L925">
        <v>5.3479999999999999</v>
      </c>
      <c r="W925" s="1">
        <v>43850</v>
      </c>
      <c r="X925">
        <v>0.68789999999999996</v>
      </c>
    </row>
    <row r="926" spans="2:24" x14ac:dyDescent="0.3">
      <c r="B926" s="1">
        <v>43724</v>
      </c>
      <c r="C926">
        <v>0.84550000000000003</v>
      </c>
      <c r="F926" s="1">
        <v>43724</v>
      </c>
      <c r="G926">
        <v>89.53</v>
      </c>
      <c r="K926" s="1">
        <v>43846</v>
      </c>
      <c r="L926">
        <v>5.4729000000000001</v>
      </c>
      <c r="W926" s="1">
        <v>43847</v>
      </c>
      <c r="X926">
        <v>0.68720000000000003</v>
      </c>
    </row>
    <row r="927" spans="2:24" x14ac:dyDescent="0.3">
      <c r="B927" s="1">
        <v>43720</v>
      </c>
      <c r="C927">
        <v>0.84960000000000002</v>
      </c>
      <c r="F927" s="1">
        <v>43720</v>
      </c>
      <c r="G927">
        <v>89.96</v>
      </c>
      <c r="K927" s="1">
        <v>43844</v>
      </c>
      <c r="L927">
        <v>5.4610000000000003</v>
      </c>
      <c r="W927" s="1">
        <v>43846</v>
      </c>
      <c r="X927">
        <v>0.70320000000000005</v>
      </c>
    </row>
    <row r="928" spans="2:24" x14ac:dyDescent="0.3">
      <c r="B928" s="1">
        <v>43719</v>
      </c>
      <c r="C928">
        <v>0.84140000000000004</v>
      </c>
      <c r="F928" s="1">
        <v>43719</v>
      </c>
      <c r="G928">
        <v>89.09</v>
      </c>
      <c r="K928" s="1">
        <v>43843</v>
      </c>
      <c r="L928">
        <v>5.4015000000000004</v>
      </c>
      <c r="W928" s="1">
        <v>43844</v>
      </c>
      <c r="X928">
        <v>0.70169999999999999</v>
      </c>
    </row>
    <row r="929" spans="2:24" x14ac:dyDescent="0.3">
      <c r="B929" s="1">
        <v>43718</v>
      </c>
      <c r="C929">
        <v>0.83979999999999999</v>
      </c>
      <c r="F929" s="1">
        <v>43718</v>
      </c>
      <c r="G929">
        <v>88.92</v>
      </c>
      <c r="K929" s="1">
        <v>43839</v>
      </c>
      <c r="L929">
        <v>5.5205000000000002</v>
      </c>
      <c r="W929" s="1">
        <v>43843</v>
      </c>
      <c r="X929">
        <v>0.69410000000000005</v>
      </c>
    </row>
    <row r="930" spans="2:24" x14ac:dyDescent="0.3">
      <c r="B930" s="1">
        <v>43717</v>
      </c>
      <c r="C930">
        <v>0.84219999999999995</v>
      </c>
      <c r="F930" s="1">
        <v>43717</v>
      </c>
      <c r="G930">
        <v>89.18</v>
      </c>
      <c r="K930" s="1">
        <v>43838</v>
      </c>
      <c r="L930">
        <v>5.4729000000000001</v>
      </c>
      <c r="W930" s="1">
        <v>43839</v>
      </c>
      <c r="X930">
        <v>0.70930000000000004</v>
      </c>
    </row>
    <row r="931" spans="2:24" x14ac:dyDescent="0.3">
      <c r="B931" s="1">
        <v>43714</v>
      </c>
      <c r="C931">
        <v>0.85129999999999995</v>
      </c>
      <c r="F931" s="1">
        <v>43714</v>
      </c>
      <c r="G931">
        <v>90.14</v>
      </c>
      <c r="K931" s="1">
        <v>43837</v>
      </c>
      <c r="L931">
        <v>5.58</v>
      </c>
      <c r="W931" s="1">
        <v>43838</v>
      </c>
      <c r="X931">
        <v>0.70320000000000005</v>
      </c>
    </row>
    <row r="932" spans="2:24" x14ac:dyDescent="0.3">
      <c r="B932" s="1">
        <v>43713</v>
      </c>
      <c r="C932">
        <v>0.87009999999999998</v>
      </c>
      <c r="F932" s="1">
        <v>43713</v>
      </c>
      <c r="G932">
        <v>92.14</v>
      </c>
      <c r="K932" s="1">
        <v>43836</v>
      </c>
      <c r="L932">
        <v>5.5918999999999999</v>
      </c>
      <c r="W932" s="1">
        <v>43837</v>
      </c>
      <c r="X932">
        <v>0.71699999999999997</v>
      </c>
    </row>
    <row r="933" spans="2:24" x14ac:dyDescent="0.3">
      <c r="B933" s="1">
        <v>43712</v>
      </c>
      <c r="C933">
        <v>0.87419999999999998</v>
      </c>
      <c r="F933" s="1">
        <v>43712</v>
      </c>
      <c r="G933">
        <v>92.57</v>
      </c>
      <c r="K933" s="1">
        <v>43833</v>
      </c>
      <c r="L933">
        <v>5.6513999999999998</v>
      </c>
      <c r="W933" s="1">
        <v>43836</v>
      </c>
      <c r="X933">
        <v>0.71850000000000003</v>
      </c>
    </row>
    <row r="934" spans="2:24" x14ac:dyDescent="0.3">
      <c r="B934" s="1">
        <v>43711</v>
      </c>
      <c r="C934">
        <v>0.87829999999999997</v>
      </c>
      <c r="F934" s="1">
        <v>43711</v>
      </c>
      <c r="G934">
        <v>93.01</v>
      </c>
      <c r="K934" s="1">
        <v>43832</v>
      </c>
      <c r="L934">
        <v>5.6513999999999998</v>
      </c>
      <c r="W934" s="1">
        <v>43833</v>
      </c>
      <c r="X934">
        <v>0.72619999999999996</v>
      </c>
    </row>
    <row r="935" spans="2:24" x14ac:dyDescent="0.3">
      <c r="B935" s="1">
        <v>43710</v>
      </c>
      <c r="C935">
        <v>0.88329999999999997</v>
      </c>
      <c r="F935" s="1">
        <v>43710</v>
      </c>
      <c r="G935">
        <v>93.53</v>
      </c>
      <c r="K935" s="1">
        <v>43830</v>
      </c>
      <c r="L935">
        <v>5.6513999999999998</v>
      </c>
      <c r="W935" s="1">
        <v>43832</v>
      </c>
      <c r="X935">
        <v>0.72619999999999996</v>
      </c>
    </row>
    <row r="936" spans="2:24" x14ac:dyDescent="0.3">
      <c r="B936" s="1">
        <v>43707</v>
      </c>
      <c r="C936">
        <v>0.8841</v>
      </c>
      <c r="F936" s="1">
        <v>43707</v>
      </c>
      <c r="G936">
        <v>93.61</v>
      </c>
      <c r="K936" s="1">
        <v>43829</v>
      </c>
      <c r="L936">
        <v>6.3720999999999997</v>
      </c>
      <c r="W936" s="1">
        <v>43830</v>
      </c>
      <c r="X936">
        <v>0.72619999999999996</v>
      </c>
    </row>
    <row r="937" spans="2:24" x14ac:dyDescent="0.3">
      <c r="B937" s="1">
        <v>43706</v>
      </c>
      <c r="C937">
        <v>0.88660000000000005</v>
      </c>
      <c r="F937" s="1">
        <v>43706</v>
      </c>
      <c r="G937">
        <v>93.87</v>
      </c>
      <c r="K937" s="1">
        <v>43826</v>
      </c>
      <c r="L937">
        <v>6.4451999999999998</v>
      </c>
      <c r="W937" s="1">
        <v>43829</v>
      </c>
      <c r="X937">
        <v>0.75519999999999998</v>
      </c>
    </row>
    <row r="938" spans="2:24" x14ac:dyDescent="0.3">
      <c r="B938" s="1">
        <v>43705</v>
      </c>
      <c r="C938">
        <v>0.87829999999999997</v>
      </c>
      <c r="F938" s="1">
        <v>43705</v>
      </c>
      <c r="G938">
        <v>93.01</v>
      </c>
      <c r="K938" s="1">
        <v>43825</v>
      </c>
      <c r="L938">
        <v>6.4385000000000003</v>
      </c>
      <c r="W938" s="1">
        <v>43826</v>
      </c>
      <c r="X938">
        <v>0.76390000000000002</v>
      </c>
    </row>
    <row r="939" spans="2:24" x14ac:dyDescent="0.3">
      <c r="B939" s="1">
        <v>43704</v>
      </c>
      <c r="C939">
        <v>0.87829999999999997</v>
      </c>
      <c r="F939" s="1">
        <v>43704</v>
      </c>
      <c r="G939">
        <v>93.01</v>
      </c>
      <c r="K939" s="1">
        <v>43823</v>
      </c>
      <c r="L939">
        <v>6.3787000000000003</v>
      </c>
      <c r="W939" s="1">
        <v>43825</v>
      </c>
      <c r="X939">
        <v>0.7631</v>
      </c>
    </row>
    <row r="940" spans="2:24" x14ac:dyDescent="0.3">
      <c r="B940" s="1">
        <v>43703</v>
      </c>
      <c r="C940">
        <v>0.87009999999999998</v>
      </c>
      <c r="F940" s="1">
        <v>43703</v>
      </c>
      <c r="G940">
        <v>92.14</v>
      </c>
      <c r="K940" s="1">
        <v>43822</v>
      </c>
      <c r="L940">
        <v>6.3787000000000003</v>
      </c>
      <c r="W940" s="1">
        <v>43823</v>
      </c>
      <c r="X940">
        <v>0.75600000000000001</v>
      </c>
    </row>
    <row r="941" spans="2:24" x14ac:dyDescent="0.3">
      <c r="B941" s="1">
        <v>43700</v>
      </c>
      <c r="C941">
        <v>0.87009999999999998</v>
      </c>
      <c r="F941" s="1">
        <v>43700</v>
      </c>
      <c r="G941">
        <v>92.14</v>
      </c>
      <c r="K941" s="1">
        <v>43819</v>
      </c>
      <c r="L941">
        <v>6.4185999999999996</v>
      </c>
      <c r="W941" s="1">
        <v>43822</v>
      </c>
      <c r="X941">
        <v>0.75600000000000001</v>
      </c>
    </row>
    <row r="942" spans="2:24" x14ac:dyDescent="0.3">
      <c r="B942" s="1">
        <v>43699</v>
      </c>
      <c r="C942">
        <v>0.86850000000000005</v>
      </c>
      <c r="F942" s="1">
        <v>43699</v>
      </c>
      <c r="G942">
        <v>91.96</v>
      </c>
      <c r="K942" s="1">
        <v>43818</v>
      </c>
      <c r="L942">
        <v>6.4451999999999998</v>
      </c>
      <c r="W942" s="1">
        <v>43819</v>
      </c>
      <c r="X942">
        <v>0.76070000000000004</v>
      </c>
    </row>
    <row r="943" spans="2:24" x14ac:dyDescent="0.3">
      <c r="B943" s="1">
        <v>43698</v>
      </c>
      <c r="C943">
        <v>0.87829999999999997</v>
      </c>
      <c r="F943" s="1">
        <v>43698</v>
      </c>
      <c r="G943">
        <v>93.01</v>
      </c>
      <c r="K943" s="1">
        <v>43817</v>
      </c>
      <c r="L943">
        <v>6.4451999999999998</v>
      </c>
      <c r="W943" s="1">
        <v>43818</v>
      </c>
      <c r="X943">
        <v>0.76390000000000002</v>
      </c>
    </row>
    <row r="944" spans="2:24" x14ac:dyDescent="0.3">
      <c r="B944" s="1">
        <v>43697</v>
      </c>
      <c r="C944">
        <v>0.871</v>
      </c>
      <c r="F944" s="1">
        <v>43697</v>
      </c>
      <c r="G944">
        <v>92.22</v>
      </c>
      <c r="K944" s="1">
        <v>43816</v>
      </c>
      <c r="L944">
        <v>6.4451999999999998</v>
      </c>
      <c r="W944" s="1">
        <v>43817</v>
      </c>
      <c r="X944">
        <v>0.76390000000000002</v>
      </c>
    </row>
    <row r="945" spans="2:24" x14ac:dyDescent="0.3">
      <c r="B945" s="1">
        <v>43696</v>
      </c>
      <c r="C945">
        <v>0.86270000000000002</v>
      </c>
      <c r="F945" s="1">
        <v>43696</v>
      </c>
      <c r="G945">
        <v>91.35</v>
      </c>
      <c r="K945" s="1">
        <v>43815</v>
      </c>
      <c r="L945">
        <v>6.4119999999999999</v>
      </c>
      <c r="W945" s="1">
        <v>43816</v>
      </c>
      <c r="X945">
        <v>0.76390000000000002</v>
      </c>
    </row>
    <row r="946" spans="2:24" x14ac:dyDescent="0.3">
      <c r="B946" s="1">
        <v>43693</v>
      </c>
      <c r="C946">
        <v>0.87009999999999998</v>
      </c>
      <c r="F946" s="1">
        <v>43693</v>
      </c>
      <c r="G946">
        <v>92.14</v>
      </c>
      <c r="K946" s="1">
        <v>43812</v>
      </c>
      <c r="L946">
        <v>6.4119999999999999</v>
      </c>
      <c r="W946" s="1">
        <v>43815</v>
      </c>
      <c r="X946">
        <v>0.76</v>
      </c>
    </row>
    <row r="947" spans="2:24" x14ac:dyDescent="0.3">
      <c r="B947" s="1">
        <v>43692</v>
      </c>
      <c r="C947">
        <v>0.87009999999999998</v>
      </c>
      <c r="F947" s="1">
        <v>43692</v>
      </c>
      <c r="G947">
        <v>92.14</v>
      </c>
      <c r="K947" s="1">
        <v>43811</v>
      </c>
      <c r="L947">
        <v>6.4053000000000004</v>
      </c>
      <c r="W947" s="1">
        <v>43812</v>
      </c>
      <c r="X947">
        <v>0.76</v>
      </c>
    </row>
    <row r="948" spans="2:24" x14ac:dyDescent="0.3">
      <c r="B948" s="1">
        <v>43690</v>
      </c>
      <c r="C948">
        <v>0.89559999999999995</v>
      </c>
      <c r="F948" s="1">
        <v>43690</v>
      </c>
      <c r="G948">
        <v>94.83</v>
      </c>
      <c r="K948" s="1">
        <v>43809</v>
      </c>
      <c r="L948">
        <v>6.4718</v>
      </c>
      <c r="W948" s="1">
        <v>43811</v>
      </c>
      <c r="X948">
        <v>0.75919999999999999</v>
      </c>
    </row>
    <row r="949" spans="2:24" x14ac:dyDescent="0.3">
      <c r="B949" s="1">
        <v>43686</v>
      </c>
      <c r="C949">
        <v>0.88570000000000004</v>
      </c>
      <c r="F949" s="1">
        <v>43686</v>
      </c>
      <c r="G949">
        <v>93.79</v>
      </c>
      <c r="K949" s="1">
        <v>43808</v>
      </c>
      <c r="L949">
        <v>6.4451999999999998</v>
      </c>
      <c r="W949" s="1">
        <v>43809</v>
      </c>
      <c r="X949">
        <v>0.76700000000000002</v>
      </c>
    </row>
    <row r="950" spans="2:24" x14ac:dyDescent="0.3">
      <c r="B950" s="1">
        <v>43685</v>
      </c>
      <c r="C950">
        <v>0.86270000000000002</v>
      </c>
      <c r="F950" s="1">
        <v>43685</v>
      </c>
      <c r="G950">
        <v>91.35</v>
      </c>
      <c r="K950" s="1">
        <v>43805</v>
      </c>
      <c r="L950">
        <v>6.5115999999999996</v>
      </c>
      <c r="W950" s="1">
        <v>43808</v>
      </c>
      <c r="X950">
        <v>0.76390000000000002</v>
      </c>
    </row>
    <row r="951" spans="2:24" x14ac:dyDescent="0.3">
      <c r="B951" s="1">
        <v>43684</v>
      </c>
      <c r="C951">
        <v>0.87829999999999997</v>
      </c>
      <c r="F951" s="1">
        <v>43684</v>
      </c>
      <c r="G951">
        <v>93.01</v>
      </c>
      <c r="K951" s="1">
        <v>43804</v>
      </c>
      <c r="L951">
        <v>6.5049999999999999</v>
      </c>
      <c r="W951" s="1">
        <v>43805</v>
      </c>
      <c r="X951">
        <v>0.77180000000000004</v>
      </c>
    </row>
    <row r="952" spans="2:24" x14ac:dyDescent="0.3">
      <c r="B952" s="1">
        <v>43683</v>
      </c>
      <c r="C952">
        <v>0.85370000000000001</v>
      </c>
      <c r="F952" s="1">
        <v>43683</v>
      </c>
      <c r="G952">
        <v>90.4</v>
      </c>
      <c r="K952" s="1">
        <v>43803</v>
      </c>
      <c r="L952">
        <v>6.5115999999999996</v>
      </c>
      <c r="W952" s="1">
        <v>43804</v>
      </c>
      <c r="X952">
        <v>0.77100000000000002</v>
      </c>
    </row>
    <row r="953" spans="2:24" x14ac:dyDescent="0.3">
      <c r="B953" s="1">
        <v>43682</v>
      </c>
      <c r="C953">
        <v>0.86360000000000003</v>
      </c>
      <c r="F953" s="1">
        <v>43682</v>
      </c>
      <c r="G953">
        <v>91.44</v>
      </c>
      <c r="K953" s="1">
        <v>43802</v>
      </c>
      <c r="L953">
        <v>6.5781000000000001</v>
      </c>
      <c r="W953" s="1">
        <v>43803</v>
      </c>
      <c r="X953">
        <v>0.77180000000000004</v>
      </c>
    </row>
    <row r="954" spans="2:24" x14ac:dyDescent="0.3">
      <c r="B954" s="1">
        <v>43679</v>
      </c>
      <c r="C954">
        <v>0.86109999999999998</v>
      </c>
      <c r="F954" s="1">
        <v>43679</v>
      </c>
      <c r="G954">
        <v>91.18</v>
      </c>
      <c r="K954" s="1">
        <v>43801</v>
      </c>
      <c r="L954">
        <v>6.5648</v>
      </c>
      <c r="W954" s="1">
        <v>43802</v>
      </c>
      <c r="X954">
        <v>0.77959999999999996</v>
      </c>
    </row>
    <row r="955" spans="2:24" x14ac:dyDescent="0.3">
      <c r="B955" s="1">
        <v>43678</v>
      </c>
      <c r="C955">
        <v>0.87419999999999998</v>
      </c>
      <c r="F955" s="1">
        <v>43678</v>
      </c>
      <c r="G955">
        <v>92.57</v>
      </c>
      <c r="K955" s="1">
        <v>43798</v>
      </c>
      <c r="L955">
        <v>6.6512000000000002</v>
      </c>
      <c r="W955" s="1">
        <v>43801</v>
      </c>
      <c r="X955">
        <v>0.77810000000000001</v>
      </c>
    </row>
    <row r="956" spans="2:24" x14ac:dyDescent="0.3">
      <c r="B956" s="1">
        <v>43677</v>
      </c>
      <c r="C956">
        <v>0.90129999999999999</v>
      </c>
      <c r="F956" s="1">
        <v>43677</v>
      </c>
      <c r="G956">
        <v>95.44</v>
      </c>
      <c r="K956" s="1">
        <v>43797</v>
      </c>
      <c r="L956">
        <v>6.7110000000000003</v>
      </c>
      <c r="W956" s="1">
        <v>43798</v>
      </c>
      <c r="X956">
        <v>0.7883</v>
      </c>
    </row>
    <row r="957" spans="2:24" x14ac:dyDescent="0.3">
      <c r="B957" s="1">
        <v>43676</v>
      </c>
      <c r="C957">
        <v>0.91120000000000001</v>
      </c>
      <c r="F957" s="1">
        <v>43676</v>
      </c>
      <c r="G957">
        <v>96.48</v>
      </c>
      <c r="K957" s="1">
        <v>43796</v>
      </c>
      <c r="L957">
        <v>6.6444999999999999</v>
      </c>
      <c r="W957" s="1">
        <v>43797</v>
      </c>
      <c r="X957">
        <v>0.7954</v>
      </c>
    </row>
    <row r="958" spans="2:24" x14ac:dyDescent="0.3">
      <c r="B958" s="1">
        <v>43675</v>
      </c>
      <c r="C958">
        <v>0.9284</v>
      </c>
      <c r="F958" s="1">
        <v>43675</v>
      </c>
      <c r="G958">
        <v>98.31</v>
      </c>
      <c r="K958" s="1">
        <v>43795</v>
      </c>
      <c r="L958">
        <v>6.6711</v>
      </c>
      <c r="W958" s="1">
        <v>43796</v>
      </c>
      <c r="X958">
        <v>0.78749999999999998</v>
      </c>
    </row>
    <row r="959" spans="2:24" x14ac:dyDescent="0.3">
      <c r="B959" s="1">
        <v>43672</v>
      </c>
      <c r="C959">
        <v>0.89800000000000002</v>
      </c>
      <c r="F959" s="1">
        <v>43672</v>
      </c>
      <c r="G959">
        <v>95.09</v>
      </c>
      <c r="K959" s="1">
        <v>43794</v>
      </c>
      <c r="L959">
        <v>6.6909999999999998</v>
      </c>
      <c r="W959" s="1">
        <v>43795</v>
      </c>
      <c r="X959">
        <v>0.79069999999999996</v>
      </c>
    </row>
    <row r="960" spans="2:24" x14ac:dyDescent="0.3">
      <c r="B960" s="1">
        <v>43671</v>
      </c>
      <c r="C960">
        <v>0.89480000000000004</v>
      </c>
      <c r="F960" s="1">
        <v>43671</v>
      </c>
      <c r="G960">
        <v>94.74</v>
      </c>
      <c r="K960" s="1">
        <v>43791</v>
      </c>
      <c r="L960">
        <v>6.7309000000000001</v>
      </c>
      <c r="W960" s="1">
        <v>43794</v>
      </c>
      <c r="X960">
        <v>0.79300000000000004</v>
      </c>
    </row>
    <row r="961" spans="2:24" x14ac:dyDescent="0.3">
      <c r="B961" s="1">
        <v>43670</v>
      </c>
      <c r="C961">
        <v>0.85289999999999999</v>
      </c>
      <c r="F961" s="1">
        <v>43670</v>
      </c>
      <c r="G961">
        <v>90.31</v>
      </c>
      <c r="K961" s="1">
        <v>43790</v>
      </c>
      <c r="L961">
        <v>6.7442000000000002</v>
      </c>
      <c r="W961" s="1">
        <v>43791</v>
      </c>
      <c r="X961">
        <v>0.79779999999999995</v>
      </c>
    </row>
    <row r="962" spans="2:24" x14ac:dyDescent="0.3">
      <c r="B962" s="1">
        <v>43669</v>
      </c>
      <c r="C962">
        <v>0.83240000000000003</v>
      </c>
      <c r="F962" s="1">
        <v>43669</v>
      </c>
      <c r="G962">
        <v>88.14</v>
      </c>
      <c r="K962" s="1">
        <v>43789</v>
      </c>
      <c r="L962">
        <v>6.7907000000000002</v>
      </c>
      <c r="W962" s="1">
        <v>43790</v>
      </c>
      <c r="X962">
        <v>0.79930000000000001</v>
      </c>
    </row>
    <row r="963" spans="2:24" x14ac:dyDescent="0.3">
      <c r="B963" s="1">
        <v>43668</v>
      </c>
      <c r="C963">
        <v>0.82420000000000004</v>
      </c>
      <c r="F963" s="1">
        <v>43668</v>
      </c>
      <c r="G963">
        <v>87.27</v>
      </c>
      <c r="K963" s="1">
        <v>43788</v>
      </c>
      <c r="L963">
        <v>6.8771000000000004</v>
      </c>
      <c r="W963" s="1">
        <v>43789</v>
      </c>
      <c r="X963">
        <v>0.80479999999999996</v>
      </c>
    </row>
    <row r="964" spans="2:24" x14ac:dyDescent="0.3">
      <c r="B964" s="1">
        <v>43665</v>
      </c>
      <c r="C964">
        <v>0.83160000000000001</v>
      </c>
      <c r="F964" s="1">
        <v>43665</v>
      </c>
      <c r="G964">
        <v>88.05</v>
      </c>
      <c r="K964" s="1">
        <v>43787</v>
      </c>
      <c r="L964">
        <v>6.7641</v>
      </c>
      <c r="W964" s="1">
        <v>43788</v>
      </c>
      <c r="X964">
        <v>0.81510000000000005</v>
      </c>
    </row>
    <row r="965" spans="2:24" x14ac:dyDescent="0.3">
      <c r="B965" s="1">
        <v>43664</v>
      </c>
      <c r="C965">
        <v>0.80859999999999999</v>
      </c>
      <c r="F965" s="1">
        <v>43664</v>
      </c>
      <c r="G965">
        <v>85.62</v>
      </c>
      <c r="K965" s="1">
        <v>43784</v>
      </c>
      <c r="L965">
        <v>6.5781000000000001</v>
      </c>
      <c r="W965" s="1">
        <v>43787</v>
      </c>
      <c r="X965">
        <v>0.80169999999999997</v>
      </c>
    </row>
    <row r="966" spans="2:24" x14ac:dyDescent="0.3">
      <c r="B966" s="1">
        <v>43663</v>
      </c>
      <c r="C966">
        <v>0.79710000000000003</v>
      </c>
      <c r="F966" s="1">
        <v>43663</v>
      </c>
      <c r="G966">
        <v>84.4</v>
      </c>
      <c r="K966" s="1">
        <v>43783</v>
      </c>
      <c r="L966">
        <v>6.5781000000000001</v>
      </c>
      <c r="W966" s="1">
        <v>43784</v>
      </c>
      <c r="X966">
        <v>0.77959999999999996</v>
      </c>
    </row>
    <row r="967" spans="2:24" x14ac:dyDescent="0.3">
      <c r="B967" s="1">
        <v>43661</v>
      </c>
      <c r="C967">
        <v>0.77329999999999999</v>
      </c>
      <c r="F967" s="1">
        <v>43661</v>
      </c>
      <c r="G967">
        <v>81.88</v>
      </c>
      <c r="K967" s="1">
        <v>43782</v>
      </c>
      <c r="L967">
        <v>6.5514999999999999</v>
      </c>
      <c r="W967" s="1">
        <v>43783</v>
      </c>
      <c r="X967">
        <v>0.77959999999999996</v>
      </c>
    </row>
    <row r="968" spans="2:24" x14ac:dyDescent="0.3">
      <c r="B968" s="1">
        <v>43658</v>
      </c>
      <c r="C968">
        <v>0.77080000000000004</v>
      </c>
      <c r="F968" s="1">
        <v>43658</v>
      </c>
      <c r="G968">
        <v>81.62</v>
      </c>
      <c r="K968" s="1">
        <v>43777</v>
      </c>
      <c r="L968">
        <v>6.5648</v>
      </c>
      <c r="W968" s="1">
        <v>43782</v>
      </c>
      <c r="X968">
        <v>0.77649999999999997</v>
      </c>
    </row>
    <row r="969" spans="2:24" x14ac:dyDescent="0.3">
      <c r="B969" s="1">
        <v>43657</v>
      </c>
      <c r="C969">
        <v>0.77490000000000003</v>
      </c>
      <c r="F969" s="1">
        <v>43657</v>
      </c>
      <c r="G969">
        <v>82.05</v>
      </c>
      <c r="K969" s="1">
        <v>43776</v>
      </c>
      <c r="L969">
        <v>6.4584999999999999</v>
      </c>
      <c r="W969" s="1">
        <v>43777</v>
      </c>
      <c r="X969">
        <v>0.77810000000000001</v>
      </c>
    </row>
    <row r="970" spans="2:24" x14ac:dyDescent="0.3">
      <c r="B970" s="1">
        <v>43656</v>
      </c>
      <c r="C970">
        <v>0.7651</v>
      </c>
      <c r="F970" s="1">
        <v>43656</v>
      </c>
      <c r="G970">
        <v>81.010000000000005</v>
      </c>
      <c r="K970" s="1">
        <v>43775</v>
      </c>
      <c r="L970">
        <v>6.4783999999999997</v>
      </c>
      <c r="W970" s="1">
        <v>43776</v>
      </c>
      <c r="X970">
        <v>0.76549999999999996</v>
      </c>
    </row>
    <row r="971" spans="2:24" x14ac:dyDescent="0.3">
      <c r="B971" s="1">
        <v>43655</v>
      </c>
      <c r="C971">
        <v>0.77659999999999996</v>
      </c>
      <c r="F971" s="1">
        <v>43655</v>
      </c>
      <c r="G971">
        <v>82.23</v>
      </c>
      <c r="K971" s="1">
        <v>43774</v>
      </c>
      <c r="L971">
        <v>6.5049999999999999</v>
      </c>
      <c r="W971" s="1">
        <v>43775</v>
      </c>
      <c r="X971">
        <v>0.76780000000000004</v>
      </c>
    </row>
    <row r="972" spans="2:24" x14ac:dyDescent="0.3">
      <c r="B972" s="1">
        <v>43654</v>
      </c>
      <c r="C972">
        <v>0.78390000000000004</v>
      </c>
      <c r="F972" s="1">
        <v>43654</v>
      </c>
      <c r="G972">
        <v>83.01</v>
      </c>
      <c r="K972" s="1">
        <v>43773</v>
      </c>
      <c r="L972">
        <v>6.5713999999999997</v>
      </c>
      <c r="W972" s="1">
        <v>43774</v>
      </c>
      <c r="X972">
        <v>0.77100000000000002</v>
      </c>
    </row>
    <row r="973" spans="2:24" x14ac:dyDescent="0.3">
      <c r="B973" s="1">
        <v>43651</v>
      </c>
      <c r="C973">
        <v>0.7954</v>
      </c>
      <c r="F973" s="1">
        <v>43651</v>
      </c>
      <c r="G973">
        <v>84.23</v>
      </c>
      <c r="K973" s="1">
        <v>43770</v>
      </c>
      <c r="L973">
        <v>6.5115999999999996</v>
      </c>
      <c r="W973" s="1">
        <v>43773</v>
      </c>
      <c r="X973">
        <v>0.77890000000000004</v>
      </c>
    </row>
    <row r="974" spans="2:24" x14ac:dyDescent="0.3">
      <c r="B974" s="1">
        <v>43650</v>
      </c>
      <c r="C974">
        <v>0.78480000000000005</v>
      </c>
      <c r="F974" s="1">
        <v>43650</v>
      </c>
      <c r="G974">
        <v>83.1</v>
      </c>
      <c r="K974" s="1">
        <v>43769</v>
      </c>
      <c r="L974">
        <v>6.4385000000000003</v>
      </c>
      <c r="W974" s="1">
        <v>43770</v>
      </c>
      <c r="X974">
        <v>0.77180000000000004</v>
      </c>
    </row>
    <row r="975" spans="2:24" x14ac:dyDescent="0.3">
      <c r="B975" s="1">
        <v>43649</v>
      </c>
      <c r="C975">
        <v>0.77739999999999998</v>
      </c>
      <c r="F975" s="1">
        <v>43649</v>
      </c>
      <c r="G975">
        <v>82.31</v>
      </c>
      <c r="K975" s="1">
        <v>43768</v>
      </c>
      <c r="L975">
        <v>6.4451999999999998</v>
      </c>
      <c r="W975" s="1">
        <v>43769</v>
      </c>
      <c r="X975">
        <v>0.7631</v>
      </c>
    </row>
    <row r="976" spans="2:24" x14ac:dyDescent="0.3">
      <c r="B976" s="1">
        <v>43648</v>
      </c>
      <c r="C976">
        <v>0.77410000000000001</v>
      </c>
      <c r="F976" s="1">
        <v>43648</v>
      </c>
      <c r="G976">
        <v>81.97</v>
      </c>
      <c r="K976" s="1">
        <v>43767</v>
      </c>
      <c r="L976">
        <v>6.4983000000000004</v>
      </c>
      <c r="W976" s="1">
        <v>43768</v>
      </c>
      <c r="X976">
        <v>0.76390000000000002</v>
      </c>
    </row>
    <row r="977" spans="2:24" x14ac:dyDescent="0.3">
      <c r="B977" s="1">
        <v>43647</v>
      </c>
      <c r="C977">
        <v>0.76339999999999997</v>
      </c>
      <c r="F977" s="1">
        <v>43647</v>
      </c>
      <c r="G977">
        <v>80.84</v>
      </c>
      <c r="K977" s="1">
        <v>43766</v>
      </c>
      <c r="L977">
        <v>6.5115999999999996</v>
      </c>
      <c r="W977" s="1">
        <v>43767</v>
      </c>
      <c r="X977">
        <v>0.7702</v>
      </c>
    </row>
    <row r="978" spans="2:24" x14ac:dyDescent="0.3">
      <c r="B978" s="1">
        <v>43644</v>
      </c>
      <c r="C978">
        <v>0.75439999999999996</v>
      </c>
      <c r="F978" s="1">
        <v>43644</v>
      </c>
      <c r="G978">
        <v>79.88</v>
      </c>
      <c r="K978" s="1">
        <v>43763</v>
      </c>
      <c r="L978">
        <v>6.5449000000000002</v>
      </c>
      <c r="W978" s="1">
        <v>43766</v>
      </c>
      <c r="X978">
        <v>0.77180000000000004</v>
      </c>
    </row>
    <row r="979" spans="2:24" x14ac:dyDescent="0.3">
      <c r="B979" s="1">
        <v>43643</v>
      </c>
      <c r="C979">
        <v>0.78600000000000003</v>
      </c>
      <c r="F979" s="1">
        <v>43643</v>
      </c>
      <c r="G979">
        <v>79.97</v>
      </c>
      <c r="K979" s="1">
        <v>43762</v>
      </c>
      <c r="L979">
        <v>6.5183</v>
      </c>
      <c r="W979" s="1">
        <v>43763</v>
      </c>
      <c r="X979">
        <v>0.77569999999999995</v>
      </c>
    </row>
    <row r="980" spans="2:24" x14ac:dyDescent="0.3">
      <c r="B980" s="1">
        <v>43642</v>
      </c>
      <c r="C980">
        <v>0.78180000000000005</v>
      </c>
      <c r="F980" s="1">
        <v>43642</v>
      </c>
      <c r="G980">
        <v>79.53</v>
      </c>
      <c r="K980" s="1">
        <v>43761</v>
      </c>
      <c r="L980">
        <v>6.5781000000000001</v>
      </c>
      <c r="W980" s="1">
        <v>43762</v>
      </c>
      <c r="X980">
        <v>0.77259999999999995</v>
      </c>
    </row>
    <row r="981" spans="2:24" x14ac:dyDescent="0.3">
      <c r="B981" s="1">
        <v>43641</v>
      </c>
      <c r="C981">
        <v>0.78090000000000004</v>
      </c>
      <c r="F981" s="1">
        <v>43641</v>
      </c>
      <c r="G981">
        <v>79.45</v>
      </c>
      <c r="K981" s="1">
        <v>43760</v>
      </c>
      <c r="L981">
        <v>6.5781000000000001</v>
      </c>
      <c r="W981" s="1">
        <v>43761</v>
      </c>
      <c r="X981">
        <v>0.77959999999999996</v>
      </c>
    </row>
    <row r="982" spans="2:24" x14ac:dyDescent="0.3">
      <c r="B982" s="1">
        <v>43640</v>
      </c>
      <c r="C982">
        <v>0.78600000000000003</v>
      </c>
      <c r="F982" s="1">
        <v>43640</v>
      </c>
      <c r="G982">
        <v>79.97</v>
      </c>
      <c r="K982" s="1">
        <v>43759</v>
      </c>
      <c r="L982">
        <v>6.5781000000000001</v>
      </c>
      <c r="W982" s="1">
        <v>43760</v>
      </c>
      <c r="X982">
        <v>0.77959999999999996</v>
      </c>
    </row>
    <row r="983" spans="2:24" x14ac:dyDescent="0.3">
      <c r="B983" s="1">
        <v>43637</v>
      </c>
      <c r="C983">
        <v>0.79120000000000001</v>
      </c>
      <c r="F983" s="1">
        <v>43637</v>
      </c>
      <c r="G983">
        <v>80.489999999999995</v>
      </c>
      <c r="K983" s="1">
        <v>43756</v>
      </c>
      <c r="L983">
        <v>6.5713999999999997</v>
      </c>
      <c r="W983" s="1">
        <v>43759</v>
      </c>
      <c r="X983">
        <v>0.77959999999999996</v>
      </c>
    </row>
    <row r="984" spans="2:24" x14ac:dyDescent="0.3">
      <c r="B984" s="1">
        <v>43636</v>
      </c>
      <c r="C984">
        <v>0.79890000000000005</v>
      </c>
      <c r="F984" s="1">
        <v>43636</v>
      </c>
      <c r="G984">
        <v>81.27</v>
      </c>
      <c r="K984" s="1">
        <v>43755</v>
      </c>
      <c r="L984">
        <v>6.5648</v>
      </c>
      <c r="W984" s="1">
        <v>43756</v>
      </c>
      <c r="X984">
        <v>0.77890000000000004</v>
      </c>
    </row>
    <row r="985" spans="2:24" x14ac:dyDescent="0.3">
      <c r="B985" s="1">
        <v>43635</v>
      </c>
      <c r="C985">
        <v>0.79969999999999997</v>
      </c>
      <c r="F985" s="1">
        <v>43635</v>
      </c>
      <c r="G985">
        <v>81.36</v>
      </c>
      <c r="K985" s="1">
        <v>43754</v>
      </c>
      <c r="L985">
        <v>6.5115999999999996</v>
      </c>
      <c r="W985" s="1">
        <v>43755</v>
      </c>
      <c r="X985">
        <v>0.77810000000000001</v>
      </c>
    </row>
    <row r="986" spans="2:24" x14ac:dyDescent="0.3">
      <c r="B986" s="1">
        <v>43634</v>
      </c>
      <c r="C986">
        <v>0.80310000000000004</v>
      </c>
      <c r="F986" s="1">
        <v>43634</v>
      </c>
      <c r="G986">
        <v>81.709999999999994</v>
      </c>
      <c r="K986" s="1">
        <v>43753</v>
      </c>
      <c r="L986">
        <v>6.5115999999999996</v>
      </c>
      <c r="W986" s="1">
        <v>43754</v>
      </c>
      <c r="X986">
        <v>0.77180000000000004</v>
      </c>
    </row>
    <row r="987" spans="2:24" x14ac:dyDescent="0.3">
      <c r="B987" s="1">
        <v>43633</v>
      </c>
      <c r="C987">
        <v>0.79890000000000005</v>
      </c>
      <c r="F987" s="1">
        <v>43633</v>
      </c>
      <c r="G987">
        <v>81.27</v>
      </c>
      <c r="K987" s="1">
        <v>43752</v>
      </c>
      <c r="L987">
        <v>6.5781000000000001</v>
      </c>
      <c r="W987" s="1">
        <v>43753</v>
      </c>
      <c r="X987">
        <v>0.77180000000000004</v>
      </c>
    </row>
    <row r="988" spans="2:24" x14ac:dyDescent="0.3">
      <c r="B988" s="1">
        <v>43630</v>
      </c>
      <c r="C988">
        <v>0.7954</v>
      </c>
      <c r="F988" s="1">
        <v>43630</v>
      </c>
      <c r="G988">
        <v>80.92</v>
      </c>
      <c r="K988" s="1">
        <v>43749</v>
      </c>
      <c r="L988">
        <v>6.5781000000000001</v>
      </c>
      <c r="W988" s="1">
        <v>43752</v>
      </c>
      <c r="X988">
        <v>0.77959999999999996</v>
      </c>
    </row>
    <row r="989" spans="2:24" x14ac:dyDescent="0.3">
      <c r="B989" s="1">
        <v>43629</v>
      </c>
      <c r="C989">
        <v>0.79710000000000003</v>
      </c>
      <c r="F989" s="1">
        <v>43629</v>
      </c>
      <c r="G989">
        <v>81.099999999999994</v>
      </c>
      <c r="K989" s="1">
        <v>43748</v>
      </c>
      <c r="L989">
        <v>6.5846999999999998</v>
      </c>
      <c r="W989" s="1">
        <v>43749</v>
      </c>
      <c r="X989">
        <v>0.77959999999999996</v>
      </c>
    </row>
    <row r="990" spans="2:24" x14ac:dyDescent="0.3">
      <c r="B990" s="1">
        <v>43628</v>
      </c>
      <c r="C990">
        <v>0.80910000000000004</v>
      </c>
      <c r="F990" s="1">
        <v>43628</v>
      </c>
      <c r="G990">
        <v>82.31</v>
      </c>
      <c r="K990" s="1">
        <v>43747</v>
      </c>
      <c r="L990">
        <v>6.5781000000000001</v>
      </c>
      <c r="W990" s="1">
        <v>43748</v>
      </c>
      <c r="X990">
        <v>0.78039999999999998</v>
      </c>
    </row>
    <row r="991" spans="2:24" x14ac:dyDescent="0.3">
      <c r="B991" s="1">
        <v>43627</v>
      </c>
      <c r="C991">
        <v>0.8014</v>
      </c>
      <c r="F991" s="1">
        <v>43627</v>
      </c>
      <c r="G991">
        <v>81.53</v>
      </c>
      <c r="K991" s="1">
        <v>43746</v>
      </c>
      <c r="L991">
        <v>6.6379000000000001</v>
      </c>
      <c r="W991" s="1">
        <v>43747</v>
      </c>
      <c r="X991">
        <v>0.77959999999999996</v>
      </c>
    </row>
    <row r="992" spans="2:24" x14ac:dyDescent="0.3">
      <c r="B992" s="1">
        <v>43626</v>
      </c>
      <c r="C992">
        <v>0.78769999999999996</v>
      </c>
      <c r="F992" s="1">
        <v>43626</v>
      </c>
      <c r="G992">
        <v>80.14</v>
      </c>
      <c r="K992" s="1">
        <v>43745</v>
      </c>
      <c r="L992">
        <v>6.5781000000000001</v>
      </c>
      <c r="W992" s="1">
        <v>43746</v>
      </c>
      <c r="X992">
        <v>0.78669999999999995</v>
      </c>
    </row>
    <row r="993" spans="2:24" x14ac:dyDescent="0.3">
      <c r="B993" s="1">
        <v>43623</v>
      </c>
      <c r="C993">
        <v>0.78180000000000005</v>
      </c>
      <c r="F993" s="1">
        <v>43623</v>
      </c>
      <c r="G993">
        <v>79.53</v>
      </c>
      <c r="K993" s="1">
        <v>43742</v>
      </c>
      <c r="L993">
        <v>6.5846999999999998</v>
      </c>
      <c r="W993" s="1">
        <v>43745</v>
      </c>
      <c r="X993">
        <v>0.77959999999999996</v>
      </c>
    </row>
    <row r="994" spans="2:24" x14ac:dyDescent="0.3">
      <c r="B994" s="1">
        <v>43622</v>
      </c>
      <c r="C994">
        <v>0.76890000000000003</v>
      </c>
      <c r="F994" s="1">
        <v>43622</v>
      </c>
      <c r="G994">
        <v>78.23</v>
      </c>
      <c r="K994" s="1">
        <v>43741</v>
      </c>
      <c r="L994">
        <v>6.5381999999999998</v>
      </c>
      <c r="W994" s="1">
        <v>43742</v>
      </c>
      <c r="X994">
        <v>0.78039999999999998</v>
      </c>
    </row>
    <row r="995" spans="2:24" x14ac:dyDescent="0.3">
      <c r="B995" s="1">
        <v>43620</v>
      </c>
      <c r="C995">
        <v>0.76890000000000003</v>
      </c>
      <c r="F995" s="1">
        <v>43620</v>
      </c>
      <c r="G995">
        <v>78.23</v>
      </c>
      <c r="K995" s="1">
        <v>43740</v>
      </c>
      <c r="L995">
        <v>6.5115999999999996</v>
      </c>
      <c r="W995" s="1">
        <v>43741</v>
      </c>
      <c r="X995">
        <v>0.77490000000000003</v>
      </c>
    </row>
    <row r="996" spans="2:24" x14ac:dyDescent="0.3">
      <c r="B996" s="1">
        <v>43619</v>
      </c>
      <c r="C996">
        <v>0.77749999999999997</v>
      </c>
      <c r="F996" s="1">
        <v>43619</v>
      </c>
      <c r="G996">
        <v>79.099999999999994</v>
      </c>
      <c r="K996" s="1">
        <v>43739</v>
      </c>
      <c r="L996">
        <v>6.5115999999999996</v>
      </c>
      <c r="W996" s="1">
        <v>43740</v>
      </c>
      <c r="X996">
        <v>0.77180000000000004</v>
      </c>
    </row>
    <row r="997" spans="2:24" x14ac:dyDescent="0.3">
      <c r="B997" s="1">
        <v>43616</v>
      </c>
      <c r="C997">
        <v>0.78259999999999996</v>
      </c>
      <c r="F997" s="1">
        <v>43616</v>
      </c>
      <c r="G997">
        <v>79.62</v>
      </c>
      <c r="K997" s="1">
        <v>43738</v>
      </c>
      <c r="L997">
        <v>6.5183</v>
      </c>
      <c r="W997" s="1">
        <v>43739</v>
      </c>
      <c r="X997">
        <v>0.77180000000000004</v>
      </c>
    </row>
    <row r="998" spans="2:24" x14ac:dyDescent="0.3">
      <c r="B998" s="1">
        <v>43615</v>
      </c>
      <c r="C998">
        <v>0.78949999999999998</v>
      </c>
      <c r="F998" s="1">
        <v>43615</v>
      </c>
      <c r="G998">
        <v>80.319999999999993</v>
      </c>
      <c r="K998" s="1">
        <v>43735</v>
      </c>
      <c r="L998">
        <v>6.9494999999999996</v>
      </c>
      <c r="W998" s="1">
        <v>43738</v>
      </c>
      <c r="X998">
        <v>0.77259999999999995</v>
      </c>
    </row>
    <row r="999" spans="2:24" x14ac:dyDescent="0.3">
      <c r="B999" s="1">
        <v>43614</v>
      </c>
      <c r="C999">
        <v>0.78690000000000004</v>
      </c>
      <c r="F999" s="1">
        <v>43614</v>
      </c>
      <c r="G999">
        <v>80.05</v>
      </c>
      <c r="K999" s="1">
        <v>43734</v>
      </c>
      <c r="L999">
        <v>6.9424000000000001</v>
      </c>
      <c r="W999" s="1">
        <v>43735</v>
      </c>
      <c r="X999">
        <v>0.81269999999999998</v>
      </c>
    </row>
    <row r="1000" spans="2:24" x14ac:dyDescent="0.3">
      <c r="B1000" s="1">
        <v>43613</v>
      </c>
      <c r="C1000">
        <v>0.78520000000000001</v>
      </c>
      <c r="F1000" s="1">
        <v>43613</v>
      </c>
      <c r="G1000">
        <v>79.88</v>
      </c>
      <c r="K1000" s="1">
        <v>43733</v>
      </c>
      <c r="L1000">
        <v>6.8792999999999997</v>
      </c>
      <c r="W1000" s="1">
        <v>43734</v>
      </c>
      <c r="X1000">
        <v>0.81189999999999996</v>
      </c>
    </row>
    <row r="1001" spans="2:24" x14ac:dyDescent="0.3">
      <c r="B1001" s="1">
        <v>43612</v>
      </c>
      <c r="C1001">
        <v>0.7732</v>
      </c>
      <c r="F1001" s="1">
        <v>43612</v>
      </c>
      <c r="G1001">
        <v>78.66</v>
      </c>
      <c r="K1001" s="1">
        <v>43732</v>
      </c>
      <c r="L1001">
        <v>6.8863000000000003</v>
      </c>
      <c r="W1001" s="1">
        <v>43733</v>
      </c>
      <c r="X1001">
        <v>0.80449999999999999</v>
      </c>
    </row>
    <row r="1002" spans="2:24" x14ac:dyDescent="0.3">
      <c r="B1002" s="1">
        <v>43609</v>
      </c>
      <c r="C1002">
        <v>0.76980000000000004</v>
      </c>
      <c r="F1002" s="1">
        <v>43609</v>
      </c>
      <c r="G1002">
        <v>78.319999999999993</v>
      </c>
      <c r="K1002" s="1">
        <v>43731</v>
      </c>
      <c r="L1002">
        <v>6.9775</v>
      </c>
      <c r="W1002" s="1">
        <v>43732</v>
      </c>
      <c r="X1002">
        <v>0.80530000000000002</v>
      </c>
    </row>
    <row r="1003" spans="2:24" x14ac:dyDescent="0.3">
      <c r="B1003" s="1">
        <v>43608</v>
      </c>
      <c r="C1003">
        <v>0.7732</v>
      </c>
      <c r="F1003" s="1">
        <v>43608</v>
      </c>
      <c r="G1003">
        <v>78.66</v>
      </c>
      <c r="K1003" s="1">
        <v>43728</v>
      </c>
      <c r="L1003">
        <v>7.0197000000000003</v>
      </c>
      <c r="W1003" s="1">
        <v>43731</v>
      </c>
      <c r="X1003">
        <v>0.81599999999999995</v>
      </c>
    </row>
    <row r="1004" spans="2:24" x14ac:dyDescent="0.3">
      <c r="B1004" s="1">
        <v>43607</v>
      </c>
      <c r="C1004">
        <v>0.76890000000000003</v>
      </c>
      <c r="F1004" s="1">
        <v>43607</v>
      </c>
      <c r="G1004">
        <v>78.23</v>
      </c>
      <c r="K1004" s="1">
        <v>43727</v>
      </c>
      <c r="L1004">
        <v>7.0197000000000003</v>
      </c>
      <c r="W1004" s="1">
        <v>43728</v>
      </c>
      <c r="X1004">
        <v>0.82089999999999996</v>
      </c>
    </row>
    <row r="1005" spans="2:24" x14ac:dyDescent="0.3">
      <c r="B1005" s="1">
        <v>43606</v>
      </c>
      <c r="C1005">
        <v>0.76890000000000003</v>
      </c>
      <c r="F1005" s="1">
        <v>43606</v>
      </c>
      <c r="G1005">
        <v>78.23</v>
      </c>
      <c r="K1005" s="1">
        <v>43726</v>
      </c>
      <c r="L1005">
        <v>7.1529999999999996</v>
      </c>
      <c r="W1005" s="1">
        <v>43727</v>
      </c>
      <c r="X1005">
        <v>0.82089999999999996</v>
      </c>
    </row>
    <row r="1006" spans="2:24" x14ac:dyDescent="0.3">
      <c r="B1006" s="1">
        <v>43602</v>
      </c>
      <c r="C1006">
        <v>0.76039999999999996</v>
      </c>
      <c r="F1006" s="1">
        <v>43602</v>
      </c>
      <c r="G1006">
        <v>77.36</v>
      </c>
      <c r="K1006" s="1">
        <v>43725</v>
      </c>
      <c r="L1006">
        <v>7.16</v>
      </c>
      <c r="W1006" s="1">
        <v>43726</v>
      </c>
      <c r="X1006">
        <v>0.83650000000000002</v>
      </c>
    </row>
    <row r="1007" spans="2:24" x14ac:dyDescent="0.3">
      <c r="B1007" s="1">
        <v>43601</v>
      </c>
      <c r="C1007">
        <v>0.75960000000000005</v>
      </c>
      <c r="F1007" s="1">
        <v>43601</v>
      </c>
      <c r="G1007">
        <v>77.27</v>
      </c>
      <c r="K1007" s="1">
        <v>43724</v>
      </c>
      <c r="L1007">
        <v>7.2302</v>
      </c>
      <c r="W1007" s="1">
        <v>43725</v>
      </c>
      <c r="X1007">
        <v>0.83730000000000004</v>
      </c>
    </row>
    <row r="1008" spans="2:24" x14ac:dyDescent="0.3">
      <c r="B1008" s="1">
        <v>43600</v>
      </c>
      <c r="C1008">
        <v>0.76470000000000005</v>
      </c>
      <c r="F1008" s="1">
        <v>43600</v>
      </c>
      <c r="G1008">
        <v>77.790000000000006</v>
      </c>
      <c r="K1008" s="1">
        <v>43720</v>
      </c>
      <c r="L1008">
        <v>7.2652999999999999</v>
      </c>
      <c r="W1008" s="1">
        <v>43724</v>
      </c>
      <c r="X1008">
        <v>0.84550000000000003</v>
      </c>
    </row>
    <row r="1009" spans="2:24" x14ac:dyDescent="0.3">
      <c r="B1009" s="1">
        <v>43599</v>
      </c>
      <c r="C1009">
        <v>0.7681</v>
      </c>
      <c r="F1009" s="1">
        <v>43599</v>
      </c>
      <c r="G1009">
        <v>78.14</v>
      </c>
      <c r="K1009" s="1">
        <v>43719</v>
      </c>
      <c r="L1009">
        <v>7.1951000000000001</v>
      </c>
      <c r="W1009" s="1">
        <v>43720</v>
      </c>
      <c r="X1009">
        <v>0.84960000000000002</v>
      </c>
    </row>
    <row r="1010" spans="2:24" x14ac:dyDescent="0.3">
      <c r="B1010" s="1">
        <v>43598</v>
      </c>
      <c r="C1010">
        <v>0.76890000000000003</v>
      </c>
      <c r="F1010" s="1">
        <v>43598</v>
      </c>
      <c r="G1010">
        <v>78.23</v>
      </c>
      <c r="K1010" s="1">
        <v>43718</v>
      </c>
      <c r="L1010">
        <v>7.1810999999999998</v>
      </c>
      <c r="W1010" s="1">
        <v>43719</v>
      </c>
      <c r="X1010">
        <v>0.84140000000000004</v>
      </c>
    </row>
    <row r="1011" spans="2:24" x14ac:dyDescent="0.3">
      <c r="B1011" s="1">
        <v>43595</v>
      </c>
      <c r="C1011">
        <v>0.76890000000000003</v>
      </c>
      <c r="F1011" s="1">
        <v>43595</v>
      </c>
      <c r="G1011">
        <v>78.23</v>
      </c>
      <c r="K1011" s="1">
        <v>43717</v>
      </c>
      <c r="L1011">
        <v>7.2022000000000004</v>
      </c>
      <c r="W1011" s="1">
        <v>43718</v>
      </c>
      <c r="X1011">
        <v>0.83979999999999999</v>
      </c>
    </row>
    <row r="1012" spans="2:24" x14ac:dyDescent="0.3">
      <c r="B1012" s="1">
        <v>43594</v>
      </c>
      <c r="C1012">
        <v>0.76890000000000003</v>
      </c>
      <c r="F1012" s="1">
        <v>43594</v>
      </c>
      <c r="G1012">
        <v>78.23</v>
      </c>
      <c r="K1012" s="1">
        <v>43714</v>
      </c>
      <c r="L1012">
        <v>7.2793999999999999</v>
      </c>
      <c r="W1012" s="1">
        <v>43717</v>
      </c>
      <c r="X1012">
        <v>0.84219999999999995</v>
      </c>
    </row>
    <row r="1013" spans="2:24" x14ac:dyDescent="0.3">
      <c r="B1013" s="1">
        <v>43593</v>
      </c>
      <c r="C1013">
        <v>0.77580000000000005</v>
      </c>
      <c r="F1013" s="1">
        <v>43593</v>
      </c>
      <c r="G1013">
        <v>78.92</v>
      </c>
      <c r="K1013" s="1">
        <v>43713</v>
      </c>
      <c r="L1013">
        <v>7.4408000000000003</v>
      </c>
      <c r="W1013" s="1">
        <v>43714</v>
      </c>
      <c r="X1013">
        <v>0.85129999999999995</v>
      </c>
    </row>
    <row r="1014" spans="2:24" x14ac:dyDescent="0.3">
      <c r="B1014" s="1">
        <v>43592</v>
      </c>
      <c r="C1014">
        <v>0.78180000000000005</v>
      </c>
      <c r="F1014" s="1">
        <v>43592</v>
      </c>
      <c r="G1014">
        <v>79.53</v>
      </c>
      <c r="K1014" s="1">
        <v>43712</v>
      </c>
      <c r="L1014">
        <v>7.4759000000000002</v>
      </c>
      <c r="W1014" s="1">
        <v>43713</v>
      </c>
      <c r="X1014">
        <v>0.87009999999999998</v>
      </c>
    </row>
    <row r="1015" spans="2:24" x14ac:dyDescent="0.3">
      <c r="B1015" s="1">
        <v>43591</v>
      </c>
      <c r="C1015">
        <v>0.78520000000000001</v>
      </c>
      <c r="F1015" s="1">
        <v>43591</v>
      </c>
      <c r="G1015">
        <v>79.88</v>
      </c>
      <c r="K1015" s="1">
        <v>43711</v>
      </c>
      <c r="L1015">
        <v>7.5110000000000001</v>
      </c>
      <c r="W1015" s="1">
        <v>43712</v>
      </c>
      <c r="X1015">
        <v>0.87419999999999998</v>
      </c>
    </row>
    <row r="1016" spans="2:24" x14ac:dyDescent="0.3">
      <c r="B1016" s="1">
        <v>43588</v>
      </c>
      <c r="C1016">
        <v>0.79120000000000001</v>
      </c>
      <c r="F1016" s="1">
        <v>43588</v>
      </c>
      <c r="G1016">
        <v>80.489999999999995</v>
      </c>
      <c r="K1016" s="1">
        <v>43710</v>
      </c>
      <c r="L1016">
        <v>7.5530999999999997</v>
      </c>
      <c r="W1016" s="1">
        <v>43711</v>
      </c>
      <c r="X1016">
        <v>0.87829999999999997</v>
      </c>
    </row>
    <row r="1017" spans="2:24" x14ac:dyDescent="0.3">
      <c r="B1017" s="1">
        <v>43587</v>
      </c>
      <c r="C1017">
        <v>0.78259999999999996</v>
      </c>
      <c r="F1017" s="1">
        <v>43587</v>
      </c>
      <c r="G1017">
        <v>79.62</v>
      </c>
      <c r="K1017" s="1">
        <v>43707</v>
      </c>
      <c r="L1017">
        <v>7.5602</v>
      </c>
      <c r="W1017" s="1">
        <v>43710</v>
      </c>
      <c r="X1017">
        <v>0.88329999999999997</v>
      </c>
    </row>
    <row r="1018" spans="2:24" x14ac:dyDescent="0.3">
      <c r="B1018" s="1">
        <v>43585</v>
      </c>
      <c r="C1018">
        <v>0.78600000000000003</v>
      </c>
      <c r="F1018" s="1">
        <v>43585</v>
      </c>
      <c r="G1018">
        <v>79.97</v>
      </c>
      <c r="K1018" s="1">
        <v>43706</v>
      </c>
      <c r="L1018">
        <v>7.5811999999999999</v>
      </c>
      <c r="W1018" s="1">
        <v>43707</v>
      </c>
      <c r="X1018">
        <v>0.8841</v>
      </c>
    </row>
    <row r="1019" spans="2:24" x14ac:dyDescent="0.3">
      <c r="B1019" s="1">
        <v>43584</v>
      </c>
      <c r="C1019">
        <v>0.78090000000000004</v>
      </c>
      <c r="F1019" s="1">
        <v>43584</v>
      </c>
      <c r="G1019">
        <v>79.45</v>
      </c>
      <c r="K1019" s="1">
        <v>43705</v>
      </c>
      <c r="L1019">
        <v>7.5110000000000001</v>
      </c>
      <c r="W1019" s="1">
        <v>43706</v>
      </c>
      <c r="X1019">
        <v>0.88660000000000005</v>
      </c>
    </row>
    <row r="1020" spans="2:24" x14ac:dyDescent="0.3">
      <c r="B1020" s="1">
        <v>43581</v>
      </c>
      <c r="C1020">
        <v>0.78520000000000001</v>
      </c>
      <c r="F1020" s="1">
        <v>43581</v>
      </c>
      <c r="G1020">
        <v>79.88</v>
      </c>
      <c r="K1020" s="1">
        <v>43704</v>
      </c>
      <c r="L1020">
        <v>7.5110000000000001</v>
      </c>
      <c r="W1020" s="1">
        <v>43705</v>
      </c>
      <c r="X1020">
        <v>0.87829999999999997</v>
      </c>
    </row>
    <row r="1021" spans="2:24" x14ac:dyDescent="0.3">
      <c r="B1021" s="1">
        <v>43580</v>
      </c>
      <c r="C1021">
        <v>0.79369999999999996</v>
      </c>
      <c r="F1021" s="1">
        <v>43580</v>
      </c>
      <c r="G1021">
        <v>80.75</v>
      </c>
      <c r="K1021" s="1">
        <v>43703</v>
      </c>
      <c r="L1021">
        <v>7.4408000000000003</v>
      </c>
      <c r="W1021" s="1">
        <v>43704</v>
      </c>
      <c r="X1021">
        <v>0.87829999999999997</v>
      </c>
    </row>
    <row r="1022" spans="2:24" x14ac:dyDescent="0.3">
      <c r="B1022" s="1">
        <v>43579</v>
      </c>
      <c r="C1022">
        <v>0.79459999999999997</v>
      </c>
      <c r="F1022" s="1">
        <v>43579</v>
      </c>
      <c r="G1022">
        <v>80.84</v>
      </c>
      <c r="K1022" s="1">
        <v>43700</v>
      </c>
      <c r="L1022">
        <v>7.4408000000000003</v>
      </c>
      <c r="W1022" s="1">
        <v>43703</v>
      </c>
      <c r="X1022">
        <v>0.87009999999999998</v>
      </c>
    </row>
    <row r="1023" spans="2:24" x14ac:dyDescent="0.3">
      <c r="B1023" s="1">
        <v>43578</v>
      </c>
      <c r="C1023">
        <v>0.79290000000000005</v>
      </c>
      <c r="F1023" s="1">
        <v>43578</v>
      </c>
      <c r="G1023">
        <v>80.66</v>
      </c>
      <c r="K1023" s="1">
        <v>43699</v>
      </c>
      <c r="L1023">
        <v>7.4268000000000001</v>
      </c>
      <c r="W1023" s="1">
        <v>43700</v>
      </c>
      <c r="X1023">
        <v>0.87009999999999998</v>
      </c>
    </row>
    <row r="1024" spans="2:24" x14ac:dyDescent="0.3">
      <c r="B1024" s="1">
        <v>43573</v>
      </c>
      <c r="C1024">
        <v>0.81940000000000002</v>
      </c>
      <c r="F1024" s="1">
        <v>43573</v>
      </c>
      <c r="G1024">
        <v>83.36</v>
      </c>
      <c r="K1024" s="1">
        <v>43698</v>
      </c>
      <c r="L1024">
        <v>7.5110000000000001</v>
      </c>
      <c r="W1024" s="1">
        <v>43699</v>
      </c>
      <c r="X1024">
        <v>0.86850000000000005</v>
      </c>
    </row>
    <row r="1025" spans="2:24" x14ac:dyDescent="0.3">
      <c r="B1025" s="1">
        <v>43572</v>
      </c>
      <c r="C1025">
        <v>0.82879999999999998</v>
      </c>
      <c r="F1025" s="1">
        <v>43572</v>
      </c>
      <c r="G1025">
        <v>84.31</v>
      </c>
      <c r="K1025" s="1">
        <v>43697</v>
      </c>
      <c r="L1025">
        <v>7.4478999999999997</v>
      </c>
      <c r="W1025" s="1">
        <v>43698</v>
      </c>
      <c r="X1025">
        <v>0.87829999999999997</v>
      </c>
    </row>
    <row r="1026" spans="2:24" x14ac:dyDescent="0.3">
      <c r="B1026" s="1">
        <v>43571</v>
      </c>
      <c r="C1026">
        <v>0.82879999999999998</v>
      </c>
      <c r="F1026" s="1">
        <v>43571</v>
      </c>
      <c r="G1026">
        <v>84.31</v>
      </c>
      <c r="K1026" s="1">
        <v>43696</v>
      </c>
      <c r="L1026">
        <v>7.3776999999999999</v>
      </c>
      <c r="W1026" s="1">
        <v>43697</v>
      </c>
      <c r="X1026">
        <v>0.871</v>
      </c>
    </row>
    <row r="1027" spans="2:24" x14ac:dyDescent="0.3">
      <c r="B1027" s="1">
        <v>43567</v>
      </c>
      <c r="C1027">
        <v>0.8347</v>
      </c>
      <c r="F1027" s="1">
        <v>43567</v>
      </c>
      <c r="G1027">
        <v>84.92</v>
      </c>
      <c r="K1027" s="1">
        <v>43693</v>
      </c>
      <c r="L1027">
        <v>7.4408000000000003</v>
      </c>
      <c r="W1027" s="1">
        <v>43696</v>
      </c>
      <c r="X1027">
        <v>0.86270000000000002</v>
      </c>
    </row>
    <row r="1028" spans="2:24" x14ac:dyDescent="0.3">
      <c r="B1028" s="1">
        <v>43566</v>
      </c>
      <c r="C1028">
        <v>0.83730000000000004</v>
      </c>
      <c r="F1028" s="1">
        <v>43566</v>
      </c>
      <c r="G1028">
        <v>85.18</v>
      </c>
      <c r="K1028" s="1">
        <v>43692</v>
      </c>
      <c r="L1028">
        <v>7.4408000000000003</v>
      </c>
      <c r="W1028" s="1">
        <v>43693</v>
      </c>
      <c r="X1028">
        <v>0.87009999999999998</v>
      </c>
    </row>
    <row r="1029" spans="2:24" x14ac:dyDescent="0.3">
      <c r="B1029" s="1">
        <v>43565</v>
      </c>
      <c r="C1029">
        <v>0.8407</v>
      </c>
      <c r="F1029" s="1">
        <v>43565</v>
      </c>
      <c r="G1029">
        <v>85.53</v>
      </c>
      <c r="K1029" s="1">
        <v>43690</v>
      </c>
      <c r="L1029">
        <v>7.6584000000000003</v>
      </c>
      <c r="W1029" s="1">
        <v>43692</v>
      </c>
      <c r="X1029">
        <v>0.87009999999999998</v>
      </c>
    </row>
    <row r="1030" spans="2:24" x14ac:dyDescent="0.3">
      <c r="B1030" s="1">
        <v>43564</v>
      </c>
      <c r="C1030">
        <v>0.84499999999999997</v>
      </c>
      <c r="F1030" s="1">
        <v>43564</v>
      </c>
      <c r="G1030">
        <v>85.96</v>
      </c>
      <c r="K1030" s="1">
        <v>43686</v>
      </c>
      <c r="L1030">
        <v>7.5742000000000003</v>
      </c>
      <c r="W1030" s="1">
        <v>43690</v>
      </c>
      <c r="X1030">
        <v>0.89559999999999995</v>
      </c>
    </row>
    <row r="1031" spans="2:24" x14ac:dyDescent="0.3">
      <c r="B1031" s="1">
        <v>43563</v>
      </c>
      <c r="C1031">
        <v>0.85270000000000001</v>
      </c>
      <c r="F1031" s="1">
        <v>43563</v>
      </c>
      <c r="G1031">
        <v>86.75</v>
      </c>
      <c r="K1031" s="1">
        <v>43685</v>
      </c>
      <c r="L1031">
        <v>7.3776999999999999</v>
      </c>
      <c r="W1031" s="1">
        <v>43686</v>
      </c>
      <c r="X1031">
        <v>0.88570000000000004</v>
      </c>
    </row>
    <row r="1032" spans="2:24" x14ac:dyDescent="0.3">
      <c r="B1032" s="1">
        <v>43560</v>
      </c>
      <c r="C1032">
        <v>0.85440000000000005</v>
      </c>
      <c r="F1032" s="1">
        <v>43560</v>
      </c>
      <c r="G1032">
        <v>86.92</v>
      </c>
      <c r="K1032" s="1">
        <v>43684</v>
      </c>
      <c r="L1032">
        <v>7.5110000000000001</v>
      </c>
      <c r="W1032" s="1">
        <v>43685</v>
      </c>
      <c r="X1032">
        <v>0.86270000000000002</v>
      </c>
    </row>
    <row r="1033" spans="2:24" x14ac:dyDescent="0.3">
      <c r="B1033" s="1">
        <v>43559</v>
      </c>
      <c r="C1033">
        <v>0.85440000000000005</v>
      </c>
      <c r="F1033" s="1">
        <v>43559</v>
      </c>
      <c r="G1033">
        <v>86.92</v>
      </c>
      <c r="K1033" s="1">
        <v>43683</v>
      </c>
      <c r="L1033">
        <v>7.3003999999999998</v>
      </c>
      <c r="W1033" s="1">
        <v>43684</v>
      </c>
      <c r="X1033">
        <v>0.87829999999999997</v>
      </c>
    </row>
    <row r="1034" spans="2:24" x14ac:dyDescent="0.3">
      <c r="B1034" s="1">
        <v>43558</v>
      </c>
      <c r="C1034">
        <v>0.85440000000000005</v>
      </c>
      <c r="F1034" s="1">
        <v>43558</v>
      </c>
      <c r="G1034">
        <v>86.92</v>
      </c>
      <c r="K1034" s="1">
        <v>43682</v>
      </c>
      <c r="L1034">
        <v>7.3846999999999996</v>
      </c>
      <c r="W1034" s="1">
        <v>43683</v>
      </c>
      <c r="X1034">
        <v>0.85370000000000001</v>
      </c>
    </row>
    <row r="1035" spans="2:24" x14ac:dyDescent="0.3">
      <c r="B1035" s="1">
        <v>43557</v>
      </c>
      <c r="C1035">
        <v>0.85099999999999998</v>
      </c>
      <c r="F1035" s="1">
        <v>43557</v>
      </c>
      <c r="G1035">
        <v>86.57</v>
      </c>
      <c r="K1035" s="1">
        <v>43679</v>
      </c>
      <c r="L1035">
        <v>7.3635999999999999</v>
      </c>
      <c r="W1035" s="1">
        <v>43682</v>
      </c>
      <c r="X1035">
        <v>0.86360000000000003</v>
      </c>
    </row>
    <row r="1036" spans="2:24" x14ac:dyDescent="0.3">
      <c r="B1036" s="1">
        <v>43556</v>
      </c>
      <c r="C1036">
        <v>0.85270000000000001</v>
      </c>
      <c r="F1036" s="1">
        <v>43556</v>
      </c>
      <c r="G1036">
        <v>86.75</v>
      </c>
      <c r="K1036" s="1">
        <v>43678</v>
      </c>
      <c r="L1036">
        <v>7.4759000000000002</v>
      </c>
      <c r="W1036" s="1">
        <v>43679</v>
      </c>
      <c r="X1036">
        <v>0.86109999999999998</v>
      </c>
    </row>
    <row r="1037" spans="2:24" x14ac:dyDescent="0.3">
      <c r="B1037" s="1">
        <v>43553</v>
      </c>
      <c r="C1037">
        <v>0.84330000000000005</v>
      </c>
      <c r="F1037" s="1">
        <v>43553</v>
      </c>
      <c r="G1037">
        <v>85.79</v>
      </c>
      <c r="K1037" s="1">
        <v>43677</v>
      </c>
      <c r="L1037">
        <v>7.7076000000000002</v>
      </c>
      <c r="W1037" s="1">
        <v>43678</v>
      </c>
      <c r="X1037">
        <v>0.87419999999999998</v>
      </c>
    </row>
    <row r="1038" spans="2:24" x14ac:dyDescent="0.3">
      <c r="B1038" s="1">
        <v>43552</v>
      </c>
      <c r="C1038">
        <v>0.83379999999999999</v>
      </c>
      <c r="F1038" s="1">
        <v>43552</v>
      </c>
      <c r="G1038">
        <v>84.26</v>
      </c>
      <c r="K1038" s="1">
        <v>43676</v>
      </c>
      <c r="L1038">
        <v>7.7918000000000003</v>
      </c>
      <c r="W1038" s="1">
        <v>43677</v>
      </c>
      <c r="X1038">
        <v>0.90129999999999999</v>
      </c>
    </row>
    <row r="1039" spans="2:24" x14ac:dyDescent="0.3">
      <c r="B1039" s="1">
        <v>43551</v>
      </c>
      <c r="C1039">
        <v>0.83379999999999999</v>
      </c>
      <c r="F1039" s="1">
        <v>43551</v>
      </c>
      <c r="G1039">
        <v>84.26</v>
      </c>
      <c r="K1039" s="1">
        <v>43675</v>
      </c>
      <c r="L1039">
        <v>7.9391999999999996</v>
      </c>
      <c r="W1039" s="1">
        <v>43676</v>
      </c>
      <c r="X1039">
        <v>0.91120000000000001</v>
      </c>
    </row>
    <row r="1040" spans="2:24" x14ac:dyDescent="0.3">
      <c r="B1040" s="1">
        <v>43550</v>
      </c>
      <c r="C1040">
        <v>0.83809999999999996</v>
      </c>
      <c r="F1040" s="1">
        <v>43550</v>
      </c>
      <c r="G1040">
        <v>84.69</v>
      </c>
      <c r="K1040" s="1">
        <v>43672</v>
      </c>
      <c r="L1040">
        <v>7.6795</v>
      </c>
      <c r="W1040" s="1">
        <v>43675</v>
      </c>
      <c r="X1040">
        <v>0.9284</v>
      </c>
    </row>
    <row r="1041" spans="2:24" x14ac:dyDescent="0.3">
      <c r="B1041" s="1">
        <v>43549</v>
      </c>
      <c r="C1041">
        <v>0.83299999999999996</v>
      </c>
      <c r="F1041" s="1">
        <v>43549</v>
      </c>
      <c r="G1041">
        <v>84.17</v>
      </c>
      <c r="K1041" s="1">
        <v>43671</v>
      </c>
      <c r="L1041">
        <v>7.6513999999999998</v>
      </c>
      <c r="W1041" s="1">
        <v>43672</v>
      </c>
      <c r="X1041">
        <v>0.89800000000000002</v>
      </c>
    </row>
    <row r="1042" spans="2:24" x14ac:dyDescent="0.3">
      <c r="B1042" s="1">
        <v>43546</v>
      </c>
      <c r="C1042">
        <v>0.83550000000000002</v>
      </c>
      <c r="F1042" s="1">
        <v>43546</v>
      </c>
      <c r="G1042">
        <v>84.43</v>
      </c>
      <c r="K1042" s="1">
        <v>43670</v>
      </c>
      <c r="L1042">
        <v>7.2934000000000001</v>
      </c>
      <c r="W1042" s="1">
        <v>43671</v>
      </c>
      <c r="X1042">
        <v>0.89480000000000004</v>
      </c>
    </row>
    <row r="1043" spans="2:24" x14ac:dyDescent="0.3">
      <c r="B1043" s="1">
        <v>43545</v>
      </c>
      <c r="C1043">
        <v>0.83379999999999999</v>
      </c>
      <c r="F1043" s="1">
        <v>43545</v>
      </c>
      <c r="G1043">
        <v>84.26</v>
      </c>
      <c r="K1043" s="1">
        <v>43669</v>
      </c>
      <c r="L1043">
        <v>7.1178999999999997</v>
      </c>
      <c r="W1043" s="1">
        <v>43670</v>
      </c>
      <c r="X1043">
        <v>0.85289999999999999</v>
      </c>
    </row>
    <row r="1044" spans="2:24" x14ac:dyDescent="0.3">
      <c r="B1044" s="1">
        <v>43543</v>
      </c>
      <c r="C1044">
        <v>0.83809999999999996</v>
      </c>
      <c r="F1044" s="1">
        <v>43543</v>
      </c>
      <c r="G1044">
        <v>84.69</v>
      </c>
      <c r="K1044" s="1">
        <v>43668</v>
      </c>
      <c r="L1044">
        <v>7.0476999999999999</v>
      </c>
      <c r="W1044" s="1">
        <v>43669</v>
      </c>
      <c r="X1044">
        <v>0.83240000000000003</v>
      </c>
    </row>
    <row r="1045" spans="2:24" x14ac:dyDescent="0.3">
      <c r="B1045" s="1">
        <v>43542</v>
      </c>
      <c r="C1045">
        <v>0.84650000000000003</v>
      </c>
      <c r="F1045" s="1">
        <v>43542</v>
      </c>
      <c r="G1045">
        <v>85.54</v>
      </c>
      <c r="K1045" s="1">
        <v>43665</v>
      </c>
      <c r="L1045">
        <v>7.1109</v>
      </c>
      <c r="W1045" s="1">
        <v>43668</v>
      </c>
      <c r="X1045">
        <v>0.82420000000000004</v>
      </c>
    </row>
    <row r="1046" spans="2:24" x14ac:dyDescent="0.3">
      <c r="B1046" s="1">
        <v>43539</v>
      </c>
      <c r="C1046">
        <v>0.83809999999999996</v>
      </c>
      <c r="F1046" s="1">
        <v>43539</v>
      </c>
      <c r="G1046">
        <v>84.69</v>
      </c>
      <c r="K1046" s="1">
        <v>43664</v>
      </c>
      <c r="L1046">
        <v>6.9143999999999997</v>
      </c>
      <c r="W1046" s="1">
        <v>43665</v>
      </c>
      <c r="X1046">
        <v>0.83160000000000001</v>
      </c>
    </row>
    <row r="1047" spans="2:24" x14ac:dyDescent="0.3">
      <c r="B1047" s="1">
        <v>43538</v>
      </c>
      <c r="C1047">
        <v>0.83809999999999996</v>
      </c>
      <c r="F1047" s="1">
        <v>43538</v>
      </c>
      <c r="G1047">
        <v>84.69</v>
      </c>
      <c r="K1047" s="1">
        <v>43663</v>
      </c>
      <c r="L1047">
        <v>6.8160999999999996</v>
      </c>
      <c r="W1047" s="1">
        <v>43664</v>
      </c>
      <c r="X1047">
        <v>0.80859999999999999</v>
      </c>
    </row>
    <row r="1048" spans="2:24" x14ac:dyDescent="0.3">
      <c r="B1048" s="1">
        <v>43537</v>
      </c>
      <c r="C1048">
        <v>0.82110000000000005</v>
      </c>
      <c r="F1048" s="1">
        <v>43537</v>
      </c>
      <c r="G1048">
        <v>82.98</v>
      </c>
      <c r="K1048" s="1">
        <v>43661</v>
      </c>
      <c r="L1048">
        <v>6.6124999999999998</v>
      </c>
      <c r="W1048" s="1">
        <v>43663</v>
      </c>
      <c r="X1048">
        <v>0.79710000000000003</v>
      </c>
    </row>
    <row r="1049" spans="2:24" x14ac:dyDescent="0.3">
      <c r="B1049" s="1">
        <v>43536</v>
      </c>
      <c r="C1049">
        <v>0.84650000000000003</v>
      </c>
      <c r="F1049" s="1">
        <v>43536</v>
      </c>
      <c r="G1049">
        <v>85.54</v>
      </c>
      <c r="K1049" s="1">
        <v>43658</v>
      </c>
      <c r="L1049">
        <v>6.5914999999999999</v>
      </c>
      <c r="W1049" s="1">
        <v>43661</v>
      </c>
      <c r="X1049">
        <v>0.77329999999999999</v>
      </c>
    </row>
    <row r="1050" spans="2:24" x14ac:dyDescent="0.3">
      <c r="B1050" s="1">
        <v>43535</v>
      </c>
      <c r="C1050">
        <v>0.85160000000000002</v>
      </c>
      <c r="F1050" s="1">
        <v>43535</v>
      </c>
      <c r="G1050">
        <v>86.06</v>
      </c>
      <c r="K1050" s="1">
        <v>43657</v>
      </c>
      <c r="L1050">
        <v>6.6265999999999998</v>
      </c>
      <c r="W1050" s="1">
        <v>43658</v>
      </c>
      <c r="X1050">
        <v>0.77080000000000004</v>
      </c>
    </row>
    <row r="1051" spans="2:24" x14ac:dyDescent="0.3">
      <c r="B1051" s="1">
        <v>43532</v>
      </c>
      <c r="C1051">
        <v>0.86339999999999995</v>
      </c>
      <c r="F1051" s="1">
        <v>43532</v>
      </c>
      <c r="G1051">
        <v>87.25</v>
      </c>
      <c r="K1051" s="1">
        <v>43656</v>
      </c>
      <c r="L1051">
        <v>6.5423</v>
      </c>
      <c r="W1051" s="1">
        <v>43657</v>
      </c>
      <c r="X1051">
        <v>0.77490000000000003</v>
      </c>
    </row>
    <row r="1052" spans="2:24" x14ac:dyDescent="0.3">
      <c r="B1052" s="1">
        <v>43531</v>
      </c>
      <c r="C1052">
        <v>0.87870000000000004</v>
      </c>
      <c r="F1052" s="1">
        <v>43531</v>
      </c>
      <c r="G1052">
        <v>88.79</v>
      </c>
      <c r="K1052" s="1">
        <v>43655</v>
      </c>
      <c r="L1052">
        <v>6.6406000000000001</v>
      </c>
      <c r="W1052" s="1">
        <v>43656</v>
      </c>
      <c r="X1052">
        <v>0.7651</v>
      </c>
    </row>
    <row r="1053" spans="2:24" x14ac:dyDescent="0.3">
      <c r="B1053" s="1">
        <v>43530</v>
      </c>
      <c r="C1053">
        <v>0.87190000000000001</v>
      </c>
      <c r="F1053" s="1">
        <v>43530</v>
      </c>
      <c r="G1053">
        <v>88.11</v>
      </c>
      <c r="K1053" s="1">
        <v>43654</v>
      </c>
      <c r="L1053">
        <v>6.7038000000000002</v>
      </c>
      <c r="W1053" s="1">
        <v>43655</v>
      </c>
      <c r="X1053">
        <v>0.77659999999999996</v>
      </c>
    </row>
    <row r="1054" spans="2:24" x14ac:dyDescent="0.3">
      <c r="B1054" s="1">
        <v>43529</v>
      </c>
      <c r="C1054">
        <v>0.87190000000000001</v>
      </c>
      <c r="F1054" s="1">
        <v>43529</v>
      </c>
      <c r="G1054">
        <v>88.11</v>
      </c>
      <c r="K1054" s="1">
        <v>43651</v>
      </c>
      <c r="L1054">
        <v>6.8019999999999996</v>
      </c>
      <c r="W1054" s="1">
        <v>43654</v>
      </c>
      <c r="X1054">
        <v>0.78390000000000004</v>
      </c>
    </row>
    <row r="1055" spans="2:24" x14ac:dyDescent="0.3">
      <c r="B1055" s="1">
        <v>43525</v>
      </c>
      <c r="C1055">
        <v>0.87190000000000001</v>
      </c>
      <c r="F1055" s="1">
        <v>43525</v>
      </c>
      <c r="G1055">
        <v>88.11</v>
      </c>
      <c r="K1055" s="1">
        <v>43650</v>
      </c>
      <c r="L1055">
        <v>6.7107999999999999</v>
      </c>
      <c r="W1055" s="1">
        <v>43651</v>
      </c>
      <c r="X1055">
        <v>0.7954</v>
      </c>
    </row>
    <row r="1056" spans="2:24" x14ac:dyDescent="0.3">
      <c r="B1056" s="1">
        <v>43524</v>
      </c>
      <c r="C1056">
        <v>0.89219999999999999</v>
      </c>
      <c r="F1056" s="1">
        <v>43524</v>
      </c>
      <c r="G1056">
        <v>90.16</v>
      </c>
      <c r="K1056" s="1">
        <v>43649</v>
      </c>
      <c r="L1056">
        <v>6.6475999999999997</v>
      </c>
      <c r="W1056" s="1">
        <v>43650</v>
      </c>
      <c r="X1056">
        <v>0.78480000000000005</v>
      </c>
    </row>
    <row r="1057" spans="2:24" x14ac:dyDescent="0.3">
      <c r="B1057" s="1">
        <v>43523</v>
      </c>
      <c r="C1057">
        <v>0.90490000000000004</v>
      </c>
      <c r="F1057" s="1">
        <v>43523</v>
      </c>
      <c r="G1057">
        <v>91.44</v>
      </c>
      <c r="K1057" s="1">
        <v>43648</v>
      </c>
      <c r="L1057">
        <v>6.6195000000000004</v>
      </c>
      <c r="W1057" s="1">
        <v>43649</v>
      </c>
      <c r="X1057">
        <v>0.77739999999999998</v>
      </c>
    </row>
    <row r="1058" spans="2:24" x14ac:dyDescent="0.3">
      <c r="B1058" s="1">
        <v>43522</v>
      </c>
      <c r="C1058">
        <v>0.91339999999999999</v>
      </c>
      <c r="F1058" s="1">
        <v>43522</v>
      </c>
      <c r="G1058">
        <v>92.3</v>
      </c>
      <c r="K1058" s="1">
        <v>43647</v>
      </c>
      <c r="L1058">
        <v>6.5282999999999998</v>
      </c>
      <c r="W1058" s="1">
        <v>43648</v>
      </c>
      <c r="X1058">
        <v>0.77410000000000001</v>
      </c>
    </row>
    <row r="1059" spans="2:24" x14ac:dyDescent="0.3">
      <c r="B1059" s="1">
        <v>43521</v>
      </c>
      <c r="C1059">
        <v>0.89729999999999999</v>
      </c>
      <c r="F1059" s="1">
        <v>43521</v>
      </c>
      <c r="G1059">
        <v>90.67</v>
      </c>
      <c r="K1059" s="1">
        <v>43644</v>
      </c>
      <c r="L1059">
        <v>6.4511000000000003</v>
      </c>
      <c r="W1059" s="1">
        <v>43647</v>
      </c>
      <c r="X1059">
        <v>0.76339999999999997</v>
      </c>
    </row>
    <row r="1060" spans="2:24" x14ac:dyDescent="0.3">
      <c r="B1060" s="1">
        <v>43518</v>
      </c>
      <c r="C1060">
        <v>0.90659999999999996</v>
      </c>
      <c r="F1060" s="1">
        <v>43518</v>
      </c>
      <c r="G1060">
        <v>91.62</v>
      </c>
      <c r="K1060" s="1">
        <v>43643</v>
      </c>
      <c r="L1060">
        <v>6.2777000000000003</v>
      </c>
      <c r="W1060" s="1">
        <v>43644</v>
      </c>
      <c r="X1060">
        <v>0.75439999999999996</v>
      </c>
    </row>
    <row r="1061" spans="2:24" x14ac:dyDescent="0.3">
      <c r="B1061" s="1">
        <v>43517</v>
      </c>
      <c r="C1061">
        <v>0.9032</v>
      </c>
      <c r="F1061" s="1">
        <v>43517</v>
      </c>
      <c r="G1061">
        <v>91.27</v>
      </c>
      <c r="K1061" s="1">
        <v>43642</v>
      </c>
      <c r="L1061">
        <v>6.2435999999999998</v>
      </c>
      <c r="W1061" s="1">
        <v>43643</v>
      </c>
      <c r="X1061">
        <v>0.78600000000000003</v>
      </c>
    </row>
    <row r="1062" spans="2:24" x14ac:dyDescent="0.3">
      <c r="B1062" s="1">
        <v>43516</v>
      </c>
      <c r="C1062">
        <v>0.91510000000000002</v>
      </c>
      <c r="F1062" s="1">
        <v>43516</v>
      </c>
      <c r="G1062">
        <v>92.47</v>
      </c>
      <c r="K1062" s="1">
        <v>43641</v>
      </c>
      <c r="L1062">
        <v>6.2367999999999997</v>
      </c>
      <c r="W1062" s="1">
        <v>43642</v>
      </c>
      <c r="X1062">
        <v>0.78180000000000005</v>
      </c>
    </row>
    <row r="1063" spans="2:24" x14ac:dyDescent="0.3">
      <c r="B1063" s="1">
        <v>43514</v>
      </c>
      <c r="C1063">
        <v>0.92689999999999995</v>
      </c>
      <c r="F1063" s="1">
        <v>43514</v>
      </c>
      <c r="G1063">
        <v>93.67</v>
      </c>
      <c r="K1063" s="1">
        <v>43640</v>
      </c>
      <c r="L1063">
        <v>6.2777000000000003</v>
      </c>
      <c r="W1063" s="1">
        <v>43641</v>
      </c>
      <c r="X1063">
        <v>0.78090000000000004</v>
      </c>
    </row>
    <row r="1064" spans="2:24" x14ac:dyDescent="0.3">
      <c r="B1064" s="1">
        <v>43511</v>
      </c>
      <c r="C1064">
        <v>0.92949999999999999</v>
      </c>
      <c r="F1064" s="1">
        <v>43511</v>
      </c>
      <c r="G1064">
        <v>93.93</v>
      </c>
      <c r="K1064" s="1">
        <v>43637</v>
      </c>
      <c r="L1064">
        <v>6.3186999999999998</v>
      </c>
      <c r="W1064" s="1">
        <v>43640</v>
      </c>
      <c r="X1064">
        <v>0.78600000000000003</v>
      </c>
    </row>
    <row r="1065" spans="2:24" x14ac:dyDescent="0.3">
      <c r="B1065" s="1">
        <v>43510</v>
      </c>
      <c r="C1065">
        <v>0.93959999999999999</v>
      </c>
      <c r="F1065" s="1">
        <v>43510</v>
      </c>
      <c r="G1065">
        <v>94.95</v>
      </c>
      <c r="K1065" s="1">
        <v>43636</v>
      </c>
      <c r="L1065">
        <v>6.3800999999999997</v>
      </c>
      <c r="W1065" s="1">
        <v>43637</v>
      </c>
      <c r="X1065">
        <v>0.79120000000000001</v>
      </c>
    </row>
    <row r="1066" spans="2:24" x14ac:dyDescent="0.3">
      <c r="B1066" s="1">
        <v>43509</v>
      </c>
      <c r="C1066">
        <v>0.93959999999999999</v>
      </c>
      <c r="F1066" s="1">
        <v>43509</v>
      </c>
      <c r="G1066">
        <v>94.95</v>
      </c>
      <c r="K1066" s="1">
        <v>43635</v>
      </c>
      <c r="L1066">
        <v>6.3868999999999998</v>
      </c>
      <c r="W1066" s="1">
        <v>43636</v>
      </c>
      <c r="X1066">
        <v>0.79890000000000005</v>
      </c>
    </row>
    <row r="1067" spans="2:24" x14ac:dyDescent="0.3">
      <c r="B1067" s="1">
        <v>43508</v>
      </c>
      <c r="C1067">
        <v>0.9405</v>
      </c>
      <c r="F1067" s="1">
        <v>43508</v>
      </c>
      <c r="G1067">
        <v>95.04</v>
      </c>
      <c r="K1067" s="1">
        <v>43634</v>
      </c>
      <c r="L1067">
        <v>6.4142000000000001</v>
      </c>
      <c r="W1067" s="1">
        <v>43635</v>
      </c>
      <c r="X1067">
        <v>0.79969999999999997</v>
      </c>
    </row>
    <row r="1068" spans="2:24" x14ac:dyDescent="0.3">
      <c r="B1068" s="1">
        <v>43507</v>
      </c>
      <c r="C1068">
        <v>0.94299999999999995</v>
      </c>
      <c r="F1068" s="1">
        <v>43507</v>
      </c>
      <c r="G1068">
        <v>95.29</v>
      </c>
      <c r="K1068" s="1">
        <v>43633</v>
      </c>
      <c r="L1068">
        <v>6.3800999999999997</v>
      </c>
      <c r="W1068" s="1">
        <v>43634</v>
      </c>
      <c r="X1068">
        <v>0.80310000000000004</v>
      </c>
    </row>
    <row r="1069" spans="2:24" x14ac:dyDescent="0.3">
      <c r="B1069" s="1">
        <v>43504</v>
      </c>
      <c r="C1069">
        <v>0.94299999999999995</v>
      </c>
      <c r="F1069" s="1">
        <v>43504</v>
      </c>
      <c r="G1069">
        <v>95.29</v>
      </c>
      <c r="K1069" s="1">
        <v>43630</v>
      </c>
      <c r="L1069">
        <v>6.3528000000000002</v>
      </c>
      <c r="W1069" s="1">
        <v>43633</v>
      </c>
      <c r="X1069">
        <v>0.79890000000000005</v>
      </c>
    </row>
    <row r="1070" spans="2:24" x14ac:dyDescent="0.3">
      <c r="B1070" s="1">
        <v>43503</v>
      </c>
      <c r="C1070">
        <v>0.94640000000000002</v>
      </c>
      <c r="F1070" s="1">
        <v>43503</v>
      </c>
      <c r="G1070">
        <v>95.64</v>
      </c>
      <c r="K1070" s="1">
        <v>43629</v>
      </c>
      <c r="L1070">
        <v>6.3663999999999996</v>
      </c>
      <c r="W1070" s="1">
        <v>43630</v>
      </c>
      <c r="X1070">
        <v>0.7954</v>
      </c>
    </row>
    <row r="1071" spans="2:24" x14ac:dyDescent="0.3">
      <c r="B1071" s="1">
        <v>43502</v>
      </c>
      <c r="C1071">
        <v>0.9506</v>
      </c>
      <c r="F1071" s="1">
        <v>43502</v>
      </c>
      <c r="G1071">
        <v>96.06</v>
      </c>
      <c r="K1071" s="1">
        <v>43628</v>
      </c>
      <c r="L1071">
        <v>6.4619999999999997</v>
      </c>
      <c r="W1071" s="1">
        <v>43629</v>
      </c>
      <c r="X1071">
        <v>0.79710000000000003</v>
      </c>
    </row>
    <row r="1072" spans="2:24" x14ac:dyDescent="0.3">
      <c r="B1072" s="1">
        <v>43501</v>
      </c>
      <c r="C1072">
        <v>0.96499999999999997</v>
      </c>
      <c r="F1072" s="1">
        <v>43501</v>
      </c>
      <c r="G1072">
        <v>97.52</v>
      </c>
      <c r="K1072" s="1">
        <v>43627</v>
      </c>
      <c r="L1072">
        <v>6.4005999999999998</v>
      </c>
      <c r="W1072" s="1">
        <v>43628</v>
      </c>
      <c r="X1072">
        <v>0.80910000000000004</v>
      </c>
    </row>
    <row r="1073" spans="2:24" x14ac:dyDescent="0.3">
      <c r="B1073" s="1">
        <v>43497</v>
      </c>
      <c r="C1073">
        <v>0.96499999999999997</v>
      </c>
      <c r="F1073" s="1">
        <v>43497</v>
      </c>
      <c r="G1073">
        <v>97.52</v>
      </c>
      <c r="K1073" s="1">
        <v>43626</v>
      </c>
      <c r="L1073">
        <v>6.2914000000000003</v>
      </c>
      <c r="W1073" s="1">
        <v>43627</v>
      </c>
      <c r="X1073">
        <v>0.8014</v>
      </c>
    </row>
    <row r="1074" spans="2:24" x14ac:dyDescent="0.3">
      <c r="B1074" s="1">
        <v>43496</v>
      </c>
      <c r="C1074">
        <v>0.96499999999999997</v>
      </c>
      <c r="F1074" s="1">
        <v>43496</v>
      </c>
      <c r="G1074">
        <v>97.52</v>
      </c>
      <c r="K1074" s="1">
        <v>43623</v>
      </c>
      <c r="L1074">
        <v>6.2435999999999998</v>
      </c>
      <c r="W1074" s="1">
        <v>43626</v>
      </c>
      <c r="X1074">
        <v>0.78769999999999996</v>
      </c>
    </row>
    <row r="1075" spans="2:24" x14ac:dyDescent="0.3">
      <c r="B1075" s="1">
        <v>43495</v>
      </c>
      <c r="C1075">
        <v>0.96499999999999997</v>
      </c>
      <c r="F1075" s="1">
        <v>43495</v>
      </c>
      <c r="G1075">
        <v>97.52</v>
      </c>
      <c r="K1075" s="1">
        <v>43622</v>
      </c>
      <c r="L1075">
        <v>6.1413000000000002</v>
      </c>
      <c r="W1075" s="1">
        <v>43623</v>
      </c>
      <c r="X1075">
        <v>0.78180000000000005</v>
      </c>
    </row>
    <row r="1076" spans="2:24" x14ac:dyDescent="0.3">
      <c r="B1076" s="1">
        <v>43494</v>
      </c>
      <c r="C1076">
        <v>0.9667</v>
      </c>
      <c r="F1076" s="1">
        <v>43494</v>
      </c>
      <c r="G1076">
        <v>97.69</v>
      </c>
      <c r="K1076" s="1">
        <v>43620</v>
      </c>
      <c r="L1076">
        <v>6.1413000000000002</v>
      </c>
      <c r="W1076" s="1">
        <v>43622</v>
      </c>
      <c r="X1076">
        <v>0.76890000000000003</v>
      </c>
    </row>
    <row r="1077" spans="2:24" x14ac:dyDescent="0.3">
      <c r="B1077" s="1">
        <v>43493</v>
      </c>
      <c r="C1077">
        <v>0.96589999999999998</v>
      </c>
      <c r="F1077" s="1">
        <v>43493</v>
      </c>
      <c r="G1077">
        <v>97.6</v>
      </c>
      <c r="K1077" s="1">
        <v>43619</v>
      </c>
      <c r="L1077">
        <v>6.2095000000000002</v>
      </c>
      <c r="W1077" s="1">
        <v>43620</v>
      </c>
      <c r="X1077">
        <v>0.76890000000000003</v>
      </c>
    </row>
    <row r="1078" spans="2:24" x14ac:dyDescent="0.3">
      <c r="B1078" s="1">
        <v>43490</v>
      </c>
      <c r="C1078">
        <v>0.96079999999999999</v>
      </c>
      <c r="F1078" s="1">
        <v>43490</v>
      </c>
      <c r="G1078">
        <v>97.09</v>
      </c>
      <c r="K1078" s="1">
        <v>43616</v>
      </c>
      <c r="L1078">
        <v>6.2504</v>
      </c>
      <c r="W1078" s="1">
        <v>43619</v>
      </c>
      <c r="X1078">
        <v>0.77749999999999997</v>
      </c>
    </row>
    <row r="1079" spans="2:24" x14ac:dyDescent="0.3">
      <c r="B1079" s="1">
        <v>43489</v>
      </c>
      <c r="C1079">
        <v>0.95660000000000001</v>
      </c>
      <c r="F1079" s="1">
        <v>43489</v>
      </c>
      <c r="G1079">
        <v>96.66</v>
      </c>
      <c r="K1079" s="1">
        <v>43615</v>
      </c>
      <c r="L1079">
        <v>6.3049999999999997</v>
      </c>
      <c r="W1079" s="1">
        <v>43616</v>
      </c>
      <c r="X1079">
        <v>0.78259999999999996</v>
      </c>
    </row>
    <row r="1080" spans="2:24" x14ac:dyDescent="0.3">
      <c r="B1080" s="1">
        <v>43488</v>
      </c>
      <c r="C1080">
        <v>0.95740000000000003</v>
      </c>
      <c r="F1080" s="1">
        <v>43488</v>
      </c>
      <c r="G1080">
        <v>96.75</v>
      </c>
      <c r="K1080" s="1">
        <v>43614</v>
      </c>
      <c r="L1080">
        <v>6.2846000000000002</v>
      </c>
      <c r="W1080" s="1">
        <v>43615</v>
      </c>
      <c r="X1080">
        <v>0.78949999999999998</v>
      </c>
    </row>
    <row r="1081" spans="2:24" x14ac:dyDescent="0.3">
      <c r="B1081" s="1">
        <v>43487</v>
      </c>
      <c r="C1081">
        <v>0.96330000000000005</v>
      </c>
      <c r="F1081" s="1">
        <v>43487</v>
      </c>
      <c r="G1081">
        <v>97.35</v>
      </c>
      <c r="K1081" s="1">
        <v>43613</v>
      </c>
      <c r="L1081">
        <v>6.2709000000000001</v>
      </c>
      <c r="W1081" s="1">
        <v>43614</v>
      </c>
      <c r="X1081">
        <v>0.78690000000000004</v>
      </c>
    </row>
    <row r="1082" spans="2:24" x14ac:dyDescent="0.3">
      <c r="B1082" s="1">
        <v>43486</v>
      </c>
      <c r="C1082">
        <v>0.96499999999999997</v>
      </c>
      <c r="F1082" s="1">
        <v>43486</v>
      </c>
      <c r="G1082">
        <v>97.52</v>
      </c>
      <c r="K1082" s="1">
        <v>43612</v>
      </c>
      <c r="L1082">
        <v>6.1753999999999998</v>
      </c>
      <c r="W1082" s="1">
        <v>43613</v>
      </c>
      <c r="X1082">
        <v>0.78520000000000001</v>
      </c>
    </row>
    <row r="1083" spans="2:24" x14ac:dyDescent="0.3">
      <c r="B1083" s="1">
        <v>43483</v>
      </c>
      <c r="C1083">
        <v>0.96930000000000005</v>
      </c>
      <c r="F1083" s="1">
        <v>43483</v>
      </c>
      <c r="G1083">
        <v>97.95</v>
      </c>
      <c r="K1083" s="1">
        <v>43609</v>
      </c>
      <c r="L1083">
        <v>6.1481000000000003</v>
      </c>
      <c r="W1083" s="1">
        <v>43612</v>
      </c>
      <c r="X1083">
        <v>0.7732</v>
      </c>
    </row>
    <row r="1084" spans="2:24" x14ac:dyDescent="0.3">
      <c r="B1084" s="1">
        <v>43482</v>
      </c>
      <c r="C1084">
        <v>0.9718</v>
      </c>
      <c r="F1084" s="1">
        <v>43482</v>
      </c>
      <c r="G1084">
        <v>98.2</v>
      </c>
      <c r="K1084" s="1">
        <v>43608</v>
      </c>
      <c r="L1084">
        <v>6.1753999999999998</v>
      </c>
      <c r="W1084" s="1">
        <v>43609</v>
      </c>
      <c r="X1084">
        <v>0.76980000000000004</v>
      </c>
    </row>
    <row r="1085" spans="2:24" x14ac:dyDescent="0.3">
      <c r="B1085" s="1">
        <v>43481</v>
      </c>
      <c r="C1085">
        <v>0.97350000000000003</v>
      </c>
      <c r="F1085" s="1">
        <v>43481</v>
      </c>
      <c r="G1085">
        <v>98.37</v>
      </c>
      <c r="K1085" s="1">
        <v>43607</v>
      </c>
      <c r="L1085">
        <v>6.1413000000000002</v>
      </c>
      <c r="W1085" s="1">
        <v>43608</v>
      </c>
      <c r="X1085">
        <v>0.7732</v>
      </c>
    </row>
    <row r="1086" spans="2:24" x14ac:dyDescent="0.3">
      <c r="B1086" s="1">
        <v>43479</v>
      </c>
      <c r="C1086">
        <v>0.9667</v>
      </c>
      <c r="F1086" s="1">
        <v>43479</v>
      </c>
      <c r="G1086">
        <v>97.69</v>
      </c>
      <c r="K1086" s="1">
        <v>43606</v>
      </c>
      <c r="L1086">
        <v>6.1413000000000002</v>
      </c>
      <c r="W1086" s="1">
        <v>43607</v>
      </c>
      <c r="X1086">
        <v>0.76890000000000003</v>
      </c>
    </row>
    <row r="1087" spans="2:24" x14ac:dyDescent="0.3">
      <c r="B1087" s="1">
        <v>43476</v>
      </c>
      <c r="C1087">
        <v>0.96499999999999997</v>
      </c>
      <c r="F1087" s="1">
        <v>43476</v>
      </c>
      <c r="G1087">
        <v>97.52</v>
      </c>
      <c r="K1087" s="1">
        <v>43602</v>
      </c>
      <c r="L1087">
        <v>6.0730000000000004</v>
      </c>
      <c r="W1087" s="1">
        <v>43606</v>
      </c>
      <c r="X1087">
        <v>0.76890000000000003</v>
      </c>
    </row>
    <row r="1088" spans="2:24" x14ac:dyDescent="0.3">
      <c r="B1088" s="1">
        <v>43475</v>
      </c>
      <c r="C1088">
        <v>0.96499999999999997</v>
      </c>
      <c r="F1088" s="1">
        <v>43475</v>
      </c>
      <c r="G1088">
        <v>97.52</v>
      </c>
      <c r="K1088" s="1">
        <v>43601</v>
      </c>
      <c r="L1088">
        <v>6.0662000000000003</v>
      </c>
      <c r="W1088" s="1">
        <v>43602</v>
      </c>
      <c r="X1088">
        <v>0.76039999999999996</v>
      </c>
    </row>
    <row r="1089" spans="2:24" x14ac:dyDescent="0.3">
      <c r="B1089" s="1">
        <v>43474</v>
      </c>
      <c r="C1089">
        <v>0.95830000000000004</v>
      </c>
      <c r="F1089" s="1">
        <v>43474</v>
      </c>
      <c r="G1089">
        <v>96.83</v>
      </c>
      <c r="K1089" s="1">
        <v>43600</v>
      </c>
      <c r="L1089">
        <v>6.1071</v>
      </c>
      <c r="W1089" s="1">
        <v>43601</v>
      </c>
      <c r="X1089">
        <v>0.75960000000000005</v>
      </c>
    </row>
    <row r="1090" spans="2:24" x14ac:dyDescent="0.3">
      <c r="B1090" s="1">
        <v>43473</v>
      </c>
      <c r="C1090">
        <v>0.96499999999999997</v>
      </c>
      <c r="F1090" s="1">
        <v>43473</v>
      </c>
      <c r="G1090">
        <v>97.52</v>
      </c>
      <c r="K1090" s="1">
        <v>43599</v>
      </c>
      <c r="L1090">
        <v>6.1344000000000003</v>
      </c>
      <c r="W1090" s="1">
        <v>43600</v>
      </c>
      <c r="X1090">
        <v>0.76470000000000005</v>
      </c>
    </row>
    <row r="1091" spans="2:24" x14ac:dyDescent="0.3">
      <c r="B1091" s="1">
        <v>43472</v>
      </c>
      <c r="C1091">
        <v>0.97350000000000003</v>
      </c>
      <c r="F1091" s="1">
        <v>43472</v>
      </c>
      <c r="G1091">
        <v>98.37</v>
      </c>
      <c r="K1091" s="1">
        <v>43598</v>
      </c>
      <c r="L1091">
        <v>6.1413000000000002</v>
      </c>
      <c r="W1091" s="1">
        <v>43599</v>
      </c>
      <c r="X1091">
        <v>0.7681</v>
      </c>
    </row>
    <row r="1092" spans="2:24" x14ac:dyDescent="0.3">
      <c r="B1092" s="1">
        <v>43469</v>
      </c>
      <c r="C1092">
        <v>0.97350000000000003</v>
      </c>
      <c r="F1092" s="1">
        <v>43469</v>
      </c>
      <c r="G1092">
        <v>98.37</v>
      </c>
      <c r="K1092" s="1">
        <v>43595</v>
      </c>
      <c r="L1092">
        <v>6.1413000000000002</v>
      </c>
      <c r="W1092" s="1">
        <v>43598</v>
      </c>
      <c r="X1092">
        <v>0.76890000000000003</v>
      </c>
    </row>
    <row r="1093" spans="2:24" x14ac:dyDescent="0.3">
      <c r="B1093" s="1">
        <v>43468</v>
      </c>
      <c r="C1093">
        <v>0.97350000000000003</v>
      </c>
      <c r="F1093" s="1">
        <v>43468</v>
      </c>
      <c r="G1093">
        <v>98.37</v>
      </c>
      <c r="K1093" s="1">
        <v>43594</v>
      </c>
      <c r="L1093">
        <v>6.1413000000000002</v>
      </c>
      <c r="W1093" s="1">
        <v>43595</v>
      </c>
      <c r="X1093">
        <v>0.76890000000000003</v>
      </c>
    </row>
    <row r="1094" spans="2:24" x14ac:dyDescent="0.3">
      <c r="B1094" s="1">
        <v>43467</v>
      </c>
      <c r="C1094">
        <v>0.97770000000000001</v>
      </c>
      <c r="F1094" s="1">
        <v>43467</v>
      </c>
      <c r="G1094">
        <v>98.8</v>
      </c>
      <c r="K1094" s="1">
        <v>43593</v>
      </c>
      <c r="L1094">
        <v>6.1959</v>
      </c>
      <c r="W1094" s="1">
        <v>43594</v>
      </c>
      <c r="X1094">
        <v>0.76890000000000003</v>
      </c>
    </row>
    <row r="1095" spans="2:24" x14ac:dyDescent="0.3">
      <c r="B1095" s="1">
        <v>43465</v>
      </c>
      <c r="C1095">
        <v>0.97350000000000003</v>
      </c>
      <c r="F1095" s="1">
        <v>43465</v>
      </c>
      <c r="G1095">
        <v>98.37</v>
      </c>
      <c r="K1095" s="1">
        <v>43592</v>
      </c>
      <c r="L1095">
        <v>6.2435999999999998</v>
      </c>
      <c r="W1095" s="1">
        <v>43593</v>
      </c>
      <c r="X1095">
        <v>0.77580000000000005</v>
      </c>
    </row>
    <row r="1096" spans="2:24" x14ac:dyDescent="0.3">
      <c r="B1096" s="1">
        <v>43462</v>
      </c>
      <c r="C1096">
        <v>0.96460000000000001</v>
      </c>
      <c r="F1096" s="1">
        <v>43462</v>
      </c>
      <c r="G1096">
        <v>98.37</v>
      </c>
      <c r="K1096" s="1">
        <v>43591</v>
      </c>
      <c r="L1096">
        <v>6.2709000000000001</v>
      </c>
      <c r="W1096" s="1">
        <v>43592</v>
      </c>
      <c r="X1096">
        <v>0.78180000000000005</v>
      </c>
    </row>
    <row r="1097" spans="2:24" x14ac:dyDescent="0.3">
      <c r="B1097" s="1">
        <v>43461</v>
      </c>
      <c r="C1097">
        <v>0.96540000000000004</v>
      </c>
      <c r="F1097" s="1">
        <v>43461</v>
      </c>
      <c r="G1097">
        <v>98.46</v>
      </c>
      <c r="K1097" s="1">
        <v>43588</v>
      </c>
      <c r="L1097">
        <v>6.3186999999999998</v>
      </c>
      <c r="W1097" s="1">
        <v>43591</v>
      </c>
      <c r="X1097">
        <v>0.78520000000000001</v>
      </c>
    </row>
    <row r="1098" spans="2:24" x14ac:dyDescent="0.3">
      <c r="B1098" s="1">
        <v>43460</v>
      </c>
      <c r="C1098">
        <v>0.96460000000000001</v>
      </c>
      <c r="F1098" s="1">
        <v>43460</v>
      </c>
      <c r="G1098">
        <v>98.37</v>
      </c>
      <c r="K1098" s="1">
        <v>43587</v>
      </c>
      <c r="L1098">
        <v>6.2504</v>
      </c>
      <c r="W1098" s="1">
        <v>43588</v>
      </c>
      <c r="X1098">
        <v>0.79120000000000001</v>
      </c>
    </row>
    <row r="1099" spans="2:24" x14ac:dyDescent="0.3">
      <c r="B1099" s="1">
        <v>43458</v>
      </c>
      <c r="C1099">
        <v>0.9637</v>
      </c>
      <c r="F1099" s="1">
        <v>43458</v>
      </c>
      <c r="G1099">
        <v>98.29</v>
      </c>
      <c r="K1099" s="1">
        <v>43585</v>
      </c>
      <c r="L1099">
        <v>6.2777000000000003</v>
      </c>
      <c r="W1099" s="1">
        <v>43587</v>
      </c>
      <c r="X1099">
        <v>0.78259999999999996</v>
      </c>
    </row>
    <row r="1100" spans="2:24" x14ac:dyDescent="0.3">
      <c r="B1100" s="1">
        <v>43455</v>
      </c>
      <c r="C1100">
        <v>0.96879999999999999</v>
      </c>
      <c r="F1100" s="1">
        <v>43455</v>
      </c>
      <c r="G1100">
        <v>98.8</v>
      </c>
      <c r="K1100" s="1">
        <v>43584</v>
      </c>
      <c r="L1100">
        <v>6.2367999999999997</v>
      </c>
      <c r="W1100" s="1">
        <v>43585</v>
      </c>
      <c r="X1100">
        <v>0.78600000000000003</v>
      </c>
    </row>
    <row r="1101" spans="2:24" x14ac:dyDescent="0.3">
      <c r="B1101" s="1">
        <v>43454</v>
      </c>
      <c r="C1101">
        <v>0.97299999999999998</v>
      </c>
      <c r="F1101" s="1">
        <v>43454</v>
      </c>
      <c r="G1101">
        <v>99.23</v>
      </c>
      <c r="K1101" s="1">
        <v>43581</v>
      </c>
      <c r="L1101">
        <v>6.2709000000000001</v>
      </c>
      <c r="W1101" s="1">
        <v>43584</v>
      </c>
      <c r="X1101">
        <v>0.78090000000000004</v>
      </c>
    </row>
    <row r="1102" spans="2:24" x14ac:dyDescent="0.3">
      <c r="B1102" s="1">
        <v>43453</v>
      </c>
      <c r="C1102">
        <v>0.96460000000000001</v>
      </c>
      <c r="F1102" s="1">
        <v>43453</v>
      </c>
      <c r="G1102">
        <v>98.37</v>
      </c>
      <c r="K1102" s="1">
        <v>43580</v>
      </c>
      <c r="L1102">
        <v>6.3391999999999999</v>
      </c>
      <c r="W1102" s="1">
        <v>43581</v>
      </c>
      <c r="X1102">
        <v>0.78520000000000001</v>
      </c>
    </row>
    <row r="1103" spans="2:24" x14ac:dyDescent="0.3">
      <c r="B1103" s="1">
        <v>43452</v>
      </c>
      <c r="C1103">
        <v>0.97209999999999996</v>
      </c>
      <c r="F1103" s="1">
        <v>43452</v>
      </c>
      <c r="G1103">
        <v>99.14</v>
      </c>
      <c r="K1103" s="1">
        <v>43579</v>
      </c>
      <c r="L1103">
        <v>6.3460000000000001</v>
      </c>
      <c r="W1103" s="1">
        <v>43580</v>
      </c>
      <c r="X1103">
        <v>0.79369999999999996</v>
      </c>
    </row>
    <row r="1104" spans="2:24" x14ac:dyDescent="0.3">
      <c r="B1104" s="1">
        <v>43451</v>
      </c>
      <c r="C1104">
        <v>0.97299999999999998</v>
      </c>
      <c r="F1104" s="1">
        <v>43451</v>
      </c>
      <c r="G1104">
        <v>99.23</v>
      </c>
      <c r="K1104" s="1">
        <v>43578</v>
      </c>
      <c r="L1104">
        <v>6.3323</v>
      </c>
      <c r="W1104" s="1">
        <v>43579</v>
      </c>
      <c r="X1104">
        <v>0.79459999999999997</v>
      </c>
    </row>
    <row r="1105" spans="2:24" x14ac:dyDescent="0.3">
      <c r="B1105" s="1">
        <v>43448</v>
      </c>
      <c r="C1105">
        <v>0.97299999999999998</v>
      </c>
      <c r="F1105" s="1">
        <v>43448</v>
      </c>
      <c r="G1105">
        <v>99.23</v>
      </c>
      <c r="K1105" s="1">
        <v>43573</v>
      </c>
      <c r="L1105">
        <v>6.5438999999999998</v>
      </c>
      <c r="W1105" s="1">
        <v>43578</v>
      </c>
      <c r="X1105">
        <v>0.79290000000000005</v>
      </c>
    </row>
    <row r="1106" spans="2:24" x14ac:dyDescent="0.3">
      <c r="B1106" s="1">
        <v>43447</v>
      </c>
      <c r="C1106">
        <v>0.97299999999999998</v>
      </c>
      <c r="F1106" s="1">
        <v>43447</v>
      </c>
      <c r="G1106">
        <v>99.23</v>
      </c>
      <c r="K1106" s="1">
        <v>43572</v>
      </c>
      <c r="L1106">
        <v>6.6189</v>
      </c>
      <c r="W1106" s="1">
        <v>43573</v>
      </c>
      <c r="X1106">
        <v>0.81940000000000002</v>
      </c>
    </row>
    <row r="1107" spans="2:24" x14ac:dyDescent="0.3">
      <c r="B1107" s="1">
        <v>43446</v>
      </c>
      <c r="C1107">
        <v>0.9738</v>
      </c>
      <c r="F1107" s="1">
        <v>43446</v>
      </c>
      <c r="G1107">
        <v>99.31</v>
      </c>
      <c r="K1107" s="1">
        <v>43571</v>
      </c>
      <c r="L1107">
        <v>6.6189</v>
      </c>
      <c r="W1107" s="1">
        <v>43572</v>
      </c>
      <c r="X1107">
        <v>0.82879999999999998</v>
      </c>
    </row>
    <row r="1108" spans="2:24" x14ac:dyDescent="0.3">
      <c r="B1108" s="1">
        <v>43445</v>
      </c>
      <c r="C1108">
        <v>0.97299999999999998</v>
      </c>
      <c r="F1108" s="1">
        <v>43445</v>
      </c>
      <c r="G1108">
        <v>99.23</v>
      </c>
      <c r="K1108" s="1">
        <v>43567</v>
      </c>
      <c r="L1108">
        <v>6.6666999999999996</v>
      </c>
      <c r="W1108" s="1">
        <v>43571</v>
      </c>
      <c r="X1108">
        <v>0.82879999999999998</v>
      </c>
    </row>
    <row r="1109" spans="2:24" x14ac:dyDescent="0.3">
      <c r="B1109" s="1">
        <v>43444</v>
      </c>
      <c r="C1109">
        <v>0.98809999999999998</v>
      </c>
      <c r="F1109" s="1">
        <v>43444</v>
      </c>
      <c r="G1109">
        <v>100.77</v>
      </c>
      <c r="K1109" s="1">
        <v>43566</v>
      </c>
      <c r="L1109">
        <v>6.6871999999999998</v>
      </c>
      <c r="W1109" s="1">
        <v>43567</v>
      </c>
      <c r="X1109">
        <v>0.8347</v>
      </c>
    </row>
    <row r="1110" spans="2:24" x14ac:dyDescent="0.3">
      <c r="B1110" s="1">
        <v>43441</v>
      </c>
      <c r="C1110">
        <v>0.99639999999999995</v>
      </c>
      <c r="F1110" s="1">
        <v>43441</v>
      </c>
      <c r="G1110">
        <v>101.62</v>
      </c>
      <c r="K1110" s="1">
        <v>43565</v>
      </c>
      <c r="L1110">
        <v>6.7145000000000001</v>
      </c>
      <c r="W1110" s="1">
        <v>43566</v>
      </c>
      <c r="X1110">
        <v>0.83730000000000004</v>
      </c>
    </row>
    <row r="1111" spans="2:24" x14ac:dyDescent="0.3">
      <c r="B1111" s="1">
        <v>43440</v>
      </c>
      <c r="C1111">
        <v>0.99639999999999995</v>
      </c>
      <c r="F1111" s="1">
        <v>43440</v>
      </c>
      <c r="G1111">
        <v>101.62</v>
      </c>
      <c r="K1111" s="1">
        <v>43564</v>
      </c>
      <c r="L1111">
        <v>6.7485999999999997</v>
      </c>
      <c r="W1111" s="1">
        <v>43565</v>
      </c>
      <c r="X1111">
        <v>0.8407</v>
      </c>
    </row>
    <row r="1112" spans="2:24" x14ac:dyDescent="0.3">
      <c r="B1112" s="1">
        <v>43439</v>
      </c>
      <c r="C1112">
        <v>1.0023</v>
      </c>
      <c r="F1112" s="1">
        <v>43439</v>
      </c>
      <c r="G1112">
        <v>102.22</v>
      </c>
      <c r="K1112" s="1">
        <v>43563</v>
      </c>
      <c r="L1112">
        <v>6.81</v>
      </c>
      <c r="W1112" s="1">
        <v>43564</v>
      </c>
      <c r="X1112">
        <v>0.84499999999999997</v>
      </c>
    </row>
    <row r="1113" spans="2:24" x14ac:dyDescent="0.3">
      <c r="B1113" s="1">
        <v>43438</v>
      </c>
      <c r="C1113">
        <v>0.98550000000000004</v>
      </c>
      <c r="F1113" s="1">
        <v>43438</v>
      </c>
      <c r="G1113">
        <v>100.51</v>
      </c>
      <c r="K1113" s="1">
        <v>43560</v>
      </c>
      <c r="L1113">
        <v>6.8235999999999999</v>
      </c>
      <c r="W1113" s="1">
        <v>43563</v>
      </c>
      <c r="X1113">
        <v>0.85270000000000001</v>
      </c>
    </row>
    <row r="1114" spans="2:24" x14ac:dyDescent="0.3">
      <c r="B1114" s="1">
        <v>43437</v>
      </c>
      <c r="C1114">
        <v>1.0005999999999999</v>
      </c>
      <c r="F1114" s="1">
        <v>43437</v>
      </c>
      <c r="G1114">
        <v>102.05</v>
      </c>
      <c r="K1114" s="1">
        <v>43559</v>
      </c>
      <c r="L1114">
        <v>6.8235999999999999</v>
      </c>
      <c r="W1114" s="1">
        <v>43560</v>
      </c>
      <c r="X1114">
        <v>0.85440000000000005</v>
      </c>
    </row>
    <row r="1115" spans="2:24" x14ac:dyDescent="0.3">
      <c r="B1115" s="1">
        <v>43434</v>
      </c>
      <c r="C1115">
        <v>0.98640000000000005</v>
      </c>
      <c r="F1115" s="1">
        <v>43434</v>
      </c>
      <c r="G1115">
        <v>100.6</v>
      </c>
      <c r="K1115" s="1">
        <v>43558</v>
      </c>
      <c r="L1115">
        <v>6.8235999999999999</v>
      </c>
      <c r="W1115" s="1">
        <v>43559</v>
      </c>
      <c r="X1115">
        <v>0.85440000000000005</v>
      </c>
    </row>
    <row r="1116" spans="2:24" x14ac:dyDescent="0.3">
      <c r="B1116" s="1">
        <v>43433</v>
      </c>
      <c r="C1116">
        <v>0.97799999999999998</v>
      </c>
      <c r="F1116" s="1">
        <v>43433</v>
      </c>
      <c r="G1116">
        <v>99.74</v>
      </c>
      <c r="K1116" s="1">
        <v>43557</v>
      </c>
      <c r="L1116">
        <v>6.7962999999999996</v>
      </c>
      <c r="W1116" s="1">
        <v>43558</v>
      </c>
      <c r="X1116">
        <v>0.85440000000000005</v>
      </c>
    </row>
    <row r="1117" spans="2:24" x14ac:dyDescent="0.3">
      <c r="B1117" s="1">
        <v>43432</v>
      </c>
      <c r="C1117">
        <v>0.97209999999999996</v>
      </c>
      <c r="F1117" s="1">
        <v>43432</v>
      </c>
      <c r="G1117">
        <v>99.14</v>
      </c>
      <c r="K1117" s="1">
        <v>43556</v>
      </c>
      <c r="L1117">
        <v>6.81</v>
      </c>
      <c r="W1117" s="1">
        <v>43557</v>
      </c>
      <c r="X1117">
        <v>0.85099999999999998</v>
      </c>
    </row>
    <row r="1118" spans="2:24" x14ac:dyDescent="0.3">
      <c r="B1118" s="1">
        <v>43431</v>
      </c>
      <c r="C1118">
        <v>0.96619999999999995</v>
      </c>
      <c r="F1118" s="1">
        <v>43431</v>
      </c>
      <c r="G1118">
        <v>98.54</v>
      </c>
      <c r="K1118" s="1">
        <v>43553</v>
      </c>
      <c r="L1118">
        <v>6.7348999999999997</v>
      </c>
      <c r="W1118" s="1">
        <v>43556</v>
      </c>
      <c r="X1118">
        <v>0.85270000000000001</v>
      </c>
    </row>
    <row r="1119" spans="2:24" x14ac:dyDescent="0.3">
      <c r="B1119" s="1">
        <v>43430</v>
      </c>
      <c r="C1119">
        <v>0.94779999999999998</v>
      </c>
      <c r="F1119" s="1">
        <v>43430</v>
      </c>
      <c r="G1119">
        <v>96.66</v>
      </c>
      <c r="K1119" s="1">
        <v>43552</v>
      </c>
      <c r="L1119">
        <v>6.2098000000000004</v>
      </c>
      <c r="W1119" s="1">
        <v>43553</v>
      </c>
      <c r="X1119">
        <v>0.84330000000000005</v>
      </c>
    </row>
    <row r="1120" spans="2:24" x14ac:dyDescent="0.3">
      <c r="B1120" s="1">
        <v>43427</v>
      </c>
      <c r="C1120">
        <v>0.94359999999999999</v>
      </c>
      <c r="F1120" s="1">
        <v>43427</v>
      </c>
      <c r="G1120">
        <v>96.23</v>
      </c>
      <c r="K1120" s="1">
        <v>43551</v>
      </c>
      <c r="L1120">
        <v>6.2098000000000004</v>
      </c>
      <c r="W1120" s="1">
        <v>43552</v>
      </c>
      <c r="X1120">
        <v>0.83379999999999999</v>
      </c>
    </row>
    <row r="1121" spans="2:24" x14ac:dyDescent="0.3">
      <c r="B1121" s="1">
        <v>43425</v>
      </c>
      <c r="C1121">
        <v>0.94610000000000005</v>
      </c>
      <c r="F1121" s="1">
        <v>43425</v>
      </c>
      <c r="G1121">
        <v>96.49</v>
      </c>
      <c r="K1121" s="1">
        <v>43550</v>
      </c>
      <c r="L1121">
        <v>6.2412999999999998</v>
      </c>
      <c r="W1121" s="1">
        <v>43551</v>
      </c>
      <c r="X1121">
        <v>0.83379999999999999</v>
      </c>
    </row>
    <row r="1122" spans="2:24" x14ac:dyDescent="0.3">
      <c r="B1122" s="1">
        <v>43423</v>
      </c>
      <c r="C1122">
        <v>0.94779999999999998</v>
      </c>
      <c r="F1122" s="1">
        <v>43423</v>
      </c>
      <c r="G1122">
        <v>96.66</v>
      </c>
      <c r="K1122" s="1">
        <v>43549</v>
      </c>
      <c r="L1122">
        <v>6.2035</v>
      </c>
      <c r="W1122" s="1">
        <v>43550</v>
      </c>
      <c r="X1122">
        <v>0.83809999999999996</v>
      </c>
    </row>
    <row r="1123" spans="2:24" x14ac:dyDescent="0.3">
      <c r="B1123" s="1">
        <v>43420</v>
      </c>
      <c r="C1123">
        <v>0.95699999999999996</v>
      </c>
      <c r="F1123" s="1">
        <v>43420</v>
      </c>
      <c r="G1123">
        <v>97.6</v>
      </c>
      <c r="K1123" s="1">
        <v>43546</v>
      </c>
      <c r="L1123">
        <v>6.2224000000000004</v>
      </c>
      <c r="W1123" s="1">
        <v>43549</v>
      </c>
      <c r="X1123">
        <v>0.83299999999999996</v>
      </c>
    </row>
    <row r="1124" spans="2:24" x14ac:dyDescent="0.3">
      <c r="B1124" s="1">
        <v>43419</v>
      </c>
      <c r="C1124">
        <v>0.95620000000000005</v>
      </c>
      <c r="F1124" s="1">
        <v>43419</v>
      </c>
      <c r="G1124">
        <v>97.52</v>
      </c>
      <c r="K1124" s="1">
        <v>43545</v>
      </c>
      <c r="L1124">
        <v>6.2098000000000004</v>
      </c>
      <c r="W1124" s="1">
        <v>43546</v>
      </c>
      <c r="X1124">
        <v>0.83550000000000002</v>
      </c>
    </row>
    <row r="1125" spans="2:24" x14ac:dyDescent="0.3">
      <c r="B1125" s="1">
        <v>43418</v>
      </c>
      <c r="C1125">
        <v>0.95369999999999999</v>
      </c>
      <c r="F1125" s="1">
        <v>43418</v>
      </c>
      <c r="G1125">
        <v>97.26</v>
      </c>
      <c r="K1125" s="1">
        <v>43543</v>
      </c>
      <c r="L1125">
        <v>6.2412999999999998</v>
      </c>
      <c r="W1125" s="1">
        <v>43545</v>
      </c>
      <c r="X1125">
        <v>0.83379999999999999</v>
      </c>
    </row>
    <row r="1126" spans="2:24" x14ac:dyDescent="0.3">
      <c r="B1126" s="1">
        <v>43417</v>
      </c>
      <c r="C1126">
        <v>0.96460000000000001</v>
      </c>
      <c r="F1126" s="1">
        <v>43417</v>
      </c>
      <c r="G1126">
        <v>98.37</v>
      </c>
      <c r="K1126" s="1">
        <v>43542</v>
      </c>
      <c r="L1126">
        <v>6.3044000000000002</v>
      </c>
      <c r="W1126" s="1">
        <v>43543</v>
      </c>
      <c r="X1126">
        <v>0.83809999999999996</v>
      </c>
    </row>
    <row r="1127" spans="2:24" x14ac:dyDescent="0.3">
      <c r="B1127" s="1">
        <v>43416</v>
      </c>
      <c r="C1127">
        <v>0.96460000000000001</v>
      </c>
      <c r="F1127" s="1">
        <v>43416</v>
      </c>
      <c r="G1127">
        <v>98.37</v>
      </c>
      <c r="K1127" s="1">
        <v>43539</v>
      </c>
      <c r="L1127">
        <v>6.2412999999999998</v>
      </c>
      <c r="W1127" s="1">
        <v>43542</v>
      </c>
      <c r="X1127">
        <v>0.84650000000000003</v>
      </c>
    </row>
    <row r="1128" spans="2:24" x14ac:dyDescent="0.3">
      <c r="B1128" s="1">
        <v>43413</v>
      </c>
      <c r="C1128">
        <v>0.97040000000000004</v>
      </c>
      <c r="F1128" s="1">
        <v>43413</v>
      </c>
      <c r="G1128">
        <v>98.97</v>
      </c>
      <c r="K1128" s="1">
        <v>43538</v>
      </c>
      <c r="L1128">
        <v>6.2412999999999998</v>
      </c>
      <c r="W1128" s="1">
        <v>43539</v>
      </c>
      <c r="X1128">
        <v>0.83809999999999996</v>
      </c>
    </row>
    <row r="1129" spans="2:24" x14ac:dyDescent="0.3">
      <c r="B1129" s="1">
        <v>43412</v>
      </c>
      <c r="C1129">
        <v>0.97209999999999996</v>
      </c>
      <c r="F1129" s="1">
        <v>43412</v>
      </c>
      <c r="G1129">
        <v>99.14</v>
      </c>
      <c r="K1129" s="1">
        <v>43537</v>
      </c>
      <c r="L1129">
        <v>6.1151999999999997</v>
      </c>
      <c r="W1129" s="1">
        <v>43538</v>
      </c>
      <c r="X1129">
        <v>0.83809999999999996</v>
      </c>
    </row>
    <row r="1130" spans="2:24" x14ac:dyDescent="0.3">
      <c r="B1130" s="1">
        <v>43411</v>
      </c>
      <c r="C1130">
        <v>0.99060000000000004</v>
      </c>
      <c r="F1130" s="1">
        <v>43411</v>
      </c>
      <c r="G1130">
        <v>101.03</v>
      </c>
      <c r="K1130" s="1">
        <v>43536</v>
      </c>
      <c r="L1130">
        <v>6.3044000000000002</v>
      </c>
      <c r="W1130" s="1">
        <v>43537</v>
      </c>
      <c r="X1130">
        <v>0.82110000000000005</v>
      </c>
    </row>
    <row r="1131" spans="2:24" x14ac:dyDescent="0.3">
      <c r="B1131" s="1">
        <v>43409</v>
      </c>
      <c r="C1131">
        <v>1.0434000000000001</v>
      </c>
      <c r="F1131" s="1">
        <v>43409</v>
      </c>
      <c r="G1131">
        <v>106.41</v>
      </c>
      <c r="K1131" s="1">
        <v>43535</v>
      </c>
      <c r="L1131">
        <v>6.3422000000000001</v>
      </c>
      <c r="W1131" s="1">
        <v>43536</v>
      </c>
      <c r="X1131">
        <v>0.84650000000000003</v>
      </c>
    </row>
    <row r="1132" spans="2:24" x14ac:dyDescent="0.3">
      <c r="B1132" s="1">
        <v>43406</v>
      </c>
      <c r="C1132">
        <v>1.0391999999999999</v>
      </c>
      <c r="F1132" s="1">
        <v>43406</v>
      </c>
      <c r="G1132">
        <v>105.99</v>
      </c>
      <c r="K1132" s="1">
        <v>43532</v>
      </c>
      <c r="L1132">
        <v>6.4303999999999997</v>
      </c>
      <c r="W1132" s="1">
        <v>43535</v>
      </c>
      <c r="X1132">
        <v>0.85160000000000002</v>
      </c>
    </row>
    <row r="1133" spans="2:24" x14ac:dyDescent="0.3">
      <c r="B1133" s="1">
        <v>43405</v>
      </c>
      <c r="C1133">
        <v>1.0216000000000001</v>
      </c>
      <c r="F1133" s="1">
        <v>43405</v>
      </c>
      <c r="G1133">
        <v>104.19</v>
      </c>
      <c r="K1133" s="1">
        <v>43531</v>
      </c>
      <c r="L1133">
        <v>6.5438999999999998</v>
      </c>
      <c r="W1133" s="1">
        <v>43532</v>
      </c>
      <c r="X1133">
        <v>0.86339999999999995</v>
      </c>
    </row>
    <row r="1134" spans="2:24" x14ac:dyDescent="0.3">
      <c r="B1134" s="1">
        <v>43404</v>
      </c>
      <c r="C1134">
        <v>0.9889</v>
      </c>
      <c r="F1134" s="1">
        <v>43404</v>
      </c>
      <c r="G1134">
        <v>100.85</v>
      </c>
      <c r="K1134" s="1">
        <v>43530</v>
      </c>
      <c r="L1134">
        <v>6.4935</v>
      </c>
      <c r="W1134" s="1">
        <v>43531</v>
      </c>
      <c r="X1134">
        <v>0.87870000000000004</v>
      </c>
    </row>
    <row r="1135" spans="2:24" x14ac:dyDescent="0.3">
      <c r="B1135" s="1">
        <v>43403</v>
      </c>
      <c r="C1135">
        <v>0.95620000000000005</v>
      </c>
      <c r="F1135" s="1">
        <v>43403</v>
      </c>
      <c r="G1135">
        <v>97.52</v>
      </c>
      <c r="K1135" s="1">
        <v>43529</v>
      </c>
      <c r="L1135">
        <v>6.4935</v>
      </c>
      <c r="W1135" s="1">
        <v>43530</v>
      </c>
      <c r="X1135">
        <v>0.87190000000000001</v>
      </c>
    </row>
    <row r="1136" spans="2:24" x14ac:dyDescent="0.3">
      <c r="B1136" s="1">
        <v>43402</v>
      </c>
      <c r="C1136">
        <v>0.95620000000000005</v>
      </c>
      <c r="F1136" s="1">
        <v>43402</v>
      </c>
      <c r="G1136">
        <v>97.52</v>
      </c>
      <c r="K1136" s="1">
        <v>43525</v>
      </c>
      <c r="L1136">
        <v>6.4935</v>
      </c>
      <c r="W1136" s="1">
        <v>43529</v>
      </c>
      <c r="X1136">
        <v>0.87190000000000001</v>
      </c>
    </row>
    <row r="1137" spans="2:24" x14ac:dyDescent="0.3">
      <c r="B1137" s="1">
        <v>43399</v>
      </c>
      <c r="C1137">
        <v>0.92510000000000003</v>
      </c>
      <c r="F1137" s="1">
        <v>43399</v>
      </c>
      <c r="G1137">
        <v>94.35</v>
      </c>
      <c r="K1137" s="1">
        <v>43524</v>
      </c>
      <c r="L1137">
        <v>6.6448</v>
      </c>
      <c r="W1137" s="1">
        <v>43525</v>
      </c>
      <c r="X1137">
        <v>0.87190000000000001</v>
      </c>
    </row>
    <row r="1138" spans="2:24" x14ac:dyDescent="0.3">
      <c r="B1138" s="1">
        <v>43398</v>
      </c>
      <c r="C1138">
        <v>0.9042</v>
      </c>
      <c r="F1138" s="1">
        <v>43398</v>
      </c>
      <c r="G1138">
        <v>92.21</v>
      </c>
      <c r="K1138" s="1">
        <v>43523</v>
      </c>
      <c r="L1138">
        <v>6.7393999999999998</v>
      </c>
      <c r="W1138" s="1">
        <v>43524</v>
      </c>
      <c r="X1138">
        <v>0.89219999999999999</v>
      </c>
    </row>
    <row r="1139" spans="2:24" x14ac:dyDescent="0.3">
      <c r="B1139" s="1">
        <v>43396</v>
      </c>
      <c r="C1139">
        <v>0.91</v>
      </c>
      <c r="F1139" s="1">
        <v>43396</v>
      </c>
      <c r="G1139">
        <v>92.81</v>
      </c>
      <c r="K1139" s="1">
        <v>43522</v>
      </c>
      <c r="L1139">
        <v>6.8023999999999996</v>
      </c>
      <c r="W1139" s="1">
        <v>43523</v>
      </c>
      <c r="X1139">
        <v>0.90490000000000004</v>
      </c>
    </row>
    <row r="1140" spans="2:24" x14ac:dyDescent="0.3">
      <c r="B1140" s="1">
        <v>43395</v>
      </c>
      <c r="C1140">
        <v>0.91339999999999999</v>
      </c>
      <c r="F1140" s="1">
        <v>43395</v>
      </c>
      <c r="G1140">
        <v>93.16</v>
      </c>
      <c r="K1140" s="1">
        <v>43521</v>
      </c>
      <c r="L1140">
        <v>6.6825999999999999</v>
      </c>
      <c r="W1140" s="1">
        <v>43522</v>
      </c>
      <c r="X1140">
        <v>0.91339999999999999</v>
      </c>
    </row>
    <row r="1141" spans="2:24" x14ac:dyDescent="0.3">
      <c r="B1141" s="1">
        <v>43392</v>
      </c>
      <c r="C1141">
        <v>0.91</v>
      </c>
      <c r="F1141" s="1">
        <v>43392</v>
      </c>
      <c r="G1141">
        <v>92.81</v>
      </c>
      <c r="K1141" s="1">
        <v>43518</v>
      </c>
      <c r="L1141">
        <v>6.7519999999999998</v>
      </c>
      <c r="W1141" s="1">
        <v>43521</v>
      </c>
      <c r="X1141">
        <v>0.89729999999999999</v>
      </c>
    </row>
    <row r="1142" spans="2:24" x14ac:dyDescent="0.3">
      <c r="B1142" s="1">
        <v>43391</v>
      </c>
      <c r="C1142">
        <v>0.92849999999999999</v>
      </c>
      <c r="F1142" s="1">
        <v>43391</v>
      </c>
      <c r="G1142">
        <v>94.7</v>
      </c>
      <c r="K1142" s="1">
        <v>43517</v>
      </c>
      <c r="L1142">
        <v>6.7267999999999999</v>
      </c>
      <c r="W1142" s="1">
        <v>43518</v>
      </c>
      <c r="X1142">
        <v>0.90659999999999996</v>
      </c>
    </row>
    <row r="1143" spans="2:24" x14ac:dyDescent="0.3">
      <c r="B1143" s="1">
        <v>43390</v>
      </c>
      <c r="C1143">
        <v>0.92259999999999998</v>
      </c>
      <c r="F1143" s="1">
        <v>43390</v>
      </c>
      <c r="G1143">
        <v>94.1</v>
      </c>
      <c r="K1143" s="1">
        <v>43516</v>
      </c>
      <c r="L1143">
        <v>6.8150000000000004</v>
      </c>
      <c r="W1143" s="1">
        <v>43517</v>
      </c>
      <c r="X1143">
        <v>0.9032</v>
      </c>
    </row>
    <row r="1144" spans="2:24" x14ac:dyDescent="0.3">
      <c r="B1144" s="1">
        <v>43389</v>
      </c>
      <c r="C1144">
        <v>0.92259999999999998</v>
      </c>
      <c r="F1144" s="1">
        <v>43389</v>
      </c>
      <c r="G1144">
        <v>94.1</v>
      </c>
      <c r="K1144" s="1">
        <v>43514</v>
      </c>
      <c r="L1144">
        <v>6.9032999999999998</v>
      </c>
      <c r="W1144" s="1">
        <v>43516</v>
      </c>
      <c r="X1144">
        <v>0.91510000000000002</v>
      </c>
    </row>
    <row r="1145" spans="2:24" x14ac:dyDescent="0.3">
      <c r="B1145" s="1">
        <v>43388</v>
      </c>
      <c r="C1145">
        <v>0.92349999999999999</v>
      </c>
      <c r="F1145" s="1">
        <v>43388</v>
      </c>
      <c r="G1145">
        <v>94.18</v>
      </c>
      <c r="K1145" s="1">
        <v>43511</v>
      </c>
      <c r="L1145">
        <v>6.9222000000000001</v>
      </c>
      <c r="W1145" s="1">
        <v>43514</v>
      </c>
      <c r="X1145">
        <v>0.92689999999999995</v>
      </c>
    </row>
    <row r="1146" spans="2:24" x14ac:dyDescent="0.3">
      <c r="B1146" s="1">
        <v>43385</v>
      </c>
      <c r="C1146">
        <v>0.93600000000000005</v>
      </c>
      <c r="F1146" s="1">
        <v>43385</v>
      </c>
      <c r="G1146">
        <v>95.47</v>
      </c>
      <c r="K1146" s="1">
        <v>43510</v>
      </c>
      <c r="L1146">
        <v>6.9977999999999998</v>
      </c>
      <c r="W1146" s="1">
        <v>43511</v>
      </c>
      <c r="X1146">
        <v>0.92949999999999999</v>
      </c>
    </row>
    <row r="1147" spans="2:24" x14ac:dyDescent="0.3">
      <c r="B1147" s="1">
        <v>43384</v>
      </c>
      <c r="C1147">
        <v>0.94359999999999999</v>
      </c>
      <c r="F1147" s="1">
        <v>43384</v>
      </c>
      <c r="G1147">
        <v>96.23</v>
      </c>
      <c r="K1147" s="1">
        <v>43509</v>
      </c>
      <c r="L1147">
        <v>6.9977999999999998</v>
      </c>
      <c r="W1147" s="1">
        <v>43510</v>
      </c>
      <c r="X1147">
        <v>0.93959999999999999</v>
      </c>
    </row>
    <row r="1148" spans="2:24" x14ac:dyDescent="0.3">
      <c r="B1148" s="1">
        <v>43383</v>
      </c>
      <c r="C1148">
        <v>0.94440000000000002</v>
      </c>
      <c r="F1148" s="1">
        <v>43383</v>
      </c>
      <c r="G1148">
        <v>96.32</v>
      </c>
      <c r="K1148" s="1">
        <v>43508</v>
      </c>
      <c r="L1148">
        <v>7.0041000000000002</v>
      </c>
      <c r="W1148" s="1">
        <v>43509</v>
      </c>
      <c r="X1148">
        <v>0.93959999999999999</v>
      </c>
    </row>
    <row r="1149" spans="2:24" x14ac:dyDescent="0.3">
      <c r="B1149" s="1">
        <v>43382</v>
      </c>
      <c r="C1149">
        <v>0.94779999999999998</v>
      </c>
      <c r="F1149" s="1">
        <v>43382</v>
      </c>
      <c r="G1149">
        <v>96.66</v>
      </c>
      <c r="K1149" s="1">
        <v>43507</v>
      </c>
      <c r="L1149">
        <v>7.0231000000000003</v>
      </c>
      <c r="W1149" s="1">
        <v>43508</v>
      </c>
      <c r="X1149">
        <v>0.9405</v>
      </c>
    </row>
    <row r="1150" spans="2:24" x14ac:dyDescent="0.3">
      <c r="B1150" s="1">
        <v>43381</v>
      </c>
      <c r="C1150">
        <v>0.95620000000000005</v>
      </c>
      <c r="F1150" s="1">
        <v>43381</v>
      </c>
      <c r="G1150">
        <v>97.52</v>
      </c>
      <c r="K1150" s="1">
        <v>43504</v>
      </c>
      <c r="L1150">
        <v>7.0231000000000003</v>
      </c>
      <c r="W1150" s="1">
        <v>43507</v>
      </c>
      <c r="X1150">
        <v>0.94299999999999995</v>
      </c>
    </row>
    <row r="1151" spans="2:24" x14ac:dyDescent="0.3">
      <c r="B1151" s="1">
        <v>43378</v>
      </c>
      <c r="C1151">
        <v>0.95199999999999996</v>
      </c>
      <c r="F1151" s="1">
        <v>43378</v>
      </c>
      <c r="G1151">
        <v>97.09</v>
      </c>
      <c r="K1151" s="1">
        <v>43503</v>
      </c>
      <c r="L1151">
        <v>7.0483000000000002</v>
      </c>
      <c r="W1151" s="1">
        <v>43504</v>
      </c>
      <c r="X1151">
        <v>0.94299999999999995</v>
      </c>
    </row>
    <row r="1152" spans="2:24" x14ac:dyDescent="0.3">
      <c r="B1152" s="1">
        <v>43377</v>
      </c>
      <c r="C1152">
        <v>0.94359999999999999</v>
      </c>
      <c r="F1152" s="1">
        <v>43377</v>
      </c>
      <c r="G1152">
        <v>96.23</v>
      </c>
      <c r="K1152" s="1">
        <v>43502</v>
      </c>
      <c r="L1152">
        <v>7.0797999999999996</v>
      </c>
      <c r="W1152" s="1">
        <v>43503</v>
      </c>
      <c r="X1152">
        <v>0.94640000000000002</v>
      </c>
    </row>
    <row r="1153" spans="2:24" x14ac:dyDescent="0.3">
      <c r="B1153" s="1">
        <v>43376</v>
      </c>
      <c r="C1153">
        <v>0.93520000000000003</v>
      </c>
      <c r="F1153" s="1">
        <v>43376</v>
      </c>
      <c r="G1153">
        <v>95.38</v>
      </c>
      <c r="K1153" s="1">
        <v>43501</v>
      </c>
      <c r="L1153">
        <v>7.1870000000000003</v>
      </c>
      <c r="W1153" s="1">
        <v>43502</v>
      </c>
      <c r="X1153">
        <v>0.9506</v>
      </c>
    </row>
    <row r="1154" spans="2:24" x14ac:dyDescent="0.3">
      <c r="B1154" s="1">
        <v>43375</v>
      </c>
      <c r="C1154">
        <v>0.93940000000000001</v>
      </c>
      <c r="F1154" s="1">
        <v>43375</v>
      </c>
      <c r="G1154">
        <v>95.81</v>
      </c>
      <c r="K1154" s="1">
        <v>43497</v>
      </c>
      <c r="L1154">
        <v>7.1870000000000003</v>
      </c>
      <c r="W1154" s="1">
        <v>43501</v>
      </c>
      <c r="X1154">
        <v>0.96499999999999997</v>
      </c>
    </row>
    <row r="1155" spans="2:24" x14ac:dyDescent="0.3">
      <c r="B1155" s="1">
        <v>43374</v>
      </c>
      <c r="C1155">
        <v>0.94359999999999999</v>
      </c>
      <c r="F1155" s="1">
        <v>43374</v>
      </c>
      <c r="G1155">
        <v>96.23</v>
      </c>
      <c r="K1155" s="1">
        <v>43496</v>
      </c>
      <c r="L1155">
        <v>7.1870000000000003</v>
      </c>
      <c r="W1155" s="1">
        <v>43497</v>
      </c>
      <c r="X1155">
        <v>0.96499999999999997</v>
      </c>
    </row>
    <row r="1156" spans="2:24" x14ac:dyDescent="0.3">
      <c r="B1156" s="1">
        <v>43371</v>
      </c>
      <c r="C1156">
        <v>0.94779999999999998</v>
      </c>
      <c r="F1156" s="1">
        <v>43371</v>
      </c>
      <c r="G1156">
        <v>96.66</v>
      </c>
      <c r="K1156" s="1">
        <v>43495</v>
      </c>
      <c r="L1156">
        <v>7.1870000000000003</v>
      </c>
      <c r="W1156" s="1">
        <v>43496</v>
      </c>
      <c r="X1156">
        <v>0.96499999999999997</v>
      </c>
    </row>
    <row r="1157" spans="2:24" x14ac:dyDescent="0.3">
      <c r="B1157" s="1">
        <v>43370</v>
      </c>
      <c r="C1157">
        <v>1.0007999999999999</v>
      </c>
      <c r="F1157" s="1">
        <v>43370</v>
      </c>
      <c r="G1157">
        <v>96.75</v>
      </c>
      <c r="K1157" s="1">
        <v>43494</v>
      </c>
      <c r="L1157">
        <v>7.1996000000000002</v>
      </c>
      <c r="W1157" s="1">
        <v>43495</v>
      </c>
      <c r="X1157">
        <v>0.96499999999999997</v>
      </c>
    </row>
    <row r="1158" spans="2:24" x14ac:dyDescent="0.3">
      <c r="B1158" s="1">
        <v>43369</v>
      </c>
      <c r="C1158">
        <v>1.0087999999999999</v>
      </c>
      <c r="F1158" s="1">
        <v>43369</v>
      </c>
      <c r="G1158">
        <v>97.52</v>
      </c>
      <c r="K1158" s="1">
        <v>43493</v>
      </c>
      <c r="L1158">
        <v>7.1932999999999998</v>
      </c>
      <c r="W1158" s="1">
        <v>43494</v>
      </c>
      <c r="X1158">
        <v>0.9667</v>
      </c>
    </row>
    <row r="1159" spans="2:24" x14ac:dyDescent="0.3">
      <c r="B1159" s="1">
        <v>43368</v>
      </c>
      <c r="C1159">
        <v>1.0087999999999999</v>
      </c>
      <c r="F1159" s="1">
        <v>43368</v>
      </c>
      <c r="G1159">
        <v>97.52</v>
      </c>
      <c r="K1159" s="1">
        <v>43490</v>
      </c>
      <c r="L1159">
        <v>7.1555</v>
      </c>
      <c r="W1159" s="1">
        <v>43493</v>
      </c>
      <c r="X1159">
        <v>0.96589999999999998</v>
      </c>
    </row>
    <row r="1160" spans="2:24" x14ac:dyDescent="0.3">
      <c r="B1160" s="1">
        <v>43364</v>
      </c>
      <c r="C1160">
        <v>1.0097</v>
      </c>
      <c r="F1160" s="1">
        <v>43364</v>
      </c>
      <c r="G1160">
        <v>97.6</v>
      </c>
      <c r="K1160" s="1">
        <v>43489</v>
      </c>
      <c r="L1160">
        <v>7.1238999999999999</v>
      </c>
      <c r="W1160" s="1">
        <v>43490</v>
      </c>
      <c r="X1160">
        <v>0.96079999999999999</v>
      </c>
    </row>
    <row r="1161" spans="2:24" x14ac:dyDescent="0.3">
      <c r="B1161" s="1">
        <v>43363</v>
      </c>
      <c r="C1161">
        <v>1.0203</v>
      </c>
      <c r="F1161" s="1">
        <v>43363</v>
      </c>
      <c r="G1161">
        <v>98.63</v>
      </c>
      <c r="K1161" s="1">
        <v>43488</v>
      </c>
      <c r="L1161">
        <v>7.1302000000000003</v>
      </c>
      <c r="W1161" s="1">
        <v>43489</v>
      </c>
      <c r="X1161">
        <v>0.95660000000000001</v>
      </c>
    </row>
    <row r="1162" spans="2:24" x14ac:dyDescent="0.3">
      <c r="B1162" s="1">
        <v>43362</v>
      </c>
      <c r="C1162">
        <v>1.03</v>
      </c>
      <c r="F1162" s="1">
        <v>43362</v>
      </c>
      <c r="G1162">
        <v>99.57</v>
      </c>
      <c r="K1162" s="1">
        <v>43487</v>
      </c>
      <c r="L1162">
        <v>7.1744000000000003</v>
      </c>
      <c r="W1162" s="1">
        <v>43488</v>
      </c>
      <c r="X1162">
        <v>0.95740000000000003</v>
      </c>
    </row>
    <row r="1163" spans="2:24" x14ac:dyDescent="0.3">
      <c r="B1163" s="1">
        <v>43361</v>
      </c>
      <c r="C1163">
        <v>1.0308999999999999</v>
      </c>
      <c r="F1163" s="1">
        <v>43361</v>
      </c>
      <c r="G1163">
        <v>99.66</v>
      </c>
      <c r="K1163" s="1">
        <v>43486</v>
      </c>
      <c r="L1163">
        <v>7.1870000000000003</v>
      </c>
      <c r="W1163" s="1">
        <v>43487</v>
      </c>
      <c r="X1163">
        <v>0.96330000000000005</v>
      </c>
    </row>
    <row r="1164" spans="2:24" x14ac:dyDescent="0.3">
      <c r="B1164" s="1">
        <v>43360</v>
      </c>
      <c r="C1164">
        <v>1.0573999999999999</v>
      </c>
      <c r="F1164" s="1">
        <v>43360</v>
      </c>
      <c r="G1164">
        <v>102.22</v>
      </c>
      <c r="K1164" s="1">
        <v>43483</v>
      </c>
      <c r="L1164">
        <v>7.2184999999999997</v>
      </c>
      <c r="W1164" s="1">
        <v>43486</v>
      </c>
      <c r="X1164">
        <v>0.96499999999999997</v>
      </c>
    </row>
    <row r="1165" spans="2:24" x14ac:dyDescent="0.3">
      <c r="B1165" s="1">
        <v>43357</v>
      </c>
      <c r="C1165">
        <v>1.0601</v>
      </c>
      <c r="F1165" s="1">
        <v>43357</v>
      </c>
      <c r="G1165">
        <v>102.48</v>
      </c>
      <c r="K1165" s="1">
        <v>43482</v>
      </c>
      <c r="L1165">
        <v>7.2374000000000001</v>
      </c>
      <c r="W1165" s="1">
        <v>43483</v>
      </c>
      <c r="X1165">
        <v>0.96930000000000005</v>
      </c>
    </row>
    <row r="1166" spans="2:24" x14ac:dyDescent="0.3">
      <c r="B1166" s="1">
        <v>43356</v>
      </c>
      <c r="C1166">
        <v>1.0707</v>
      </c>
      <c r="F1166" s="1">
        <v>43356</v>
      </c>
      <c r="G1166">
        <v>103.51</v>
      </c>
      <c r="K1166" s="1">
        <v>43481</v>
      </c>
      <c r="L1166">
        <v>7.25</v>
      </c>
      <c r="W1166" s="1">
        <v>43482</v>
      </c>
      <c r="X1166">
        <v>0.9718</v>
      </c>
    </row>
    <row r="1167" spans="2:24" x14ac:dyDescent="0.3">
      <c r="B1167" s="1">
        <v>43355</v>
      </c>
      <c r="C1167">
        <v>1.0795999999999999</v>
      </c>
      <c r="F1167" s="1">
        <v>43355</v>
      </c>
      <c r="G1167">
        <v>104.36</v>
      </c>
      <c r="K1167" s="1">
        <v>43479</v>
      </c>
      <c r="L1167">
        <v>7.1996000000000002</v>
      </c>
      <c r="W1167" s="1">
        <v>43481</v>
      </c>
      <c r="X1167">
        <v>0.97350000000000003</v>
      </c>
    </row>
    <row r="1168" spans="2:24" x14ac:dyDescent="0.3">
      <c r="B1168" s="1">
        <v>43354</v>
      </c>
      <c r="C1168">
        <v>1.0884</v>
      </c>
      <c r="F1168" s="1">
        <v>43354</v>
      </c>
      <c r="G1168">
        <v>105.22</v>
      </c>
      <c r="K1168" s="1">
        <v>43476</v>
      </c>
      <c r="L1168">
        <v>7.1870000000000003</v>
      </c>
      <c r="W1168" s="1">
        <v>43479</v>
      </c>
      <c r="X1168">
        <v>0.9667</v>
      </c>
    </row>
    <row r="1169" spans="2:24" x14ac:dyDescent="0.3">
      <c r="B1169" s="1">
        <v>43353</v>
      </c>
      <c r="C1169">
        <v>1.0884</v>
      </c>
      <c r="F1169" s="1">
        <v>43353</v>
      </c>
      <c r="G1169">
        <v>105.22</v>
      </c>
      <c r="W1169" s="1">
        <v>43476</v>
      </c>
      <c r="X1169">
        <v>0.96499999999999997</v>
      </c>
    </row>
    <row r="1170" spans="2:24" x14ac:dyDescent="0.3">
      <c r="B1170" s="1">
        <v>43350</v>
      </c>
      <c r="C1170">
        <v>1.0964</v>
      </c>
      <c r="F1170" s="1">
        <v>43350</v>
      </c>
      <c r="G1170">
        <v>105.99</v>
      </c>
    </row>
    <row r="1171" spans="2:24" x14ac:dyDescent="0.3">
      <c r="B1171" s="1">
        <v>43349</v>
      </c>
      <c r="C1171">
        <v>1.0946</v>
      </c>
      <c r="F1171" s="1">
        <v>43349</v>
      </c>
      <c r="G1171">
        <v>105.82</v>
      </c>
    </row>
    <row r="1172" spans="2:24" x14ac:dyDescent="0.3">
      <c r="B1172" s="1">
        <v>43348</v>
      </c>
      <c r="C1172">
        <v>1.0946</v>
      </c>
      <c r="F1172" s="1">
        <v>43348</v>
      </c>
      <c r="G1172">
        <v>105.82</v>
      </c>
    </row>
    <row r="1173" spans="2:24" x14ac:dyDescent="0.3">
      <c r="B1173" s="1">
        <v>43347</v>
      </c>
      <c r="C1173">
        <v>1.0928</v>
      </c>
      <c r="F1173" s="1">
        <v>43347</v>
      </c>
      <c r="G1173">
        <v>105.64</v>
      </c>
    </row>
    <row r="1174" spans="2:24" x14ac:dyDescent="0.3">
      <c r="B1174" s="1">
        <v>43346</v>
      </c>
      <c r="C1174">
        <v>1.0972999999999999</v>
      </c>
      <c r="F1174" s="1">
        <v>43346</v>
      </c>
      <c r="G1174">
        <v>106.07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1DC2-5CE7-48AB-9822-86F0225B7CF2}">
  <dimension ref="B2:W58"/>
  <sheetViews>
    <sheetView showGridLines="0" topLeftCell="A49" workbookViewId="0">
      <selection activeCell="O18" sqref="O18"/>
    </sheetView>
  </sheetViews>
  <sheetFormatPr defaultRowHeight="14.4" x14ac:dyDescent="0.3"/>
  <cols>
    <col min="2" max="2" width="47.44140625" bestFit="1" customWidth="1"/>
    <col min="3" max="8" width="10.109375" customWidth="1"/>
    <col min="12" max="12" width="17.33203125" customWidth="1"/>
    <col min="13" max="13" width="7.44140625" customWidth="1"/>
    <col min="14" max="14" width="8.77734375" customWidth="1"/>
    <col min="16" max="16" width="11.109375" bestFit="1" customWidth="1"/>
    <col min="17" max="17" width="20.88671875" bestFit="1" customWidth="1"/>
    <col min="18" max="23" width="10" customWidth="1"/>
  </cols>
  <sheetData>
    <row r="2" spans="2:23" x14ac:dyDescent="0.3">
      <c r="B2" s="131" t="s">
        <v>681</v>
      </c>
      <c r="C2" s="129">
        <f>FS!F4</f>
        <v>2020</v>
      </c>
      <c r="D2" s="129">
        <f>FS!G4</f>
        <v>2021</v>
      </c>
      <c r="E2" s="129">
        <f>FS!I4</f>
        <v>2022</v>
      </c>
      <c r="F2" s="129" t="str">
        <f>FS!J4</f>
        <v>2023F</v>
      </c>
      <c r="G2" s="129" t="str">
        <f>FS!K4</f>
        <v>2024F</v>
      </c>
      <c r="H2" s="129" t="str">
        <f>FS!L4</f>
        <v>2025F</v>
      </c>
      <c r="L2" s="164" t="s">
        <v>597</v>
      </c>
      <c r="M2" s="165" t="s">
        <v>590</v>
      </c>
      <c r="N2" s="122" t="s">
        <v>591</v>
      </c>
      <c r="Q2" s="131" t="s">
        <v>686</v>
      </c>
      <c r="R2" s="129">
        <f t="shared" ref="R2:W2" si="0">C33</f>
        <v>2020</v>
      </c>
      <c r="S2" s="129">
        <f t="shared" si="0"/>
        <v>2021</v>
      </c>
      <c r="T2" s="129">
        <f t="shared" si="0"/>
        <v>2022</v>
      </c>
      <c r="U2" s="129" t="str">
        <f t="shared" si="0"/>
        <v>2023F</v>
      </c>
      <c r="V2" s="129" t="str">
        <f t="shared" si="0"/>
        <v>2024F</v>
      </c>
      <c r="W2" s="129" t="str">
        <f t="shared" si="0"/>
        <v>2025F</v>
      </c>
    </row>
    <row r="3" spans="2:23" x14ac:dyDescent="0.3">
      <c r="B3" t="str">
        <f>FS!B6</f>
        <v>Gross income</v>
      </c>
      <c r="C3" s="47">
        <f>FS!F6/1000</f>
        <v>151966.413</v>
      </c>
      <c r="D3" s="47">
        <f>FS!G6/1000</f>
        <v>163675.31200000001</v>
      </c>
      <c r="E3" s="47">
        <f>FS!I6/1000</f>
        <v>280386.94400000002</v>
      </c>
      <c r="F3" s="132">
        <f>FS!J6/1000</f>
        <v>348708.88358401507</v>
      </c>
      <c r="G3" s="132">
        <f>FS!K6/1000</f>
        <v>362864.82649157627</v>
      </c>
      <c r="H3" s="132">
        <f>FS!L6/1000</f>
        <v>412721.43176876951</v>
      </c>
      <c r="L3" s="166" t="s">
        <v>701</v>
      </c>
      <c r="M3" s="167"/>
      <c r="N3" s="167"/>
      <c r="Q3" t="s">
        <v>7</v>
      </c>
      <c r="R3" s="13">
        <f t="shared" ref="R3:W3" si="1">C3</f>
        <v>151966.413</v>
      </c>
      <c r="S3" s="13">
        <f t="shared" si="1"/>
        <v>163675.31200000001</v>
      </c>
      <c r="T3" s="13">
        <f t="shared" si="1"/>
        <v>280386.94400000002</v>
      </c>
      <c r="U3" s="229">
        <f t="shared" si="1"/>
        <v>348708.88358401507</v>
      </c>
      <c r="V3" s="229">
        <f t="shared" si="1"/>
        <v>362864.82649157627</v>
      </c>
      <c r="W3" s="229">
        <f t="shared" si="1"/>
        <v>412721.43176876951</v>
      </c>
    </row>
    <row r="4" spans="2:23" x14ac:dyDescent="0.3">
      <c r="B4" t="str">
        <f>FS!B7</f>
        <v>Interest income</v>
      </c>
      <c r="C4" s="54">
        <f>FS!F7/1000</f>
        <v>124087.713</v>
      </c>
      <c r="D4" s="54">
        <f>FS!G7/1000</f>
        <v>132818.17800000001</v>
      </c>
      <c r="E4" s="54">
        <f>FS!I7/1000</f>
        <v>222393.079</v>
      </c>
      <c r="F4" s="130">
        <f>FS!J7/1000</f>
        <v>305857.34025651374</v>
      </c>
      <c r="G4" s="130">
        <f>FS!K7/1000</f>
        <v>295139.36082759657</v>
      </c>
      <c r="H4" s="130">
        <f>FS!L7/1000</f>
        <v>337849.47698441113</v>
      </c>
      <c r="L4" s="147" t="s">
        <v>572</v>
      </c>
      <c r="M4" s="223">
        <f>M18/M24-1</f>
        <v>0.79841897233201586</v>
      </c>
      <c r="N4" s="223">
        <f>N18/N24-1</f>
        <v>0.90274314214463836</v>
      </c>
      <c r="Q4" t="str">
        <f t="shared" ref="Q4:W4" si="2">B6</f>
        <v>Net interest income</v>
      </c>
      <c r="R4" s="13">
        <f t="shared" si="2"/>
        <v>50868.802000000003</v>
      </c>
      <c r="S4" s="13">
        <f t="shared" si="2"/>
        <v>66416.331999999995</v>
      </c>
      <c r="T4" s="13">
        <f t="shared" si="2"/>
        <v>84665.210999999996</v>
      </c>
      <c r="U4" s="229">
        <f t="shared" si="2"/>
        <v>83162.405529707525</v>
      </c>
      <c r="V4" s="229">
        <f t="shared" si="2"/>
        <v>63118.87323995027</v>
      </c>
      <c r="W4" s="229">
        <f t="shared" si="2"/>
        <v>71691.06774376586</v>
      </c>
    </row>
    <row r="5" spans="2:23" x14ac:dyDescent="0.3">
      <c r="B5" t="str">
        <f>FS!B8</f>
        <v>Less: Interest expense</v>
      </c>
      <c r="C5" s="54">
        <f>FS!F8/1000</f>
        <v>73218.910999999993</v>
      </c>
      <c r="D5" s="54">
        <f>FS!G8/1000</f>
        <v>66401.846000000005</v>
      </c>
      <c r="E5" s="54">
        <f>FS!I8/1000</f>
        <v>137727.86799999999</v>
      </c>
      <c r="F5" s="130">
        <f>FS!J8/1000</f>
        <v>222694.93472680618</v>
      </c>
      <c r="G5" s="130">
        <f>FS!K8/1000</f>
        <v>232020.48758764629</v>
      </c>
      <c r="H5" s="130">
        <f>FS!L8/1000</f>
        <v>266158.40924064524</v>
      </c>
      <c r="L5" s="147" t="s">
        <v>573</v>
      </c>
      <c r="M5" s="223">
        <f>M23/M24</f>
        <v>8.8932806324110672E-2</v>
      </c>
      <c r="N5" s="223">
        <f>N23/N24</f>
        <v>0.11221945137157106</v>
      </c>
      <c r="Q5" t="str">
        <f>B27</f>
        <v>Profit for the year</v>
      </c>
      <c r="R5" s="13">
        <f t="shared" ref="R5:W5" si="3">C30</f>
        <v>17086.796999999999</v>
      </c>
      <c r="S5" s="13">
        <f t="shared" si="3"/>
        <v>24290.288</v>
      </c>
      <c r="T5" s="13">
        <f t="shared" si="3"/>
        <v>24399.472000000002</v>
      </c>
      <c r="U5" s="229">
        <f t="shared" si="3"/>
        <v>20621.730950868023</v>
      </c>
      <c r="V5" s="229">
        <f t="shared" si="3"/>
        <v>26844.366495925562</v>
      </c>
      <c r="W5" s="229">
        <f t="shared" si="3"/>
        <v>28592.935039368298</v>
      </c>
    </row>
    <row r="6" spans="2:23" x14ac:dyDescent="0.3">
      <c r="B6" t="str">
        <f>FS!B9</f>
        <v>Net interest income</v>
      </c>
      <c r="C6" s="133">
        <f>FS!F9/1000</f>
        <v>50868.802000000003</v>
      </c>
      <c r="D6" s="133">
        <f>FS!G9/1000</f>
        <v>66416.331999999995</v>
      </c>
      <c r="E6" s="133">
        <f>FS!I9/1000</f>
        <v>84665.210999999996</v>
      </c>
      <c r="F6" s="134">
        <f>FS!J9/1000</f>
        <v>83162.405529707525</v>
      </c>
      <c r="G6" s="134">
        <f>FS!K9/1000</f>
        <v>63118.87323995027</v>
      </c>
      <c r="H6" s="134">
        <f>FS!L9/1000</f>
        <v>71691.06774376586</v>
      </c>
      <c r="L6" s="227" t="s">
        <v>574</v>
      </c>
      <c r="M6" s="228">
        <f>M4+M5</f>
        <v>0.88735177865612658</v>
      </c>
      <c r="N6" s="228">
        <f>N4+N5</f>
        <v>1.0149625935162094</v>
      </c>
      <c r="Q6" t="s">
        <v>683</v>
      </c>
      <c r="R6" s="13">
        <f t="shared" ref="R6:W6" si="4">C38</f>
        <v>910608.87699999998</v>
      </c>
      <c r="S6" s="13">
        <f t="shared" si="4"/>
        <v>1029584.075</v>
      </c>
      <c r="T6" s="13">
        <f t="shared" si="4"/>
        <v>1155492.527</v>
      </c>
      <c r="U6" s="229">
        <f t="shared" si="4"/>
        <v>1214948.66643339</v>
      </c>
      <c r="V6" s="229">
        <f t="shared" si="4"/>
        <v>1426353.0317591887</v>
      </c>
      <c r="W6" s="229">
        <f t="shared" si="4"/>
        <v>1651207.9041463344</v>
      </c>
    </row>
    <row r="7" spans="2:23" x14ac:dyDescent="0.3">
      <c r="B7" t="str">
        <f>FS!B10</f>
        <v>Fee and commission income</v>
      </c>
      <c r="C7" s="54">
        <f>FS!F10/1000</f>
        <v>11839.689</v>
      </c>
      <c r="D7" s="54">
        <f>FS!G10/1000</f>
        <v>15917.337</v>
      </c>
      <c r="E7" s="54">
        <f>FS!I10/1000</f>
        <v>26191.53</v>
      </c>
      <c r="F7" s="130">
        <f>FS!J10/1000</f>
        <v>30373.716660834747</v>
      </c>
      <c r="G7" s="130">
        <f>FS!K10/1000</f>
        <v>35658.825793979719</v>
      </c>
      <c r="H7" s="130">
        <f>FS!L10/1000</f>
        <v>41280.197603658366</v>
      </c>
      <c r="L7" s="147" t="s">
        <v>432</v>
      </c>
      <c r="M7" s="147">
        <v>0.78</v>
      </c>
      <c r="N7" s="147">
        <v>0.78</v>
      </c>
      <c r="Q7" t="str">
        <f t="shared" ref="Q7:W7" si="5">B44</f>
        <v>Total assets</v>
      </c>
      <c r="R7" s="13">
        <f t="shared" si="5"/>
        <v>1762496.1529999999</v>
      </c>
      <c r="S7" s="13">
        <f t="shared" si="5"/>
        <v>1983491.1440000001</v>
      </c>
      <c r="T7" s="13">
        <f t="shared" si="5"/>
        <v>2499553.9040000001</v>
      </c>
      <c r="U7" s="229">
        <f t="shared" si="5"/>
        <v>2662322.3966822717</v>
      </c>
      <c r="V7" s="229">
        <f t="shared" si="5"/>
        <v>2953069.7310510445</v>
      </c>
      <c r="W7" s="229">
        <f t="shared" si="5"/>
        <v>3368903.2584783528</v>
      </c>
    </row>
    <row r="8" spans="2:23" x14ac:dyDescent="0.3">
      <c r="B8" t="str">
        <f>FS!B11</f>
        <v>Less: Fee and commission expense</v>
      </c>
      <c r="C8" s="54">
        <f>FS!F11/1000</f>
        <v>2018.0139999999999</v>
      </c>
      <c r="D8" s="54">
        <f>FS!G11/1000</f>
        <v>3675.143</v>
      </c>
      <c r="E8" s="54">
        <f>FS!I11/1000</f>
        <v>6022.4290000000001</v>
      </c>
      <c r="F8" s="130">
        <f>FS!J11/1000</f>
        <v>7593.4291652086868</v>
      </c>
      <c r="G8" s="130">
        <f>FS!K11/1000</f>
        <v>8201.5299326153363</v>
      </c>
      <c r="H8" s="130">
        <f>FS!L11/1000</f>
        <v>9494.4454488414249</v>
      </c>
      <c r="L8" s="147" t="s">
        <v>575</v>
      </c>
      <c r="M8" s="222">
        <f>MAX('Price volume'!$E$4:$E$248)</f>
        <v>105</v>
      </c>
      <c r="N8" s="222">
        <f>MAX('Price volume'!$S$4:$S$248)</f>
        <v>88.8</v>
      </c>
      <c r="Q8" t="s">
        <v>684</v>
      </c>
      <c r="R8" s="101">
        <f t="shared" ref="R8:W8" si="6">C31</f>
        <v>15.7</v>
      </c>
      <c r="S8" s="101">
        <f t="shared" si="6"/>
        <v>19.41</v>
      </c>
      <c r="T8" s="101">
        <f t="shared" si="6"/>
        <v>19.21</v>
      </c>
      <c r="U8" s="230">
        <f t="shared" si="6"/>
        <v>15.064716098859725</v>
      </c>
      <c r="V8" s="230">
        <f t="shared" si="6"/>
        <v>19.610514804909627</v>
      </c>
      <c r="W8" s="230">
        <f t="shared" si="6"/>
        <v>20.887890052851784</v>
      </c>
    </row>
    <row r="9" spans="2:23" x14ac:dyDescent="0.3">
      <c r="B9" t="str">
        <f>FS!B12</f>
        <v>Net fee and commission income</v>
      </c>
      <c r="C9" s="133">
        <f>FS!F12/1000</f>
        <v>9821.6749999999993</v>
      </c>
      <c r="D9" s="133">
        <f>FS!G12/1000</f>
        <v>12242.194</v>
      </c>
      <c r="E9" s="133">
        <f>FS!I12/1000</f>
        <v>20169.100999999999</v>
      </c>
      <c r="F9" s="134">
        <f>FS!J12/1000</f>
        <v>22780.287495626064</v>
      </c>
      <c r="G9" s="134">
        <f>FS!K12/1000</f>
        <v>27457.295861364382</v>
      </c>
      <c r="H9" s="134">
        <f>FS!L12/1000</f>
        <v>31785.752154816939</v>
      </c>
      <c r="L9" s="147" t="s">
        <v>576</v>
      </c>
      <c r="M9" s="222">
        <f>MIN('Price volume'!$E$4:$E$248)</f>
        <v>50.2</v>
      </c>
      <c r="N9" s="222">
        <f>MIN('Price volume'!$S$4:$S$248)</f>
        <v>40.1</v>
      </c>
      <c r="Q9" t="s">
        <v>685</v>
      </c>
      <c r="R9" s="101">
        <f t="shared" ref="R9:W9" si="7">C56</f>
        <v>136.41999999999999</v>
      </c>
      <c r="S9" s="101">
        <f t="shared" si="7"/>
        <v>140.24</v>
      </c>
      <c r="T9" s="101">
        <f t="shared" si="7"/>
        <v>168.47</v>
      </c>
      <c r="U9" s="230">
        <f t="shared" si="7"/>
        <v>174.6907210487785</v>
      </c>
      <c r="V9" s="230">
        <f t="shared" si="7"/>
        <v>193.31150384045156</v>
      </c>
      <c r="W9" s="230">
        <f t="shared" si="7"/>
        <v>211.22647952129455</v>
      </c>
    </row>
    <row r="10" spans="2:23" x14ac:dyDescent="0.3">
      <c r="B10" t="str">
        <f>FS!B13</f>
        <v>Net gains/(losses) from trading</v>
      </c>
      <c r="C10" s="54">
        <f>FS!F13/1000</f>
        <v>1878.06</v>
      </c>
      <c r="D10" s="54">
        <f>FS!G13/1000</f>
        <v>1936.0070000000001</v>
      </c>
      <c r="E10" s="54">
        <f>FS!I13/1000</f>
        <v>35297.449999999997</v>
      </c>
      <c r="F10" s="130">
        <f>FS!J13/1000</f>
        <v>-16199.575999999999</v>
      </c>
      <c r="G10" s="130">
        <f>FS!K13/1000</f>
        <v>1955.36707</v>
      </c>
      <c r="H10" s="130">
        <f>FS!L13/1000</f>
        <v>1974.9207407000001</v>
      </c>
      <c r="L10" s="166" t="s">
        <v>579</v>
      </c>
      <c r="M10" s="167"/>
      <c r="N10" s="167"/>
      <c r="Q10" t="s">
        <v>547</v>
      </c>
      <c r="R10" s="108">
        <f>Ratios!F10</f>
        <v>0.1124379832535759</v>
      </c>
      <c r="S10" s="108">
        <f>Ratios!G10</f>
        <v>0.14840532578303561</v>
      </c>
      <c r="T10" s="108">
        <f>Ratios!H10</f>
        <v>8.7020713774746947E-2</v>
      </c>
      <c r="U10" s="231">
        <f>Ratios!I10</f>
        <v>5.9137383421147029E-2</v>
      </c>
      <c r="V10" s="231">
        <f>Ratios!J10</f>
        <v>7.3978971055076184E-2</v>
      </c>
      <c r="W10" s="231">
        <f>Ratios!K10</f>
        <v>6.9279016882718411E-2</v>
      </c>
    </row>
    <row r="11" spans="2:23" x14ac:dyDescent="0.3">
      <c r="B11" t="str">
        <f>FS!B14</f>
        <v>Net gains/(losses) from derecognition of financial assets</v>
      </c>
      <c r="C11" s="54">
        <f>FS!F14/1000</f>
        <v>6390.1970000000001</v>
      </c>
      <c r="D11" s="54">
        <f>FS!G14/1000</f>
        <v>3001.5740000000001</v>
      </c>
      <c r="E11" s="54">
        <f>FS!I14/1000</f>
        <v>276.88400000000001</v>
      </c>
      <c r="F11" s="130">
        <f>FS!J14/1000</f>
        <v>3517.6933333333336</v>
      </c>
      <c r="G11" s="130">
        <f>FS!K14/1000</f>
        <v>3693.5780000000004</v>
      </c>
      <c r="H11" s="130">
        <f>FS!L14/1000</f>
        <v>3878.2569000000008</v>
      </c>
      <c r="L11" s="147" t="s">
        <v>580</v>
      </c>
      <c r="M11" s="163">
        <f>M18/Valuation!$B$63</f>
        <v>5.2059496567505716</v>
      </c>
      <c r="N11" s="163">
        <f>N18/Valuation!$B$63</f>
        <v>4.3649885583524028</v>
      </c>
      <c r="Q11" t="s">
        <v>436</v>
      </c>
      <c r="R11" s="108">
        <f>Ratios!F11</f>
        <v>0.10616299506944166</v>
      </c>
      <c r="S11" s="108">
        <f>Ratios!G11</f>
        <v>0.14326113733910237</v>
      </c>
      <c r="T11" s="108">
        <f>Ratios!H11</f>
        <v>0.114566263353703</v>
      </c>
      <c r="U11" s="231">
        <f>Ratios!I11</f>
        <v>8.7940259473515844E-2</v>
      </c>
      <c r="V11" s="231">
        <f>Ratios!J11</f>
        <v>0.10323137066039065</v>
      </c>
      <c r="W11" s="231">
        <f>Ratios!K11</f>
        <v>0.10042229987964921</v>
      </c>
    </row>
    <row r="12" spans="2:23" x14ac:dyDescent="0.3">
      <c r="B12" t="str">
        <f>FS!B15</f>
        <v>Net other operating income</v>
      </c>
      <c r="C12" s="54">
        <f>FS!F15/1000</f>
        <v>7770.7539999999999</v>
      </c>
      <c r="D12" s="54">
        <f>FS!G15/1000</f>
        <v>10002.216</v>
      </c>
      <c r="E12" s="54">
        <f>FS!I15/1000</f>
        <v>-3771.9989999999998</v>
      </c>
      <c r="F12" s="130">
        <f>FS!J15/1000</f>
        <v>25159.709333333336</v>
      </c>
      <c r="G12" s="130">
        <f>FS!K15/1000</f>
        <v>26417.694800000005</v>
      </c>
      <c r="H12" s="130">
        <f>FS!L15/1000</f>
        <v>27738.579540000006</v>
      </c>
      <c r="L12" s="147" t="s">
        <v>581</v>
      </c>
      <c r="M12" s="163">
        <f>M18/Valuation!$B$53</f>
        <v>0.55931161647203442</v>
      </c>
      <c r="N12" s="163">
        <f>N18/Valuation!$B$53</f>
        <v>0.46896127842655194</v>
      </c>
      <c r="Q12" t="s">
        <v>546</v>
      </c>
      <c r="R12" s="108">
        <f>Ratios!F12</f>
        <v>9.6946577562260355E-3</v>
      </c>
      <c r="S12" s="108">
        <f>Ratios!G12</f>
        <v>1.2246229620675331E-2</v>
      </c>
      <c r="T12" s="108">
        <f>Ratios!H12</f>
        <v>9.7615306319075081E-3</v>
      </c>
      <c r="U12" s="231">
        <f>Ratios!I12</f>
        <v>7.7457677464481288E-3</v>
      </c>
      <c r="V12" s="231">
        <f>Ratios!J12</f>
        <v>9.090325979661586E-3</v>
      </c>
      <c r="W12" s="231">
        <f>Ratios!K12</f>
        <v>8.4873125897604405E-3</v>
      </c>
    </row>
    <row r="13" spans="2:23" x14ac:dyDescent="0.3">
      <c r="B13" t="str">
        <f>FS!B16</f>
        <v>Total operating income</v>
      </c>
      <c r="C13" s="133">
        <f>FS!F16/1000</f>
        <v>76729.487999999998</v>
      </c>
      <c r="D13" s="133">
        <f>FS!G16/1000</f>
        <v>93598.323000000004</v>
      </c>
      <c r="E13" s="133">
        <f>FS!I16/1000</f>
        <v>136636.647</v>
      </c>
      <c r="F13" s="134">
        <f>FS!J16/1000</f>
        <v>118420.51969200023</v>
      </c>
      <c r="G13" s="134">
        <f>FS!K16/1000</f>
        <v>122642.80897131463</v>
      </c>
      <c r="H13" s="134">
        <f>FS!L16/1000</f>
        <v>137068.57707928281</v>
      </c>
      <c r="L13" s="166" t="s">
        <v>687</v>
      </c>
      <c r="M13" s="168"/>
      <c r="N13" s="168"/>
    </row>
    <row r="14" spans="2:23" x14ac:dyDescent="0.3">
      <c r="B14" t="str">
        <f>FS!B17</f>
        <v>Less: Impairment charges and other losses</v>
      </c>
      <c r="C14" s="54">
        <f>FS!F17/1000</f>
        <v>21419.531999999999</v>
      </c>
      <c r="D14" s="54">
        <f>FS!G17/1000</f>
        <v>25139.925999999999</v>
      </c>
      <c r="E14" s="54">
        <f>FS!I17/1000</f>
        <v>71924.259999999995</v>
      </c>
      <c r="F14" s="130">
        <f>FS!J17/1000</f>
        <v>35328.925595250003</v>
      </c>
      <c r="G14" s="130">
        <f>FS!K17/1000</f>
        <v>30095.010692249998</v>
      </c>
      <c r="H14" s="130">
        <f>FS!L17/1000</f>
        <v>34609.262296087494</v>
      </c>
      <c r="L14" s="147" t="s">
        <v>577</v>
      </c>
      <c r="M14" s="101">
        <f>Valuation!$B$63</f>
        <v>17.48</v>
      </c>
      <c r="N14" s="101">
        <f>Valuation!$B$63</f>
        <v>17.48</v>
      </c>
    </row>
    <row r="15" spans="2:23" x14ac:dyDescent="0.3">
      <c r="B15" t="str">
        <f>FS!B18</f>
        <v>Net operating income</v>
      </c>
      <c r="C15" s="133">
        <f>FS!F18/1000</f>
        <v>55309.955999999998</v>
      </c>
      <c r="D15" s="133">
        <f>FS!G18/1000</f>
        <v>68458.396999999997</v>
      </c>
      <c r="E15" s="133">
        <f>FS!I18/1000</f>
        <v>64712.387000000002</v>
      </c>
      <c r="F15" s="134">
        <f>FS!J18/1000</f>
        <v>83091.594096750225</v>
      </c>
      <c r="G15" s="134">
        <f>FS!K18/1000</f>
        <v>92547.798279064635</v>
      </c>
      <c r="H15" s="134">
        <f>FS!L18/1000</f>
        <v>102459.31478319531</v>
      </c>
      <c r="L15" s="147" t="s">
        <v>578</v>
      </c>
      <c r="M15" s="101">
        <f>Valuation!$B$53</f>
        <v>162.69999999999999</v>
      </c>
      <c r="N15" s="101">
        <f>Valuation!$B$53</f>
        <v>162.69999999999999</v>
      </c>
    </row>
    <row r="16" spans="2:23" x14ac:dyDescent="0.3">
      <c r="B16" t="str">
        <f>FS!B19</f>
        <v>Less: Expenses</v>
      </c>
      <c r="C16" s="54"/>
      <c r="D16" s="54"/>
      <c r="E16" s="54"/>
      <c r="F16" s="130"/>
      <c r="G16" s="130"/>
      <c r="H16" s="130"/>
      <c r="L16" s="147" t="s">
        <v>596</v>
      </c>
      <c r="M16" s="101">
        <f>M23</f>
        <v>4.5</v>
      </c>
      <c r="N16" s="101">
        <f>N23</f>
        <v>4.5</v>
      </c>
    </row>
    <row r="17" spans="2:14" x14ac:dyDescent="0.3">
      <c r="B17" t="str">
        <f>FS!B20</f>
        <v>Personnel expenses</v>
      </c>
      <c r="C17" s="54">
        <f>FS!F20/1000</f>
        <v>14992.748</v>
      </c>
      <c r="D17" s="54">
        <f>FS!G20/1000</f>
        <v>16799.212</v>
      </c>
      <c r="E17" s="54">
        <f>FS!I20/1000</f>
        <v>19788.282999999999</v>
      </c>
      <c r="F17" s="130">
        <f>FS!J20/1000</f>
        <v>21767.1113</v>
      </c>
      <c r="G17" s="130">
        <f>FS!K20/1000</f>
        <v>23943.822430000004</v>
      </c>
      <c r="H17" s="130">
        <f>FS!L20/1000</f>
        <v>26338.204673000004</v>
      </c>
    </row>
    <row r="18" spans="2:14" x14ac:dyDescent="0.3">
      <c r="B18" t="str">
        <f>FS!B21</f>
        <v>Depreciation and amortisation</v>
      </c>
      <c r="C18" s="54">
        <f>FS!F21/1000</f>
        <v>3102.6950000000002</v>
      </c>
      <c r="D18" s="54">
        <f>FS!G21/1000</f>
        <v>3220.0659999999998</v>
      </c>
      <c r="E18" s="54">
        <f>FS!I21/1000</f>
        <v>3598.3710000000001</v>
      </c>
      <c r="F18" s="130">
        <f>FS!J21/1000</f>
        <v>4116.9910499999996</v>
      </c>
      <c r="G18" s="130">
        <f>FS!K21/1000</f>
        <v>4240.2272249999996</v>
      </c>
      <c r="H18" s="130">
        <f>FS!L21/1000</f>
        <v>4381.8334500000001</v>
      </c>
      <c r="L18" t="s">
        <v>592</v>
      </c>
      <c r="M18" s="127">
        <f>Valuation!B97</f>
        <v>91</v>
      </c>
      <c r="N18" s="127">
        <f>Valuation!B102</f>
        <v>76.3</v>
      </c>
    </row>
    <row r="19" spans="2:14" x14ac:dyDescent="0.3">
      <c r="B19" t="str">
        <f>FS!B22</f>
        <v>Other operating expenses</v>
      </c>
      <c r="C19" s="54">
        <f>FS!F22/1000</f>
        <v>8167.17</v>
      </c>
      <c r="D19" s="54">
        <f>FS!G22/1000</f>
        <v>9638.4609999999993</v>
      </c>
      <c r="E19" s="54">
        <f>FS!I22/1000</f>
        <v>12895.587</v>
      </c>
      <c r="F19" s="130">
        <f>FS!J22/1000</f>
        <v>16764.2631</v>
      </c>
      <c r="G19" s="130">
        <f>FS!K22/1000</f>
        <v>20117.115720000002</v>
      </c>
      <c r="H19" s="130">
        <f>FS!L22/1000</f>
        <v>24140.538864000006</v>
      </c>
    </row>
    <row r="20" spans="2:14" x14ac:dyDescent="0.3">
      <c r="B20" t="str">
        <f>FS!B23</f>
        <v>Total operating expenses</v>
      </c>
      <c r="C20" s="133">
        <f>FS!F23/1000</f>
        <v>26262.613000000001</v>
      </c>
      <c r="D20" s="133">
        <f>FS!G23/1000</f>
        <v>29657.739000000001</v>
      </c>
      <c r="E20" s="133">
        <f>FS!I23/1000</f>
        <v>36282.241000000002</v>
      </c>
      <c r="F20" s="134">
        <f>FS!J23/1000</f>
        <v>42648.365450000005</v>
      </c>
      <c r="G20" s="134">
        <f>FS!K23/1000</f>
        <v>48301.165374999997</v>
      </c>
      <c r="H20" s="134">
        <f>FS!L23/1000</f>
        <v>54860.576987</v>
      </c>
      <c r="L20" t="s">
        <v>593</v>
      </c>
    </row>
    <row r="21" spans="2:14" x14ac:dyDescent="0.3">
      <c r="B21" t="str">
        <f>FS!B24</f>
        <v>Operating profit before taxes on financial services</v>
      </c>
      <c r="C21" s="54">
        <f>FS!F24/1000</f>
        <v>29047.343000000001</v>
      </c>
      <c r="D21" s="54">
        <f>FS!G24/1000</f>
        <v>38800.658000000003</v>
      </c>
      <c r="E21" s="54">
        <f>FS!I24/1000</f>
        <v>28430.146000000001</v>
      </c>
      <c r="F21" s="130">
        <f>FS!J24/1000</f>
        <v>40443.228646750227</v>
      </c>
      <c r="G21" s="130">
        <f>FS!K24/1000</f>
        <v>44246.632904064638</v>
      </c>
      <c r="H21" s="130">
        <f>FS!L24/1000</f>
        <v>47598.73779619531</v>
      </c>
      <c r="N21" s="162"/>
    </row>
    <row r="22" spans="2:14" x14ac:dyDescent="0.3">
      <c r="B22" t="str">
        <f>FS!B25</f>
        <v>Less: Taxes on financial services</v>
      </c>
      <c r="C22" s="54">
        <f>FS!F25/1000</f>
        <v>4531.3810000000003</v>
      </c>
      <c r="D22" s="54">
        <f>FS!G25/1000</f>
        <v>5845.23</v>
      </c>
      <c r="E22" s="54">
        <f>FS!I25/1000</f>
        <v>3921.3809999999999</v>
      </c>
      <c r="F22" s="130">
        <f>FS!J25/1000</f>
        <v>4893.7174441042198</v>
      </c>
      <c r="G22" s="130">
        <f>FS!K25/1000</f>
        <v>5902.7872165519302</v>
      </c>
      <c r="H22" s="130">
        <f>FS!L25/1000</f>
        <v>6756.9895396882221</v>
      </c>
      <c r="M22" s="162"/>
      <c r="N22" s="162"/>
    </row>
    <row r="23" spans="2:14" x14ac:dyDescent="0.3">
      <c r="B23" t="str">
        <f>FS!B26</f>
        <v>Operating profit after taxes on financial services</v>
      </c>
      <c r="C23" s="133">
        <f>FS!F26/1000</f>
        <v>24515.962</v>
      </c>
      <c r="D23" s="133">
        <f>FS!G26/1000</f>
        <v>32955.428</v>
      </c>
      <c r="E23" s="133">
        <f>FS!I26/1000</f>
        <v>24508.764999999999</v>
      </c>
      <c r="F23" s="134">
        <f>FS!J26/1000</f>
        <v>35549.511202646012</v>
      </c>
      <c r="G23" s="134">
        <f>FS!K26/1000</f>
        <v>38343.845687512709</v>
      </c>
      <c r="H23" s="134">
        <f>FS!L26/1000</f>
        <v>40841.74825650709</v>
      </c>
      <c r="L23" t="s">
        <v>594</v>
      </c>
      <c r="M23">
        <v>4.5</v>
      </c>
      <c r="N23">
        <v>4.5</v>
      </c>
    </row>
    <row r="24" spans="2:14" x14ac:dyDescent="0.3">
      <c r="B24" t="str">
        <f>FS!B27</f>
        <v>Share of profit/(loss) of associate, net of tax</v>
      </c>
      <c r="C24" s="54">
        <f>FS!F27/1000</f>
        <v>3.8980000000000001</v>
      </c>
      <c r="D24" s="54">
        <f>FS!G27/1000</f>
        <v>1.8959999999999999</v>
      </c>
      <c r="E24" s="54">
        <f>FS!I27/1000</f>
        <v>-3.7269999999999999</v>
      </c>
      <c r="F24" s="130">
        <f>FS!J27/1000</f>
        <v>5.1973333333333329</v>
      </c>
      <c r="G24" s="130">
        <f>FS!K27/1000</f>
        <v>5.2493066666666666</v>
      </c>
      <c r="H24" s="130">
        <f>FS!L27/1000</f>
        <v>5.3017997333333335</v>
      </c>
      <c r="L24" t="s">
        <v>595</v>
      </c>
      <c r="M24">
        <f>'Price volume'!$E$248</f>
        <v>50.6</v>
      </c>
      <c r="N24">
        <f>'Price volume'!$S$248</f>
        <v>40.1</v>
      </c>
    </row>
    <row r="25" spans="2:14" x14ac:dyDescent="0.3">
      <c r="B25" t="str">
        <f>FS!B28</f>
        <v>Profit before tax</v>
      </c>
      <c r="C25" s="133">
        <f>FS!F28/1000</f>
        <v>24519.86</v>
      </c>
      <c r="D25" s="133">
        <f>FS!G28/1000</f>
        <v>32957.324000000001</v>
      </c>
      <c r="E25" s="133">
        <f>FS!I28/1000</f>
        <v>24505.038</v>
      </c>
      <c r="F25" s="134">
        <f>FS!J28/1000</f>
        <v>35554.708535979342</v>
      </c>
      <c r="G25" s="134">
        <f>FS!K28/1000</f>
        <v>38349.094994179373</v>
      </c>
      <c r="H25" s="134">
        <f>FS!L28/1000</f>
        <v>40847.050056240427</v>
      </c>
    </row>
    <row r="26" spans="2:14" x14ac:dyDescent="0.3">
      <c r="B26" t="str">
        <f>FS!B29</f>
        <v>Less: Income tax expense/(reversal)</v>
      </c>
      <c r="C26" s="54">
        <f>FS!F29/1000</f>
        <v>7433.0630000000001</v>
      </c>
      <c r="D26" s="54">
        <f>FS!G29/1000</f>
        <v>8667.0360000000001</v>
      </c>
      <c r="E26" s="54">
        <f>FS!I29/1000</f>
        <v>105.566</v>
      </c>
      <c r="F26" s="130">
        <f>FS!J29/1000</f>
        <v>14932.977585111325</v>
      </c>
      <c r="G26" s="130">
        <f>FS!K29/1000</f>
        <v>11504.728498253813</v>
      </c>
      <c r="H26" s="130">
        <f>FS!L29/1000</f>
        <v>12254.115016872127</v>
      </c>
    </row>
    <row r="27" spans="2:14" ht="15" thickBot="1" x14ac:dyDescent="0.35">
      <c r="B27" t="str">
        <f>FS!B30</f>
        <v>Profit for the year</v>
      </c>
      <c r="C27" s="84">
        <f>FS!F30/1000</f>
        <v>17086.796999999999</v>
      </c>
      <c r="D27" s="84">
        <f>FS!G30/1000</f>
        <v>24290.288</v>
      </c>
      <c r="E27" s="84">
        <f>FS!I30/1000</f>
        <v>24399.472000000002</v>
      </c>
      <c r="F27" s="135">
        <f>FS!J30/1000</f>
        <v>20621.730950868023</v>
      </c>
      <c r="G27" s="135">
        <f>FS!K30/1000</f>
        <v>26844.366495925562</v>
      </c>
      <c r="H27" s="135">
        <f>FS!L30/1000</f>
        <v>28592.935039368298</v>
      </c>
    </row>
    <row r="28" spans="2:14" ht="15" thickTop="1" x14ac:dyDescent="0.3">
      <c r="B28" t="str">
        <f>FS!B31</f>
        <v>Profit attributable to:
Equity holders of the Bank</v>
      </c>
      <c r="C28" s="54">
        <f>FS!F31/1000</f>
        <v>16939.95</v>
      </c>
      <c r="D28" s="54">
        <f>FS!G31/1000</f>
        <v>24062.469000000001</v>
      </c>
      <c r="E28" s="54">
        <f>FS!I31/1000</f>
        <v>23811.914000000001</v>
      </c>
      <c r="F28" s="130">
        <f>FS!J31/1000</f>
        <v>19796.861712833299</v>
      </c>
      <c r="G28" s="130">
        <f>FS!K31/1000</f>
        <v>25770.591836088537</v>
      </c>
      <c r="H28" s="130">
        <f>FS!L31/1000</f>
        <v>27449.217637793565</v>
      </c>
      <c r="L28" s="164" t="s">
        <v>600</v>
      </c>
      <c r="M28" s="165"/>
      <c r="N28" s="122"/>
    </row>
    <row r="29" spans="2:14" x14ac:dyDescent="0.3">
      <c r="B29" t="str">
        <f>FS!B32</f>
        <v>Non-controlling interest</v>
      </c>
      <c r="C29" s="54">
        <f>FS!F32/1000</f>
        <v>146.84700000000001</v>
      </c>
      <c r="D29" s="54">
        <f>FS!G32/1000</f>
        <v>227.81899999999999</v>
      </c>
      <c r="E29" s="54">
        <f>FS!I32/1000</f>
        <v>587.55799999999999</v>
      </c>
      <c r="F29" s="130">
        <f>FS!J32/1000</f>
        <v>824.86923803472087</v>
      </c>
      <c r="G29" s="130">
        <f>FS!K32/1000</f>
        <v>1073.7746598370225</v>
      </c>
      <c r="H29" s="130">
        <f>FS!L32/1000</f>
        <v>1143.7174015747321</v>
      </c>
      <c r="L29" t="s">
        <v>601</v>
      </c>
      <c r="N29" s="2">
        <f>Drivers!I570/1000000</f>
        <v>1236.5253949999999</v>
      </c>
    </row>
    <row r="30" spans="2:14" x14ac:dyDescent="0.3">
      <c r="B30" t="str">
        <f>FS!B33</f>
        <v>Profit for the year</v>
      </c>
      <c r="C30" s="47">
        <f>FS!F33/1000</f>
        <v>17086.796999999999</v>
      </c>
      <c r="D30" s="47">
        <f>FS!G33/1000</f>
        <v>24290.288</v>
      </c>
      <c r="E30" s="47">
        <f>FS!I33/1000</f>
        <v>24399.472000000002</v>
      </c>
      <c r="F30" s="132">
        <f>FS!J33/1000</f>
        <v>20621.730950868023</v>
      </c>
      <c r="G30" s="132">
        <f>FS!K33/1000</f>
        <v>26844.366495925562</v>
      </c>
      <c r="H30" s="132">
        <f>FS!L33/1000</f>
        <v>28592.935039368298</v>
      </c>
      <c r="L30" t="s">
        <v>602</v>
      </c>
      <c r="N30" s="2">
        <f>Drivers!I578/1000000</f>
        <v>77.595732999999996</v>
      </c>
    </row>
    <row r="31" spans="2:14" x14ac:dyDescent="0.3">
      <c r="B31" t="s">
        <v>679</v>
      </c>
      <c r="C31" s="101">
        <f>FS!F34</f>
        <v>15.7</v>
      </c>
      <c r="D31" s="101">
        <f>FS!G34</f>
        <v>19.41</v>
      </c>
      <c r="E31" s="101">
        <f>FS!I34</f>
        <v>19.21</v>
      </c>
      <c r="F31" s="101">
        <f>FS!J34</f>
        <v>15.064716098859725</v>
      </c>
      <c r="G31" s="101">
        <f>FS!K34</f>
        <v>19.610514804909627</v>
      </c>
      <c r="H31" s="101">
        <f>FS!L34</f>
        <v>20.887890052851784</v>
      </c>
      <c r="L31" t="s">
        <v>603</v>
      </c>
      <c r="N31" s="13">
        <f>N29+N30</f>
        <v>1314.1211279999998</v>
      </c>
    </row>
    <row r="32" spans="2:14" x14ac:dyDescent="0.3">
      <c r="L32" s="224" t="s">
        <v>604</v>
      </c>
      <c r="M32" s="224"/>
      <c r="N32" s="225">
        <v>113884</v>
      </c>
    </row>
    <row r="33" spans="2:16" x14ac:dyDescent="0.3">
      <c r="B33" s="131" t="s">
        <v>682</v>
      </c>
      <c r="C33" s="129">
        <f>C2</f>
        <v>2020</v>
      </c>
      <c r="D33" s="129">
        <f t="shared" ref="D33:H33" si="8">D2</f>
        <v>2021</v>
      </c>
      <c r="E33" s="129">
        <f t="shared" si="8"/>
        <v>2022</v>
      </c>
      <c r="F33" s="129" t="str">
        <f t="shared" si="8"/>
        <v>2023F</v>
      </c>
      <c r="G33" s="129" t="str">
        <f t="shared" si="8"/>
        <v>2024F</v>
      </c>
      <c r="H33" s="129" t="str">
        <f t="shared" si="8"/>
        <v>2025F</v>
      </c>
      <c r="L33" t="s">
        <v>605</v>
      </c>
      <c r="N33" s="2">
        <v>6161</v>
      </c>
      <c r="P33" s="38"/>
    </row>
    <row r="34" spans="2:16" x14ac:dyDescent="0.3">
      <c r="B34" t="s">
        <v>99</v>
      </c>
      <c r="C34" s="54"/>
      <c r="D34" s="54"/>
      <c r="E34" s="54"/>
      <c r="F34" s="130"/>
      <c r="G34" s="130"/>
      <c r="H34" s="130"/>
      <c r="L34" s="224" t="s">
        <v>677</v>
      </c>
      <c r="M34" s="224"/>
      <c r="N34" s="226">
        <v>0.99809999999999999</v>
      </c>
    </row>
    <row r="35" spans="2:16" x14ac:dyDescent="0.3">
      <c r="B35" t="s">
        <v>100</v>
      </c>
      <c r="C35" s="54">
        <f>FS!F45/1000</f>
        <v>51255.03</v>
      </c>
      <c r="D35" s="54">
        <f>FS!G45/1000</f>
        <v>69335.379000000001</v>
      </c>
      <c r="E35" s="54">
        <f>FS!I45/1000</f>
        <v>151109.49</v>
      </c>
      <c r="F35" s="130">
        <f>FS!J45/1000</f>
        <v>105916.32005488253</v>
      </c>
      <c r="G35" s="130">
        <f>FS!K45/1000</f>
        <v>109690.08367676783</v>
      </c>
      <c r="H35" s="130">
        <f>FS!L45/1000</f>
        <v>159083.79151399279</v>
      </c>
      <c r="L35" t="s">
        <v>678</v>
      </c>
      <c r="N35" s="108">
        <v>0.99880000000000002</v>
      </c>
    </row>
    <row r="36" spans="2:16" x14ac:dyDescent="0.3">
      <c r="B36" t="s">
        <v>508</v>
      </c>
      <c r="C36" s="54">
        <f>(FS!F46+FS!F47+FS!F48+FS!F49)/1000</f>
        <v>134417.31599999999</v>
      </c>
      <c r="D36" s="54">
        <f>(FS!G46+FS!G47+FS!G48+FS!G49)/1000</f>
        <v>75521.784</v>
      </c>
      <c r="E36" s="54">
        <f>(FS!I46+FS!I47+FS!I48+FS!I49)/1000</f>
        <v>184542.45600000001</v>
      </c>
      <c r="F36" s="130">
        <f>(FS!J46+FS!J47+FS!J48+FS!J49)/1000</f>
        <v>135653.98553000001</v>
      </c>
      <c r="G36" s="130">
        <f>(FS!K46+FS!K47+FS!K48+FS!K49)/1000</f>
        <v>182279.86200558752</v>
      </c>
      <c r="H36" s="130">
        <f>(FS!L46+FS!L47+FS!L48+FS!L49)/1000</f>
        <v>200873.78347392564</v>
      </c>
      <c r="I36" s="54"/>
      <c r="L36" s="169" t="s">
        <v>598</v>
      </c>
      <c r="M36" s="169"/>
      <c r="N36" s="169"/>
    </row>
    <row r="37" spans="2:16" x14ac:dyDescent="0.3">
      <c r="B37" t="s">
        <v>505</v>
      </c>
      <c r="C37" s="54">
        <f>FS!F50/1000</f>
        <v>35189.470999999998</v>
      </c>
      <c r="D37" s="54">
        <f>FS!G50/1000</f>
        <v>23436.123</v>
      </c>
      <c r="E37" s="54">
        <f>FS!I50/1000</f>
        <v>24873.057000000001</v>
      </c>
      <c r="F37" s="130">
        <f>FS!J50/1000</f>
        <v>98932.873000000007</v>
      </c>
      <c r="G37" s="130">
        <f>FS!K50/1000</f>
        <v>155960.0624</v>
      </c>
      <c r="H37" s="130">
        <f>FS!L50/1000</f>
        <v>171556.06864000001</v>
      </c>
      <c r="I37" s="54"/>
      <c r="L37" t="s">
        <v>606</v>
      </c>
      <c r="N37" s="108">
        <v>0.1211</v>
      </c>
    </row>
    <row r="38" spans="2:16" x14ac:dyDescent="0.3">
      <c r="B38" t="s">
        <v>270</v>
      </c>
      <c r="C38" s="54">
        <f>(FS!F52+FS!F51)/1000</f>
        <v>910608.87699999998</v>
      </c>
      <c r="D38" s="54">
        <f>(FS!G52+FS!G51)/1000</f>
        <v>1029584.075</v>
      </c>
      <c r="E38" s="54">
        <f>(FS!I52+FS!I51)/1000</f>
        <v>1155492.527</v>
      </c>
      <c r="F38" s="130">
        <f>(FS!J52+FS!J51)/1000</f>
        <v>1214948.66643339</v>
      </c>
      <c r="G38" s="130">
        <f>(FS!K52+FS!K51)/1000</f>
        <v>1426353.0317591887</v>
      </c>
      <c r="H38" s="130">
        <f>(FS!L52+FS!L51)/1000</f>
        <v>1651207.9041463344</v>
      </c>
      <c r="I38" s="54"/>
      <c r="L38" t="s">
        <v>607</v>
      </c>
      <c r="N38" s="108">
        <v>9.8900000000000002E-2</v>
      </c>
    </row>
    <row r="39" spans="2:16" x14ac:dyDescent="0.3">
      <c r="B39" t="s">
        <v>506</v>
      </c>
      <c r="C39" s="54">
        <f>FS!F53/1000</f>
        <v>302059.52899999998</v>
      </c>
      <c r="D39" s="54">
        <f>FS!G53/1000</f>
        <v>385390.598</v>
      </c>
      <c r="E39" s="54">
        <f>FS!I53/1000</f>
        <v>761650.23400000005</v>
      </c>
      <c r="F39" s="130">
        <f>FS!J53/1000</f>
        <v>709291.11842399987</v>
      </c>
      <c r="G39" s="130">
        <f>FS!K53/1000</f>
        <v>668358.32486000017</v>
      </c>
      <c r="H39" s="130">
        <f>FS!L53/1000</f>
        <v>737754.17887780024</v>
      </c>
      <c r="I39" s="54"/>
      <c r="L39" t="s">
        <v>608</v>
      </c>
      <c r="N39" s="108">
        <v>8.6099999999999996E-2</v>
      </c>
    </row>
    <row r="40" spans="2:16" x14ac:dyDescent="0.3">
      <c r="B40" t="s">
        <v>507</v>
      </c>
      <c r="C40" s="54">
        <f>FS!F54/1000</f>
        <v>278716.79399999999</v>
      </c>
      <c r="D40" s="54">
        <f>FS!G54/1000</f>
        <v>335953.80200000003</v>
      </c>
      <c r="E40" s="54">
        <f>FS!I54/1000</f>
        <v>118652.257</v>
      </c>
      <c r="F40" s="130">
        <f>FS!J54/1000</f>
        <v>296954.728</v>
      </c>
      <c r="G40" s="130">
        <f>FS!K54/1000</f>
        <v>326650.20079999999</v>
      </c>
      <c r="H40" s="130">
        <f>FS!L54/1000</f>
        <v>359315.22087999998</v>
      </c>
      <c r="I40" s="54"/>
      <c r="L40" t="s">
        <v>609</v>
      </c>
      <c r="N40" s="108">
        <v>7.7100000000000002E-2</v>
      </c>
    </row>
    <row r="41" spans="2:16" x14ac:dyDescent="0.3">
      <c r="B41" t="s">
        <v>43</v>
      </c>
      <c r="C41" s="54">
        <f>(FS!F55+FS!F56)/1000</f>
        <v>64.155000000000001</v>
      </c>
      <c r="D41" s="54">
        <f>(FS!G55+FS!G56)/1000</f>
        <v>60.427999999999997</v>
      </c>
      <c r="E41" s="54">
        <f>(FS!I55+FS!I56)/1000</f>
        <v>55.302</v>
      </c>
      <c r="F41" s="130">
        <f>(FS!J55+FS!J56)/1000</f>
        <v>55.302</v>
      </c>
      <c r="G41" s="130">
        <f>(FS!K55+FS!K56)/1000</f>
        <v>55.302</v>
      </c>
      <c r="H41" s="130">
        <f>(FS!L55+FS!L56)/1000</f>
        <v>55.302</v>
      </c>
      <c r="I41" s="54"/>
      <c r="L41" t="s">
        <v>610</v>
      </c>
      <c r="N41" s="108">
        <v>7.1099999999999997E-2</v>
      </c>
    </row>
    <row r="42" spans="2:16" x14ac:dyDescent="0.3">
      <c r="B42" t="s">
        <v>509</v>
      </c>
      <c r="C42" s="54">
        <f>(FS!F57+FS!F58+FS!F59)/1000</f>
        <v>27254.261999999999</v>
      </c>
      <c r="D42" s="54">
        <f>(FS!G57+FS!G58+FS!G59)/1000</f>
        <v>27089.672999999999</v>
      </c>
      <c r="E42" s="54">
        <f>(FS!I57+FS!I58+FS!I59)/1000</f>
        <v>31640.156999999999</v>
      </c>
      <c r="F42" s="130">
        <f>(FS!J57+FS!J58+FS!J59)/1000</f>
        <v>33001.755980000002</v>
      </c>
      <c r="G42" s="130">
        <f>(FS!K57+FS!K58+FS!K59)/1000</f>
        <v>34328.751711999997</v>
      </c>
      <c r="H42" s="130">
        <f>(FS!L57+FS!L58+FS!L59)/1000</f>
        <v>38181.84310340001</v>
      </c>
      <c r="I42" s="54"/>
      <c r="L42" s="169" t="s">
        <v>599</v>
      </c>
      <c r="M42" s="169"/>
      <c r="N42" s="169"/>
    </row>
    <row r="43" spans="2:16" x14ac:dyDescent="0.3">
      <c r="B43" t="s">
        <v>510</v>
      </c>
      <c r="C43" s="54">
        <f>(FS!F60+FS!F61)/1000</f>
        <v>22930.719000000001</v>
      </c>
      <c r="D43" s="54">
        <f>(FS!G60+FS!G61)/1000</f>
        <v>37119.281999999999</v>
      </c>
      <c r="E43" s="54">
        <f>(FS!I60+FS!I61)/1000</f>
        <v>71538.423999999999</v>
      </c>
      <c r="F43" s="130">
        <f>(FS!J60+FS!J61)/1000</f>
        <v>67567.647260000012</v>
      </c>
      <c r="G43" s="130">
        <f>(FS!K60+FS!K61)/1000</f>
        <v>49394.111837500001</v>
      </c>
      <c r="H43" s="130">
        <f>(FS!L60+FS!L61)/1000</f>
        <v>50875.165842900002</v>
      </c>
      <c r="I43" s="54"/>
      <c r="L43" t="s">
        <v>611</v>
      </c>
      <c r="N43" s="108">
        <v>7.7799999999999994E-2</v>
      </c>
    </row>
    <row r="44" spans="2:16" ht="15" thickBot="1" x14ac:dyDescent="0.35">
      <c r="B44" t="s">
        <v>49</v>
      </c>
      <c r="C44" s="84">
        <f>FS!F62/1000</f>
        <v>1762496.1529999999</v>
      </c>
      <c r="D44" s="84">
        <f>FS!G62/1000</f>
        <v>1983491.1440000001</v>
      </c>
      <c r="E44" s="84">
        <f>FS!I62/1000</f>
        <v>2499553.9040000001</v>
      </c>
      <c r="F44" s="135">
        <f>FS!J62/1000</f>
        <v>2662322.3966822717</v>
      </c>
      <c r="G44" s="135">
        <f>FS!K62/1000</f>
        <v>2953069.7310510445</v>
      </c>
      <c r="H44" s="135">
        <f>FS!L62/1000</f>
        <v>3368903.2584783528</v>
      </c>
      <c r="I44" s="54"/>
      <c r="L44" t="s">
        <v>612</v>
      </c>
      <c r="N44" s="108">
        <v>4.8500000000000001E-2</v>
      </c>
    </row>
    <row r="45" spans="2:16" ht="15" thickTop="1" x14ac:dyDescent="0.3">
      <c r="B45" t="s">
        <v>107</v>
      </c>
      <c r="C45" s="54"/>
      <c r="D45" s="54"/>
      <c r="E45" s="54"/>
      <c r="F45" s="130"/>
      <c r="G45" s="130"/>
      <c r="H45" s="130"/>
      <c r="I45" s="54"/>
      <c r="L45" t="s">
        <v>613</v>
      </c>
      <c r="N45" s="108">
        <v>2.5899999999999999E-2</v>
      </c>
    </row>
    <row r="46" spans="2:16" x14ac:dyDescent="0.3">
      <c r="B46" t="s">
        <v>511</v>
      </c>
      <c r="C46" s="54">
        <f>(FS!F64+FS!F65+FS!F66)/1000</f>
        <v>181160.84</v>
      </c>
      <c r="D46" s="54">
        <f>(FS!G64+FS!G65+FS!G66)/1000</f>
        <v>227318.247</v>
      </c>
      <c r="E46" s="54">
        <f>(FS!I64+FS!I65+FS!I66)/1000</f>
        <v>165578.272</v>
      </c>
      <c r="F46" s="130">
        <f>(FS!J64+FS!J65+FS!J66)/1000</f>
        <v>148644.19014687499</v>
      </c>
      <c r="G46" s="130">
        <f>(FS!K64+FS!K65+FS!K66)/1000</f>
        <v>179897.30520158127</v>
      </c>
      <c r="H46" s="130">
        <f>(FS!L64+FS!L65+FS!L66)/1000</f>
        <v>205072.21952451402</v>
      </c>
      <c r="I46" s="54"/>
      <c r="L46" t="s">
        <v>614</v>
      </c>
      <c r="N46" s="108">
        <v>1.7999999999999999E-2</v>
      </c>
    </row>
    <row r="47" spans="2:16" x14ac:dyDescent="0.3">
      <c r="B47" t="s">
        <v>52</v>
      </c>
      <c r="C47" s="54">
        <f>FS!F67/1000</f>
        <v>1286616.399</v>
      </c>
      <c r="D47" s="54">
        <f>FS!G67/1000</f>
        <v>1472640.456</v>
      </c>
      <c r="E47" s="54">
        <f>FS!I67/1000</f>
        <v>1977743.6610000001</v>
      </c>
      <c r="F47" s="130">
        <f>FS!J67/1000</f>
        <v>2158989.8974874998</v>
      </c>
      <c r="G47" s="130">
        <f>FS!K67/1000</f>
        <v>2362458.3393416251</v>
      </c>
      <c r="H47" s="130">
        <f>FS!L67/1000</f>
        <v>2682217.8279467807</v>
      </c>
      <c r="I47" s="54"/>
      <c r="L47" t="s">
        <v>615</v>
      </c>
      <c r="N47" s="108">
        <v>1.7100000000000001E-2</v>
      </c>
    </row>
    <row r="48" spans="2:16" x14ac:dyDescent="0.3">
      <c r="B48" t="s">
        <v>53</v>
      </c>
      <c r="C48" s="54">
        <f>FS!F68/1000</f>
        <v>54555.932999999997</v>
      </c>
      <c r="D48" s="54">
        <f>FS!G68/1000</f>
        <v>32587.050999999999</v>
      </c>
      <c r="E48" s="54">
        <f>FS!I68/1000</f>
        <v>16150.356</v>
      </c>
      <c r="F48" s="130">
        <f>FS!J68/1000</f>
        <v>23481.198</v>
      </c>
      <c r="G48" s="130">
        <f>FS!K68/1000</f>
        <v>35221.796999999999</v>
      </c>
      <c r="H48" s="130">
        <f>FS!L68/1000</f>
        <v>52832.695500000002</v>
      </c>
      <c r="I48" s="54"/>
    </row>
    <row r="49" spans="2:9" x14ac:dyDescent="0.3">
      <c r="B49" t="s">
        <v>512</v>
      </c>
      <c r="C49" s="54">
        <f>(FS!F69+FS!F70+FS!F71+FS!F73)/1000</f>
        <v>79214.271999999997</v>
      </c>
      <c r="D49" s="54">
        <f>(FS!G69+FS!G70+FS!G71+FS!G73)/1000</f>
        <v>81392.861999999994</v>
      </c>
      <c r="E49" s="54">
        <f>(FS!I69+FS!I70+FS!I71+FS!I73)/1000</f>
        <v>127109.041</v>
      </c>
      <c r="F49" s="130">
        <f>(FS!J69+FS!J70+FS!J71+FS!J73)/1000</f>
        <v>96710.066414107758</v>
      </c>
      <c r="G49" s="130">
        <f>(FS!K69+FS!K70+FS!K71+FS!K73)/1000</f>
        <v>115451.506127776</v>
      </c>
      <c r="H49" s="130">
        <f>(FS!L69+FS!L70+FS!L71+FS!L73)/1000</f>
        <v>144053.56667561922</v>
      </c>
      <c r="I49" s="54"/>
    </row>
    <row r="50" spans="2:9" x14ac:dyDescent="0.3">
      <c r="B50" t="s">
        <v>59</v>
      </c>
      <c r="C50" s="47">
        <f>FS!F74/1000</f>
        <v>1601547.4439999999</v>
      </c>
      <c r="D50" s="47">
        <f>FS!G74/1000</f>
        <v>1813938.6159999999</v>
      </c>
      <c r="E50" s="47">
        <f>FS!I74/1000</f>
        <v>2286581.33</v>
      </c>
      <c r="F50" s="132">
        <f>FS!J74/1000</f>
        <v>2427825.3520484827</v>
      </c>
      <c r="G50" s="132">
        <f>FS!K74/1000</f>
        <v>2693028.9476709822</v>
      </c>
      <c r="H50" s="132">
        <f>FS!L74/1000</f>
        <v>3084176.3096469138</v>
      </c>
      <c r="I50" s="54"/>
    </row>
    <row r="51" spans="2:9" x14ac:dyDescent="0.3">
      <c r="B51" t="s">
        <v>109</v>
      </c>
      <c r="C51" s="54"/>
      <c r="D51" s="54"/>
      <c r="E51" s="54"/>
      <c r="F51" s="130"/>
      <c r="G51" s="130"/>
      <c r="H51" s="130"/>
      <c r="I51" s="54"/>
    </row>
    <row r="52" spans="2:9" x14ac:dyDescent="0.3">
      <c r="B52" t="s">
        <v>110</v>
      </c>
      <c r="C52" s="54">
        <f>FS!F76/1000</f>
        <v>52187.747000000003</v>
      </c>
      <c r="D52" s="54">
        <f>FS!G76/1000</f>
        <v>54566.957000000002</v>
      </c>
      <c r="E52" s="54">
        <f>FS!I76/1000</f>
        <v>58149.620999999999</v>
      </c>
      <c r="F52" s="130">
        <f>FS!J76/1000</f>
        <v>62948.002999999997</v>
      </c>
      <c r="G52" s="130">
        <f>FS!K76/1000</f>
        <v>69242.803300000014</v>
      </c>
      <c r="H52" s="130">
        <f>FS!L76/1000</f>
        <v>72704.943465000018</v>
      </c>
      <c r="I52" s="54"/>
    </row>
    <row r="53" spans="2:9" x14ac:dyDescent="0.3">
      <c r="B53" t="s">
        <v>513</v>
      </c>
      <c r="C53" s="54">
        <f>(FS!F77+FS!F78+FS!F79+FS!F81)/1000</f>
        <v>108760.962</v>
      </c>
      <c r="D53" s="54">
        <f>(FS!G77+FS!G78+FS!G79+FS!G81)/1000</f>
        <v>114985.571</v>
      </c>
      <c r="E53" s="54">
        <f>(FS!I77+FS!I78+FS!I79+FS!I81)/1000</f>
        <v>154822.95300000001</v>
      </c>
      <c r="F53" s="130">
        <f>(FS!J77+FS!J78+FS!J79+FS!J81)/1000</f>
        <v>171549.04163378887</v>
      </c>
      <c r="G53" s="130">
        <f>(FS!K77+FS!K78+FS!K79+FS!K81)/1000</f>
        <v>190797.98008006226</v>
      </c>
      <c r="H53" s="130">
        <f>(FS!L77+FS!L78+FS!L79+FS!L81)/1000</f>
        <v>212022.00536643891</v>
      </c>
      <c r="I53" s="54"/>
    </row>
    <row r="54" spans="2:9" x14ac:dyDescent="0.3">
      <c r="B54" t="s">
        <v>64</v>
      </c>
      <c r="C54" s="47">
        <f>FS!F82/1000</f>
        <v>160948.709</v>
      </c>
      <c r="D54" s="47">
        <f>FS!G82/1000</f>
        <v>169552.52799999999</v>
      </c>
      <c r="E54" s="47">
        <f>FS!I82/1000</f>
        <v>212972.57399999999</v>
      </c>
      <c r="F54" s="132">
        <f>FS!J82/1000</f>
        <v>234497.04463378887</v>
      </c>
      <c r="G54" s="132">
        <f>FS!K82/1000</f>
        <v>260040.78338006229</v>
      </c>
      <c r="H54" s="132">
        <f>FS!L82/1000</f>
        <v>284726.94883143896</v>
      </c>
      <c r="I54" s="54"/>
    </row>
    <row r="55" spans="2:9" ht="15" thickBot="1" x14ac:dyDescent="0.35">
      <c r="B55" t="s">
        <v>65</v>
      </c>
      <c r="C55" s="84">
        <f>FS!F83/1000</f>
        <v>1762496.1529999999</v>
      </c>
      <c r="D55" s="84">
        <f>FS!G83/1000</f>
        <v>1983491.1440000001</v>
      </c>
      <c r="E55" s="84">
        <f>FS!I83/1000</f>
        <v>2499553.9040000001</v>
      </c>
      <c r="F55" s="135">
        <f>FS!J83/1000</f>
        <v>2662322.3966822717</v>
      </c>
      <c r="G55" s="135">
        <f>FS!K83/1000</f>
        <v>2953069.7310510445</v>
      </c>
      <c r="H55" s="135">
        <f>FS!L83/1000</f>
        <v>3368903.2584783528</v>
      </c>
      <c r="I55" s="54"/>
    </row>
    <row r="56" spans="2:9" ht="15" thickTop="1" x14ac:dyDescent="0.3">
      <c r="B56" t="s">
        <v>680</v>
      </c>
      <c r="C56" s="61">
        <f>FS!F85</f>
        <v>136.41999999999999</v>
      </c>
      <c r="D56" s="61">
        <f>FS!G85</f>
        <v>140.24</v>
      </c>
      <c r="E56" s="61">
        <f>FS!I85</f>
        <v>168.47</v>
      </c>
      <c r="F56" s="61">
        <f>FS!J85</f>
        <v>174.6907210487785</v>
      </c>
      <c r="G56" s="61">
        <f>FS!K85</f>
        <v>193.31150384045156</v>
      </c>
      <c r="H56" s="61">
        <f>FS!L85</f>
        <v>211.22647952129455</v>
      </c>
      <c r="I56" s="54"/>
    </row>
    <row r="57" spans="2:9" x14ac:dyDescent="0.3">
      <c r="B57" t="s">
        <v>129</v>
      </c>
      <c r="C57" s="54"/>
      <c r="D57" s="54"/>
      <c r="E57" s="54"/>
      <c r="F57" s="54"/>
      <c r="G57" s="54"/>
      <c r="H57" s="54"/>
      <c r="I57" s="54"/>
    </row>
    <row r="58" spans="2:9" x14ac:dyDescent="0.3">
      <c r="C58" s="54"/>
      <c r="D58" s="54"/>
      <c r="E58" s="54"/>
      <c r="F58" s="54"/>
      <c r="G58" s="54"/>
      <c r="H58" s="54"/>
      <c r="I58" s="5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3C64-0F93-4D0D-9E49-C34F58A89508}">
  <dimension ref="A4:N423"/>
  <sheetViews>
    <sheetView showGridLines="0" topLeftCell="A407" zoomScale="93" zoomScaleNormal="89" workbookViewId="0">
      <selection activeCell="M317" sqref="M317"/>
    </sheetView>
  </sheetViews>
  <sheetFormatPr defaultRowHeight="14.4" x14ac:dyDescent="0.3"/>
  <cols>
    <col min="3" max="3" width="28.77734375" bestFit="1" customWidth="1"/>
    <col min="4" max="4" width="13.6640625" bestFit="1" customWidth="1"/>
    <col min="5" max="6" width="14.6640625" bestFit="1" customWidth="1"/>
    <col min="7" max="10" width="12.109375" customWidth="1"/>
    <col min="11" max="11" width="9.109375" bestFit="1" customWidth="1"/>
    <col min="12" max="12" width="9" bestFit="1" customWidth="1"/>
  </cols>
  <sheetData>
    <row r="4" spans="3:12" x14ac:dyDescent="0.3">
      <c r="C4" t="s">
        <v>516</v>
      </c>
      <c r="D4">
        <v>2019</v>
      </c>
      <c r="E4">
        <f>D4+1</f>
        <v>2020</v>
      </c>
      <c r="F4">
        <f t="shared" ref="F4:G4" si="0">E4+1</f>
        <v>2021</v>
      </c>
      <c r="G4">
        <f t="shared" si="0"/>
        <v>2022</v>
      </c>
      <c r="H4" s="19" t="str">
        <f>FS!J4</f>
        <v>2023F</v>
      </c>
      <c r="I4" s="19" t="str">
        <f>FS!K4</f>
        <v>2024F</v>
      </c>
      <c r="J4" s="19" t="str">
        <f>FS!L4</f>
        <v>2025F</v>
      </c>
      <c r="K4" s="19" t="str">
        <f>FS!M4</f>
        <v>2026F</v>
      </c>
    </row>
    <row r="5" spans="3:12" x14ac:dyDescent="0.3">
      <c r="C5" t="s">
        <v>517</v>
      </c>
      <c r="D5" s="2">
        <f>FS!E52/1000000</f>
        <v>893.91931099999999</v>
      </c>
      <c r="E5" s="2">
        <f>FS!F52/1000000</f>
        <v>909.82917199999997</v>
      </c>
      <c r="F5" s="2">
        <f>FS!G52/1000000</f>
        <v>1029.584075</v>
      </c>
      <c r="G5" s="2">
        <f>FS!I52/1000000</f>
        <v>1155.4925270000001</v>
      </c>
      <c r="H5" s="2">
        <f>FS!J52/1000000</f>
        <v>1214.9486664333899</v>
      </c>
      <c r="I5" s="2">
        <f>FS!K52/1000000</f>
        <v>1426.3530317591888</v>
      </c>
      <c r="J5" s="2">
        <f>FS!L52/1000000</f>
        <v>1651.2079041463344</v>
      </c>
      <c r="K5" s="2">
        <f>FS!M52/1000000</f>
        <v>1908.0432396455997</v>
      </c>
      <c r="L5" s="2"/>
    </row>
    <row r="6" spans="3:12" x14ac:dyDescent="0.3">
      <c r="C6" t="s">
        <v>518</v>
      </c>
      <c r="D6" s="115">
        <f>FS!E52/FS!D52-1</f>
        <v>3.0321544339770634E-2</v>
      </c>
      <c r="E6" s="115">
        <f>FS!F52/FS!E52-1</f>
        <v>1.7797871468065773E-2</v>
      </c>
      <c r="F6" s="115">
        <f>FS!G52/FS!F52-1</f>
        <v>0.13162350327452454</v>
      </c>
      <c r="G6" s="115">
        <f>FS!I52/FS!G52-1</f>
        <v>0.12229059778338169</v>
      </c>
      <c r="H6" s="115">
        <f>FS!J52/FS!I52-1</f>
        <v>5.1455234927183513E-2</v>
      </c>
      <c r="I6" s="115">
        <f>FS!K52/FS!J52-1</f>
        <v>0.1740027139964675</v>
      </c>
      <c r="J6" s="115">
        <f>FS!L52/FS!K52-1</f>
        <v>0.15764321130920966</v>
      </c>
      <c r="K6" s="115">
        <f>FS!M52/FS!L52-1</f>
        <v>0.15554391112974209</v>
      </c>
    </row>
    <row r="26" spans="3:14" x14ac:dyDescent="0.3">
      <c r="E26" t="s">
        <v>522</v>
      </c>
      <c r="F26" t="s">
        <v>523</v>
      </c>
      <c r="L26" t="s">
        <v>519</v>
      </c>
      <c r="M26" t="s">
        <v>520</v>
      </c>
      <c r="N26" t="s">
        <v>521</v>
      </c>
    </row>
    <row r="27" spans="3:14" x14ac:dyDescent="0.3">
      <c r="C27" s="137">
        <v>2019</v>
      </c>
      <c r="D27" s="138">
        <v>43466</v>
      </c>
      <c r="E27" s="96">
        <v>0.08</v>
      </c>
      <c r="F27" s="96">
        <v>0.09</v>
      </c>
      <c r="K27" s="138">
        <v>43466</v>
      </c>
      <c r="L27" s="96">
        <v>0.12050000000000001</v>
      </c>
      <c r="M27" s="96">
        <v>8.8499999999999995E-2</v>
      </c>
      <c r="N27" s="108">
        <f>L27-M27</f>
        <v>3.2000000000000015E-2</v>
      </c>
    </row>
    <row r="28" spans="3:14" x14ac:dyDescent="0.3">
      <c r="C28" s="137"/>
      <c r="D28" s="138">
        <v>43497</v>
      </c>
      <c r="E28" s="96">
        <v>0.08</v>
      </c>
      <c r="F28" s="96">
        <v>0.09</v>
      </c>
      <c r="K28" s="138">
        <v>43497</v>
      </c>
      <c r="L28" s="96">
        <v>0.12300000000000001</v>
      </c>
      <c r="M28" s="96">
        <v>8.8800000000000004E-2</v>
      </c>
      <c r="N28" s="108">
        <f t="shared" ref="N28:N87" si="1">L28-M28</f>
        <v>3.4200000000000008E-2</v>
      </c>
    </row>
    <row r="29" spans="3:14" x14ac:dyDescent="0.3">
      <c r="C29" s="137"/>
      <c r="D29" s="138">
        <v>43525</v>
      </c>
      <c r="E29" s="96">
        <v>0.08</v>
      </c>
      <c r="F29" s="96">
        <v>0.09</v>
      </c>
      <c r="K29" s="138">
        <v>43525</v>
      </c>
      <c r="L29" s="96">
        <v>0.12230000000000001</v>
      </c>
      <c r="M29" s="96">
        <v>8.9800000000000005E-2</v>
      </c>
      <c r="N29" s="108">
        <f t="shared" si="1"/>
        <v>3.2500000000000001E-2</v>
      </c>
    </row>
    <row r="30" spans="3:14" x14ac:dyDescent="0.3">
      <c r="C30" s="137"/>
      <c r="D30" s="138">
        <v>43556</v>
      </c>
      <c r="E30" s="96">
        <v>0.08</v>
      </c>
      <c r="F30" s="96">
        <v>0.09</v>
      </c>
      <c r="K30" s="138">
        <v>43556</v>
      </c>
      <c r="L30" s="96">
        <v>0.1207</v>
      </c>
      <c r="M30" s="96">
        <v>8.9700000000000002E-2</v>
      </c>
      <c r="N30" s="108">
        <f t="shared" si="1"/>
        <v>3.1E-2</v>
      </c>
    </row>
    <row r="31" spans="3:14" x14ac:dyDescent="0.3">
      <c r="C31" s="137"/>
      <c r="D31" s="138">
        <v>43586</v>
      </c>
      <c r="E31" s="96">
        <v>7.4999999999999997E-2</v>
      </c>
      <c r="F31" s="96">
        <v>8.5000000000000006E-2</v>
      </c>
      <c r="K31" s="138">
        <v>43586</v>
      </c>
      <c r="L31" s="96">
        <v>0.1201</v>
      </c>
      <c r="M31" s="96">
        <v>0.09</v>
      </c>
      <c r="N31" s="108">
        <f t="shared" si="1"/>
        <v>3.0100000000000002E-2</v>
      </c>
    </row>
    <row r="32" spans="3:14" x14ac:dyDescent="0.3">
      <c r="C32" s="137"/>
      <c r="D32" s="138">
        <v>43617</v>
      </c>
      <c r="E32" s="96">
        <v>7.4999999999999997E-2</v>
      </c>
      <c r="F32" s="96">
        <v>8.5000000000000006E-2</v>
      </c>
      <c r="K32" s="138">
        <v>43617</v>
      </c>
      <c r="L32" s="96">
        <v>0.11449999999999999</v>
      </c>
      <c r="M32" s="96">
        <v>8.9399999999999993E-2</v>
      </c>
      <c r="N32" s="108">
        <f t="shared" si="1"/>
        <v>2.5099999999999997E-2</v>
      </c>
    </row>
    <row r="33" spans="3:14" x14ac:dyDescent="0.3">
      <c r="C33" s="137"/>
      <c r="D33" s="138">
        <v>43647</v>
      </c>
      <c r="E33" s="96">
        <v>7.4999999999999997E-2</v>
      </c>
      <c r="F33" s="96">
        <v>8.5000000000000006E-2</v>
      </c>
      <c r="K33" s="138">
        <v>43647</v>
      </c>
      <c r="L33" s="96">
        <v>0.10929999999999999</v>
      </c>
      <c r="M33" s="96">
        <v>8.8800000000000004E-2</v>
      </c>
      <c r="N33" s="108">
        <f t="shared" si="1"/>
        <v>2.049999999999999E-2</v>
      </c>
    </row>
    <row r="34" spans="3:14" x14ac:dyDescent="0.3">
      <c r="C34" s="137"/>
      <c r="D34" s="138">
        <v>43678</v>
      </c>
      <c r="E34" s="96">
        <v>7.0000000000000007E-2</v>
      </c>
      <c r="F34" s="96">
        <v>0.08</v>
      </c>
      <c r="K34" s="138">
        <v>43678</v>
      </c>
      <c r="L34" s="96">
        <v>0.1069</v>
      </c>
      <c r="M34" s="96">
        <v>8.7300000000000003E-2</v>
      </c>
      <c r="N34" s="108">
        <f t="shared" si="1"/>
        <v>1.9599999999999992E-2</v>
      </c>
    </row>
    <row r="35" spans="3:14" x14ac:dyDescent="0.3">
      <c r="C35" s="137"/>
      <c r="D35" s="138">
        <v>43709</v>
      </c>
      <c r="E35" s="96">
        <v>7.0000000000000007E-2</v>
      </c>
      <c r="F35" s="96">
        <v>0.08</v>
      </c>
      <c r="K35" s="138">
        <v>43709</v>
      </c>
      <c r="L35" s="96">
        <v>0.1057</v>
      </c>
      <c r="M35" s="96">
        <v>8.5099999999999995E-2</v>
      </c>
      <c r="N35" s="108">
        <f t="shared" si="1"/>
        <v>2.0600000000000007E-2</v>
      </c>
    </row>
    <row r="36" spans="3:14" x14ac:dyDescent="0.3">
      <c r="C36" s="137"/>
      <c r="D36" s="138">
        <v>43739</v>
      </c>
      <c r="E36" s="96">
        <v>7.0000000000000007E-2</v>
      </c>
      <c r="F36" s="96">
        <v>0.08</v>
      </c>
      <c r="K36" s="138">
        <v>43739</v>
      </c>
      <c r="L36" s="96">
        <v>0.1042</v>
      </c>
      <c r="M36" s="96">
        <v>8.3699999999999997E-2</v>
      </c>
      <c r="N36" s="108">
        <f t="shared" si="1"/>
        <v>2.0500000000000004E-2</v>
      </c>
    </row>
    <row r="37" spans="3:14" x14ac:dyDescent="0.3">
      <c r="C37" s="137"/>
      <c r="D37" s="138">
        <v>43770</v>
      </c>
      <c r="E37" s="96">
        <v>7.0000000000000007E-2</v>
      </c>
      <c r="F37" s="96">
        <v>0.08</v>
      </c>
      <c r="K37" s="138">
        <v>43770</v>
      </c>
      <c r="L37" s="96">
        <v>0.10210000000000001</v>
      </c>
      <c r="M37" s="96">
        <v>8.2699999999999996E-2</v>
      </c>
      <c r="N37" s="108">
        <f t="shared" si="1"/>
        <v>1.9400000000000014E-2</v>
      </c>
    </row>
    <row r="38" spans="3:14" x14ac:dyDescent="0.3">
      <c r="C38" s="137"/>
      <c r="D38" s="138">
        <v>43800</v>
      </c>
      <c r="E38" s="96">
        <v>7.0000000000000007E-2</v>
      </c>
      <c r="F38" s="96">
        <v>0.08</v>
      </c>
      <c r="K38" s="138">
        <v>43800</v>
      </c>
      <c r="L38" s="96">
        <v>0.1</v>
      </c>
      <c r="M38" s="96">
        <v>8.199999999999999E-2</v>
      </c>
      <c r="N38" s="108">
        <f t="shared" si="1"/>
        <v>1.8000000000000016E-2</v>
      </c>
    </row>
    <row r="39" spans="3:14" x14ac:dyDescent="0.3">
      <c r="C39" s="137">
        <v>2020</v>
      </c>
      <c r="D39" s="138">
        <v>43831</v>
      </c>
      <c r="E39" s="96">
        <v>6.5000000000000002E-2</v>
      </c>
      <c r="F39" s="96">
        <v>7.4999999999999997E-2</v>
      </c>
      <c r="K39" s="138">
        <v>43831</v>
      </c>
      <c r="L39" s="96">
        <v>9.6799999999999997E-2</v>
      </c>
      <c r="M39" s="96">
        <v>8.14E-2</v>
      </c>
      <c r="N39" s="108">
        <f t="shared" si="1"/>
        <v>1.5399999999999997E-2</v>
      </c>
    </row>
    <row r="40" spans="3:14" x14ac:dyDescent="0.3">
      <c r="C40" s="137"/>
      <c r="D40" s="138">
        <v>43862</v>
      </c>
      <c r="E40" s="96">
        <v>6.5000000000000002E-2</v>
      </c>
      <c r="F40" s="96">
        <v>7.4999999999999997E-2</v>
      </c>
      <c r="K40" s="138">
        <v>43862</v>
      </c>
      <c r="L40" s="96">
        <v>9.5100000000000004E-2</v>
      </c>
      <c r="M40" s="96">
        <v>8.0600000000000005E-2</v>
      </c>
      <c r="N40" s="108">
        <f t="shared" si="1"/>
        <v>1.4499999999999999E-2</v>
      </c>
    </row>
    <row r="41" spans="3:14" x14ac:dyDescent="0.3">
      <c r="C41" s="137"/>
      <c r="D41" s="138">
        <v>43891</v>
      </c>
      <c r="E41" s="96">
        <v>6.25E-2</v>
      </c>
      <c r="F41" s="96">
        <v>7.2499999999999995E-2</v>
      </c>
      <c r="K41" s="138">
        <v>43891</v>
      </c>
      <c r="L41" s="96">
        <v>9.35E-2</v>
      </c>
      <c r="M41" s="96">
        <v>7.9000000000000001E-2</v>
      </c>
      <c r="N41" s="108">
        <f t="shared" si="1"/>
        <v>1.4499999999999999E-2</v>
      </c>
    </row>
    <row r="42" spans="3:14" x14ac:dyDescent="0.3">
      <c r="C42" s="137"/>
      <c r="D42" s="138">
        <v>43922</v>
      </c>
      <c r="E42" s="96">
        <v>0.06</v>
      </c>
      <c r="F42" s="96">
        <v>7.0000000000000007E-2</v>
      </c>
      <c r="K42" s="138">
        <v>43922</v>
      </c>
      <c r="L42" s="96">
        <v>9.3800000000000008E-2</v>
      </c>
      <c r="M42" s="96">
        <v>7.7699999999999991E-2</v>
      </c>
      <c r="N42" s="108">
        <f t="shared" si="1"/>
        <v>1.6100000000000017E-2</v>
      </c>
    </row>
    <row r="43" spans="3:14" x14ac:dyDescent="0.3">
      <c r="C43" s="137"/>
      <c r="D43" s="138">
        <v>43952</v>
      </c>
      <c r="E43" s="96">
        <v>5.5E-2</v>
      </c>
      <c r="F43" s="96">
        <v>6.5000000000000002E-2</v>
      </c>
      <c r="K43" s="138">
        <v>43952</v>
      </c>
      <c r="L43" s="96">
        <v>9.2799999999999994E-2</v>
      </c>
      <c r="M43" s="96">
        <v>7.5700000000000003E-2</v>
      </c>
      <c r="N43" s="108">
        <f t="shared" si="1"/>
        <v>1.709999999999999E-2</v>
      </c>
    </row>
    <row r="44" spans="3:14" x14ac:dyDescent="0.3">
      <c r="C44" s="137"/>
      <c r="D44" s="138">
        <v>43983</v>
      </c>
      <c r="E44" s="96">
        <v>5.5E-2</v>
      </c>
      <c r="F44" s="96">
        <v>6.5000000000000002E-2</v>
      </c>
      <c r="K44" s="138">
        <v>43983</v>
      </c>
      <c r="L44" s="96">
        <v>8.7799999999999989E-2</v>
      </c>
      <c r="M44" s="96">
        <v>7.3800000000000004E-2</v>
      </c>
      <c r="N44" s="108">
        <f t="shared" si="1"/>
        <v>1.3999999999999985E-2</v>
      </c>
    </row>
    <row r="45" spans="3:14" x14ac:dyDescent="0.3">
      <c r="C45" s="137"/>
      <c r="D45" s="138">
        <v>44013</v>
      </c>
      <c r="E45" s="96">
        <v>4.4999999999999998E-2</v>
      </c>
      <c r="F45" s="96">
        <v>5.5E-2</v>
      </c>
      <c r="K45" s="138">
        <v>44013</v>
      </c>
      <c r="L45" s="96">
        <v>7.7899999999999997E-2</v>
      </c>
      <c r="M45" s="96">
        <v>7.1599999999999997E-2</v>
      </c>
      <c r="N45" s="108">
        <f t="shared" si="1"/>
        <v>6.3E-3</v>
      </c>
    </row>
    <row r="46" spans="3:14" x14ac:dyDescent="0.3">
      <c r="C46" s="137"/>
      <c r="D46" s="138">
        <v>44044</v>
      </c>
      <c r="E46" s="96">
        <v>4.4999999999999998E-2</v>
      </c>
      <c r="F46" s="96">
        <v>5.5E-2</v>
      </c>
      <c r="K46" s="138">
        <v>44044</v>
      </c>
      <c r="L46" s="96">
        <v>7.0099999999999996E-2</v>
      </c>
      <c r="M46" s="96">
        <v>6.7400000000000002E-2</v>
      </c>
      <c r="N46" s="108">
        <f t="shared" si="1"/>
        <v>2.6999999999999941E-3</v>
      </c>
    </row>
    <row r="47" spans="3:14" x14ac:dyDescent="0.3">
      <c r="C47" s="137"/>
      <c r="D47" s="138">
        <v>44075</v>
      </c>
      <c r="E47" s="96">
        <v>4.4999999999999998E-2</v>
      </c>
      <c r="F47" s="96">
        <v>5.5E-2</v>
      </c>
      <c r="K47" s="138">
        <v>44075</v>
      </c>
      <c r="L47" s="96">
        <v>6.4199999999999993E-2</v>
      </c>
      <c r="M47" s="96">
        <v>6.4399999999999999E-2</v>
      </c>
      <c r="N47" s="108">
        <f t="shared" si="1"/>
        <v>-2.0000000000000573E-4</v>
      </c>
    </row>
    <row r="48" spans="3:14" x14ac:dyDescent="0.3">
      <c r="C48" s="137"/>
      <c r="D48" s="138">
        <v>44105</v>
      </c>
      <c r="E48" s="96">
        <v>4.4999999999999998E-2</v>
      </c>
      <c r="F48" s="96">
        <v>5.5E-2</v>
      </c>
      <c r="K48" s="138">
        <v>44105</v>
      </c>
      <c r="L48" s="96">
        <v>6.0999999999999999E-2</v>
      </c>
      <c r="M48" s="96">
        <v>6.2300000000000001E-2</v>
      </c>
      <c r="N48" s="108">
        <f t="shared" si="1"/>
        <v>-1.3000000000000025E-3</v>
      </c>
    </row>
    <row r="49" spans="3:14" x14ac:dyDescent="0.3">
      <c r="C49" s="137"/>
      <c r="D49" s="138">
        <v>44136</v>
      </c>
      <c r="E49" s="96">
        <v>4.4999999999999998E-2</v>
      </c>
      <c r="F49" s="96">
        <v>5.5E-2</v>
      </c>
      <c r="K49" s="138">
        <v>44136</v>
      </c>
      <c r="L49" s="96">
        <v>5.9500000000000004E-2</v>
      </c>
      <c r="M49" s="96">
        <v>6.0100000000000001E-2</v>
      </c>
      <c r="N49" s="108">
        <f t="shared" si="1"/>
        <v>-5.9999999999999637E-4</v>
      </c>
    </row>
    <row r="50" spans="3:14" x14ac:dyDescent="0.3">
      <c r="C50" s="137"/>
      <c r="D50" s="138">
        <v>44166</v>
      </c>
      <c r="E50" s="96">
        <v>4.4999999999999998E-2</v>
      </c>
      <c r="F50" s="96">
        <v>5.5E-2</v>
      </c>
      <c r="K50" s="138">
        <v>44166</v>
      </c>
      <c r="L50" s="96">
        <v>5.74E-2</v>
      </c>
      <c r="M50" s="96">
        <v>5.7999999999999996E-2</v>
      </c>
      <c r="N50" s="108">
        <f t="shared" si="1"/>
        <v>-5.9999999999999637E-4</v>
      </c>
    </row>
    <row r="51" spans="3:14" x14ac:dyDescent="0.3">
      <c r="C51" s="137">
        <v>2021</v>
      </c>
      <c r="D51" s="138">
        <v>44197</v>
      </c>
      <c r="E51" s="96">
        <v>4.4999999999999998E-2</v>
      </c>
      <c r="F51" s="96">
        <v>5.5E-2</v>
      </c>
      <c r="K51" s="138">
        <v>44197</v>
      </c>
      <c r="L51" s="96">
        <v>5.8200000000000002E-2</v>
      </c>
      <c r="M51" s="96">
        <v>5.5800000000000002E-2</v>
      </c>
      <c r="N51" s="108">
        <f t="shared" si="1"/>
        <v>2.3999999999999994E-3</v>
      </c>
    </row>
    <row r="52" spans="3:14" x14ac:dyDescent="0.3">
      <c r="C52" s="137"/>
      <c r="D52" s="138">
        <v>44228</v>
      </c>
      <c r="E52" s="96">
        <v>4.4999999999999998E-2</v>
      </c>
      <c r="F52" s="96">
        <v>5.5E-2</v>
      </c>
      <c r="K52" s="138">
        <v>44228</v>
      </c>
      <c r="L52" s="96">
        <v>5.7200000000000001E-2</v>
      </c>
      <c r="M52" s="96">
        <v>5.3600000000000002E-2</v>
      </c>
      <c r="N52" s="108">
        <f t="shared" si="1"/>
        <v>3.599999999999999E-3</v>
      </c>
    </row>
    <row r="53" spans="3:14" x14ac:dyDescent="0.3">
      <c r="C53" s="137"/>
      <c r="D53" s="138">
        <v>44256</v>
      </c>
      <c r="E53" s="96">
        <v>4.4999999999999998E-2</v>
      </c>
      <c r="F53" s="96">
        <v>5.5E-2</v>
      </c>
      <c r="K53" s="138">
        <v>44256</v>
      </c>
      <c r="L53" s="96">
        <v>5.67E-2</v>
      </c>
      <c r="M53" s="96">
        <v>5.2000000000000005E-2</v>
      </c>
      <c r="N53" s="108">
        <f t="shared" si="1"/>
        <v>4.6999999999999958E-3</v>
      </c>
    </row>
    <row r="54" spans="3:14" x14ac:dyDescent="0.3">
      <c r="C54" s="137"/>
      <c r="D54" s="138">
        <v>44287</v>
      </c>
      <c r="E54" s="96">
        <v>4.4999999999999998E-2</v>
      </c>
      <c r="F54" s="96">
        <v>5.5E-2</v>
      </c>
      <c r="K54" s="138">
        <v>44287</v>
      </c>
      <c r="L54" s="96">
        <v>5.6500000000000002E-2</v>
      </c>
      <c r="M54" s="96">
        <v>5.0700000000000002E-2</v>
      </c>
      <c r="N54" s="108">
        <f t="shared" si="1"/>
        <v>5.7999999999999996E-3</v>
      </c>
    </row>
    <row r="55" spans="3:14" x14ac:dyDescent="0.3">
      <c r="C55" s="137"/>
      <c r="D55" s="138">
        <v>44317</v>
      </c>
      <c r="E55" s="96">
        <v>4.4999999999999998E-2</v>
      </c>
      <c r="F55" s="96">
        <v>5.5E-2</v>
      </c>
      <c r="K55" s="138">
        <v>44317</v>
      </c>
      <c r="L55" s="96">
        <v>5.6900000000000006E-2</v>
      </c>
      <c r="M55" s="96">
        <v>4.9699999999999994E-2</v>
      </c>
      <c r="N55" s="108">
        <f t="shared" si="1"/>
        <v>7.2000000000000119E-3</v>
      </c>
    </row>
    <row r="56" spans="3:14" x14ac:dyDescent="0.3">
      <c r="C56" s="137"/>
      <c r="D56" s="138">
        <v>44348</v>
      </c>
      <c r="E56" s="96">
        <v>4.4999999999999998E-2</v>
      </c>
      <c r="F56" s="96">
        <v>5.5E-2</v>
      </c>
      <c r="K56" s="138">
        <v>44348</v>
      </c>
      <c r="L56" s="96">
        <v>5.67E-2</v>
      </c>
      <c r="M56" s="96">
        <v>4.87E-2</v>
      </c>
      <c r="N56" s="108">
        <f t="shared" si="1"/>
        <v>8.0000000000000002E-3</v>
      </c>
    </row>
    <row r="57" spans="3:14" x14ac:dyDescent="0.3">
      <c r="C57" s="137"/>
      <c r="D57" s="138">
        <v>44378</v>
      </c>
      <c r="E57" s="96">
        <v>4.4999999999999998E-2</v>
      </c>
      <c r="F57" s="96">
        <v>5.5E-2</v>
      </c>
      <c r="K57" s="138">
        <v>44378</v>
      </c>
      <c r="L57" s="96">
        <v>5.6950000000000001E-2</v>
      </c>
      <c r="M57" s="96">
        <v>4.7699999999999992E-2</v>
      </c>
      <c r="N57" s="108">
        <f t="shared" si="1"/>
        <v>9.2500000000000082E-3</v>
      </c>
    </row>
    <row r="58" spans="3:14" x14ac:dyDescent="0.3">
      <c r="C58" s="137"/>
      <c r="D58" s="138">
        <v>44409</v>
      </c>
      <c r="E58" s="96">
        <v>0.05</v>
      </c>
      <c r="F58" s="96">
        <v>0.06</v>
      </c>
      <c r="K58" s="138">
        <v>44409</v>
      </c>
      <c r="L58" s="96">
        <v>5.8499999999999996E-2</v>
      </c>
      <c r="M58" s="96">
        <v>4.7500000000000001E-2</v>
      </c>
      <c r="N58" s="108">
        <f t="shared" si="1"/>
        <v>1.0999999999999996E-2</v>
      </c>
    </row>
    <row r="59" spans="3:14" x14ac:dyDescent="0.3">
      <c r="C59" s="137"/>
      <c r="D59" s="138">
        <v>44440</v>
      </c>
      <c r="E59" s="96">
        <v>0.05</v>
      </c>
      <c r="F59" s="96">
        <v>0.06</v>
      </c>
      <c r="K59" s="138">
        <v>44440</v>
      </c>
      <c r="L59" s="96">
        <v>6.3899999999999998E-2</v>
      </c>
      <c r="M59" s="96">
        <v>4.7500000000000001E-2</v>
      </c>
      <c r="N59" s="108">
        <f t="shared" si="1"/>
        <v>1.6399999999999998E-2</v>
      </c>
    </row>
    <row r="60" spans="3:14" x14ac:dyDescent="0.3">
      <c r="C60" s="137"/>
      <c r="D60" s="138">
        <v>44470</v>
      </c>
      <c r="E60" s="96">
        <v>0.05</v>
      </c>
      <c r="F60" s="96">
        <v>0.06</v>
      </c>
      <c r="K60" s="138">
        <v>44470</v>
      </c>
      <c r="L60" s="96">
        <v>7.1800000000000003E-2</v>
      </c>
      <c r="M60" s="96">
        <v>4.7899999999999998E-2</v>
      </c>
      <c r="N60" s="108">
        <f t="shared" si="1"/>
        <v>2.3900000000000005E-2</v>
      </c>
    </row>
    <row r="61" spans="3:14" x14ac:dyDescent="0.3">
      <c r="C61" s="137"/>
      <c r="D61" s="138">
        <v>44501</v>
      </c>
      <c r="E61" s="96">
        <v>0.05</v>
      </c>
      <c r="F61" s="96">
        <v>0.06</v>
      </c>
      <c r="K61" s="138">
        <v>44501</v>
      </c>
      <c r="L61" s="96">
        <v>7.8899999999999998E-2</v>
      </c>
      <c r="M61" s="96">
        <v>4.82E-2</v>
      </c>
      <c r="N61" s="108">
        <f t="shared" si="1"/>
        <v>3.0699999999999998E-2</v>
      </c>
    </row>
    <row r="62" spans="3:14" x14ac:dyDescent="0.3">
      <c r="C62" s="137"/>
      <c r="D62" s="138">
        <v>44531</v>
      </c>
      <c r="E62" s="96">
        <v>0.05</v>
      </c>
      <c r="F62" s="96">
        <v>0.06</v>
      </c>
      <c r="K62" s="138">
        <v>44531</v>
      </c>
      <c r="L62" s="96">
        <v>8.3299999999999999E-2</v>
      </c>
      <c r="M62" s="96">
        <v>4.9400000000000006E-2</v>
      </c>
      <c r="N62" s="108">
        <f t="shared" si="1"/>
        <v>3.3899999999999993E-2</v>
      </c>
    </row>
    <row r="63" spans="3:14" x14ac:dyDescent="0.3">
      <c r="C63" s="137">
        <v>2022</v>
      </c>
      <c r="D63" s="138">
        <v>44562</v>
      </c>
      <c r="E63" s="96">
        <v>5.5E-2</v>
      </c>
      <c r="F63" s="96">
        <v>6.5000000000000002E-2</v>
      </c>
      <c r="K63" s="138">
        <v>44562</v>
      </c>
      <c r="L63" s="96">
        <v>8.4199999999999997E-2</v>
      </c>
      <c r="M63" s="96">
        <v>5.0099999999999999E-2</v>
      </c>
      <c r="N63" s="108">
        <f t="shared" si="1"/>
        <v>3.4099999999999998E-2</v>
      </c>
    </row>
    <row r="64" spans="3:14" x14ac:dyDescent="0.3">
      <c r="C64" s="137"/>
      <c r="D64" s="138">
        <v>44593</v>
      </c>
      <c r="E64" s="96">
        <v>5.5E-2</v>
      </c>
      <c r="F64" s="96">
        <v>6.5000000000000002E-2</v>
      </c>
      <c r="K64" s="138">
        <v>44593</v>
      </c>
      <c r="L64" s="96">
        <v>8.9499999999999996E-2</v>
      </c>
      <c r="M64" s="96">
        <v>5.0700000000000002E-2</v>
      </c>
      <c r="N64" s="108">
        <f t="shared" si="1"/>
        <v>3.8799999999999994E-2</v>
      </c>
    </row>
    <row r="65" spans="3:14" x14ac:dyDescent="0.3">
      <c r="C65" s="137"/>
      <c r="D65" s="138">
        <v>44621</v>
      </c>
      <c r="E65" s="96">
        <v>6.5000000000000002E-2</v>
      </c>
      <c r="F65" s="96">
        <v>7.4999999999999997E-2</v>
      </c>
      <c r="K65" s="138">
        <v>44621</v>
      </c>
      <c r="L65" s="96">
        <v>9.4700000000000006E-2</v>
      </c>
      <c r="M65" s="96">
        <v>5.1699999999999996E-2</v>
      </c>
      <c r="N65" s="108">
        <f t="shared" si="1"/>
        <v>4.300000000000001E-2</v>
      </c>
    </row>
    <row r="66" spans="3:14" x14ac:dyDescent="0.3">
      <c r="C66" s="137"/>
      <c r="D66" s="138">
        <v>44652</v>
      </c>
      <c r="E66" s="96">
        <v>0.13500000000000001</v>
      </c>
      <c r="F66" s="96">
        <v>0.14499999999999999</v>
      </c>
      <c r="K66" s="138">
        <v>44652</v>
      </c>
      <c r="L66" s="96">
        <v>0.13019999999999998</v>
      </c>
      <c r="M66" s="96">
        <v>5.5199999999999999E-2</v>
      </c>
      <c r="N66" s="108">
        <f t="shared" si="1"/>
        <v>7.4999999999999983E-2</v>
      </c>
    </row>
    <row r="67" spans="3:14" x14ac:dyDescent="0.3">
      <c r="C67" s="137"/>
      <c r="D67" s="138">
        <v>44682</v>
      </c>
      <c r="E67" s="96">
        <v>0.13500000000000001</v>
      </c>
      <c r="F67" s="96">
        <v>0.14499999999999999</v>
      </c>
      <c r="K67" s="138">
        <v>44682</v>
      </c>
      <c r="L67" s="96">
        <v>0.20489999999999997</v>
      </c>
      <c r="M67" s="96">
        <v>6.9900000000000004E-2</v>
      </c>
      <c r="N67" s="108">
        <f t="shared" si="1"/>
        <v>0.13499999999999995</v>
      </c>
    </row>
    <row r="68" spans="3:14" x14ac:dyDescent="0.3">
      <c r="C68" s="137"/>
      <c r="D68" s="138">
        <v>44713</v>
      </c>
      <c r="E68" s="96">
        <v>0.13500000000000001</v>
      </c>
      <c r="F68" s="96">
        <v>0.14499999999999999</v>
      </c>
      <c r="K68" s="138">
        <v>44713</v>
      </c>
      <c r="L68" s="96">
        <v>0.21940000000000001</v>
      </c>
      <c r="M68" s="96">
        <v>8.4100000000000008E-2</v>
      </c>
      <c r="N68" s="108">
        <f t="shared" si="1"/>
        <v>0.1353</v>
      </c>
    </row>
    <row r="69" spans="3:14" x14ac:dyDescent="0.3">
      <c r="C69" s="137"/>
      <c r="D69" s="138">
        <v>44743</v>
      </c>
      <c r="E69" s="96">
        <v>0.14499999999999999</v>
      </c>
      <c r="F69" s="96">
        <v>0.155</v>
      </c>
      <c r="K69" s="138">
        <v>44743</v>
      </c>
      <c r="L69" s="96">
        <v>0.23230000000000001</v>
      </c>
      <c r="M69" s="96">
        <v>9.5600000000000004E-2</v>
      </c>
      <c r="N69" s="108">
        <f t="shared" si="1"/>
        <v>0.13669999999999999</v>
      </c>
    </row>
    <row r="70" spans="3:14" x14ac:dyDescent="0.3">
      <c r="C70" s="137"/>
      <c r="D70" s="138">
        <v>44774</v>
      </c>
      <c r="E70" s="96">
        <v>0.14499999999999999</v>
      </c>
      <c r="F70" s="96">
        <v>0.155</v>
      </c>
      <c r="K70" s="138">
        <v>44774</v>
      </c>
      <c r="L70" s="96">
        <v>0.25258000000000003</v>
      </c>
      <c r="M70" s="96">
        <v>0.10490000000000001</v>
      </c>
      <c r="N70" s="108">
        <f t="shared" si="1"/>
        <v>0.14768000000000003</v>
      </c>
    </row>
    <row r="71" spans="3:14" x14ac:dyDescent="0.3">
      <c r="C71" s="137"/>
      <c r="D71" s="138">
        <v>44805</v>
      </c>
      <c r="E71" s="96">
        <v>0.14499999999999999</v>
      </c>
      <c r="F71" s="96">
        <v>0.155</v>
      </c>
      <c r="K71" s="138">
        <v>44805</v>
      </c>
      <c r="L71" s="96">
        <v>0.2616</v>
      </c>
      <c r="M71" s="96">
        <v>0.11630000000000001</v>
      </c>
      <c r="N71" s="108">
        <f t="shared" si="1"/>
        <v>0.14529999999999998</v>
      </c>
    </row>
    <row r="72" spans="3:14" x14ac:dyDescent="0.3">
      <c r="C72" s="137"/>
      <c r="D72" s="138">
        <v>44835</v>
      </c>
      <c r="E72" s="96">
        <v>0.14499999999999999</v>
      </c>
      <c r="F72" s="96">
        <v>0.155</v>
      </c>
      <c r="K72" s="138">
        <v>44835</v>
      </c>
      <c r="L72" s="96">
        <v>0.28100000000000003</v>
      </c>
      <c r="M72" s="96">
        <v>0.126</v>
      </c>
      <c r="N72" s="108">
        <f t="shared" si="1"/>
        <v>0.15500000000000003</v>
      </c>
    </row>
    <row r="73" spans="3:14" x14ac:dyDescent="0.3">
      <c r="C73" s="137"/>
      <c r="D73" s="138">
        <v>44866</v>
      </c>
      <c r="E73" s="96">
        <v>0.14499999999999999</v>
      </c>
      <c r="F73" s="96">
        <v>0.155</v>
      </c>
      <c r="K73" s="138">
        <v>44866</v>
      </c>
      <c r="L73" s="96">
        <v>0.28249999999999997</v>
      </c>
      <c r="M73" s="96">
        <v>0.13369999999999999</v>
      </c>
      <c r="N73" s="108">
        <f t="shared" si="1"/>
        <v>0.14879999999999999</v>
      </c>
    </row>
    <row r="74" spans="3:14" x14ac:dyDescent="0.3">
      <c r="C74" s="137"/>
      <c r="D74" s="138">
        <v>44896</v>
      </c>
      <c r="E74" s="96">
        <v>0.14499999999999999</v>
      </c>
      <c r="F74" s="96">
        <v>0.155</v>
      </c>
      <c r="K74" s="138">
        <v>44896</v>
      </c>
      <c r="L74" s="96">
        <v>0.28190000000000004</v>
      </c>
      <c r="M74" s="96">
        <v>0.1406</v>
      </c>
      <c r="N74" s="108">
        <f t="shared" si="1"/>
        <v>0.14130000000000004</v>
      </c>
    </row>
    <row r="75" spans="3:14" x14ac:dyDescent="0.3">
      <c r="C75" s="137">
        <v>2023</v>
      </c>
      <c r="D75" s="138">
        <v>44927</v>
      </c>
      <c r="E75" s="96">
        <v>0.14499999999999999</v>
      </c>
      <c r="F75" s="96">
        <v>0.155</v>
      </c>
      <c r="K75" s="138">
        <v>44927</v>
      </c>
      <c r="L75" s="96">
        <v>0.26729999999999998</v>
      </c>
      <c r="M75" s="96">
        <v>0.14630000000000001</v>
      </c>
      <c r="N75" s="108">
        <f t="shared" si="1"/>
        <v>0.12099999999999997</v>
      </c>
    </row>
    <row r="76" spans="3:14" x14ac:dyDescent="0.3">
      <c r="C76" s="137"/>
      <c r="D76" s="138">
        <v>44958</v>
      </c>
      <c r="E76" s="96">
        <v>0.14499999999999999</v>
      </c>
      <c r="F76" s="96">
        <v>0.155</v>
      </c>
      <c r="K76" s="138">
        <v>44958</v>
      </c>
      <c r="L76" s="96">
        <v>0.24710000000000001</v>
      </c>
      <c r="M76" s="96">
        <v>0.1474</v>
      </c>
      <c r="N76" s="108">
        <f t="shared" si="1"/>
        <v>9.9700000000000011E-2</v>
      </c>
    </row>
    <row r="77" spans="3:14" x14ac:dyDescent="0.3">
      <c r="C77" s="137"/>
      <c r="D77" s="138">
        <v>44986</v>
      </c>
      <c r="E77" s="96">
        <v>0.155</v>
      </c>
      <c r="F77" s="96">
        <v>0.16500000000000001</v>
      </c>
      <c r="K77" s="138">
        <v>44986</v>
      </c>
      <c r="L77" s="96">
        <v>0.22420000000000001</v>
      </c>
      <c r="M77" s="96">
        <v>0.15060000000000001</v>
      </c>
      <c r="N77" s="108">
        <f t="shared" si="1"/>
        <v>7.3599999999999999E-2</v>
      </c>
    </row>
    <row r="78" spans="3:14" x14ac:dyDescent="0.3">
      <c r="C78" s="137"/>
      <c r="D78" s="138">
        <v>45017</v>
      </c>
      <c r="E78" s="96">
        <v>0.155</v>
      </c>
      <c r="F78" s="96">
        <v>0.16500000000000001</v>
      </c>
      <c r="K78" s="138">
        <v>45017</v>
      </c>
      <c r="L78" s="96">
        <v>0.218</v>
      </c>
      <c r="M78" s="96">
        <v>0.1512</v>
      </c>
      <c r="N78" s="108">
        <f t="shared" si="1"/>
        <v>6.6799999999999998E-2</v>
      </c>
    </row>
    <row r="79" spans="3:14" x14ac:dyDescent="0.3">
      <c r="C79" s="137"/>
      <c r="D79" s="138">
        <v>45047</v>
      </c>
      <c r="E79" s="96">
        <v>0.155</v>
      </c>
      <c r="F79" s="96">
        <v>0.16500000000000001</v>
      </c>
      <c r="K79" s="138">
        <v>45047</v>
      </c>
      <c r="L79" s="96">
        <v>0.20809999999999998</v>
      </c>
      <c r="M79" s="96">
        <v>0.15229999999999999</v>
      </c>
      <c r="N79" s="108">
        <f t="shared" si="1"/>
        <v>5.5799999999999988E-2</v>
      </c>
    </row>
    <row r="80" spans="3:14" x14ac:dyDescent="0.3">
      <c r="C80" s="137"/>
      <c r="D80" s="138">
        <v>45078</v>
      </c>
      <c r="E80" s="96">
        <v>0.13</v>
      </c>
      <c r="F80" s="96">
        <v>0.14000000000000001</v>
      </c>
      <c r="K80" s="138">
        <v>45078</v>
      </c>
      <c r="L80" s="96">
        <v>0.20039999999999999</v>
      </c>
      <c r="M80" s="96">
        <v>0.15090000000000001</v>
      </c>
      <c r="N80" s="108">
        <f t="shared" si="1"/>
        <v>4.9499999999999988E-2</v>
      </c>
    </row>
    <row r="81" spans="3:14" x14ac:dyDescent="0.3">
      <c r="C81" s="137"/>
      <c r="D81" s="138">
        <v>45108</v>
      </c>
      <c r="E81" s="96">
        <v>0.11</v>
      </c>
      <c r="F81" s="96">
        <v>0.12</v>
      </c>
      <c r="K81" s="138">
        <v>45108</v>
      </c>
      <c r="L81" s="96">
        <v>0.182</v>
      </c>
      <c r="M81" s="96">
        <v>0.14760000000000001</v>
      </c>
      <c r="N81" s="108">
        <f t="shared" si="1"/>
        <v>3.4399999999999986E-2</v>
      </c>
    </row>
    <row r="82" spans="3:14" x14ac:dyDescent="0.3">
      <c r="C82" s="137"/>
      <c r="D82" s="138">
        <v>45139</v>
      </c>
      <c r="E82" s="96">
        <v>0.11</v>
      </c>
      <c r="F82" s="96">
        <v>0.12</v>
      </c>
      <c r="K82" s="138">
        <v>45139</v>
      </c>
      <c r="L82" s="96">
        <v>0.16109999999999999</v>
      </c>
      <c r="M82" s="96">
        <v>0.14150000000000001</v>
      </c>
      <c r="N82" s="108">
        <f t="shared" si="1"/>
        <v>1.9599999999999979E-2</v>
      </c>
    </row>
    <row r="83" spans="3:14" x14ac:dyDescent="0.3">
      <c r="C83" s="137"/>
      <c r="D83" s="138">
        <v>45170</v>
      </c>
      <c r="E83" s="96">
        <v>0.11</v>
      </c>
      <c r="F83" s="96">
        <v>0.12</v>
      </c>
      <c r="K83" s="138">
        <v>45170</v>
      </c>
      <c r="L83" s="96">
        <v>0.14960000000000001</v>
      </c>
      <c r="M83" s="96">
        <v>0.13390000000000002</v>
      </c>
      <c r="N83" s="108">
        <f t="shared" si="1"/>
        <v>1.5699999999999992E-2</v>
      </c>
    </row>
    <row r="84" spans="3:14" x14ac:dyDescent="0.3">
      <c r="D84" s="138">
        <v>45200</v>
      </c>
      <c r="E84" s="139">
        <v>0.1</v>
      </c>
      <c r="F84" s="139">
        <v>0.11</v>
      </c>
      <c r="K84" s="138">
        <v>45200</v>
      </c>
      <c r="L84" s="139">
        <v>0.1386</v>
      </c>
      <c r="M84" s="139">
        <v>0.1275</v>
      </c>
      <c r="N84" s="108">
        <f t="shared" si="1"/>
        <v>1.1099999999999999E-2</v>
      </c>
    </row>
    <row r="85" spans="3:14" x14ac:dyDescent="0.3">
      <c r="D85" s="138">
        <v>45231</v>
      </c>
      <c r="E85" s="139">
        <v>0.09</v>
      </c>
      <c r="F85" s="139">
        <v>0.1</v>
      </c>
      <c r="K85" s="138">
        <v>45231</v>
      </c>
      <c r="L85" s="140">
        <v>0.1305</v>
      </c>
      <c r="M85" s="140">
        <v>0.1211</v>
      </c>
      <c r="N85" s="108">
        <f t="shared" si="1"/>
        <v>9.4000000000000056E-3</v>
      </c>
    </row>
    <row r="86" spans="3:14" x14ac:dyDescent="0.3">
      <c r="D86" s="138">
        <v>45261</v>
      </c>
      <c r="E86" s="139">
        <v>0.09</v>
      </c>
      <c r="F86" s="139">
        <v>0.1</v>
      </c>
      <c r="K86" s="138">
        <v>45261</v>
      </c>
      <c r="L86" s="140">
        <v>0.12130000000000001</v>
      </c>
      <c r="M86" s="140">
        <v>0.1164</v>
      </c>
      <c r="N86" s="108">
        <f t="shared" si="1"/>
        <v>4.9000000000000016E-3</v>
      </c>
    </row>
    <row r="87" spans="3:14" x14ac:dyDescent="0.3">
      <c r="C87" s="37">
        <v>2024</v>
      </c>
      <c r="D87" s="138">
        <v>45292</v>
      </c>
      <c r="E87" s="139">
        <v>0.09</v>
      </c>
      <c r="F87" s="139">
        <v>0.1</v>
      </c>
      <c r="K87" s="138">
        <v>45292</v>
      </c>
      <c r="L87" s="140">
        <v>0.11869999999999999</v>
      </c>
      <c r="M87" s="140">
        <v>0.1164</v>
      </c>
      <c r="N87" s="108">
        <f t="shared" si="1"/>
        <v>2.2999999999999826E-3</v>
      </c>
    </row>
    <row r="88" spans="3:14" x14ac:dyDescent="0.3">
      <c r="D88" s="138"/>
    </row>
    <row r="89" spans="3:14" x14ac:dyDescent="0.3">
      <c r="D89" s="138"/>
    </row>
    <row r="90" spans="3:14" x14ac:dyDescent="0.3">
      <c r="D90" s="138"/>
      <c r="E90" t="s">
        <v>527</v>
      </c>
    </row>
    <row r="91" spans="3:14" x14ac:dyDescent="0.3">
      <c r="D91" s="138"/>
      <c r="E91" t="s">
        <v>524</v>
      </c>
      <c r="F91" s="2">
        <f>'more Breakups'!H34</f>
        <v>842120414</v>
      </c>
    </row>
    <row r="92" spans="3:14" x14ac:dyDescent="0.3">
      <c r="D92" s="138"/>
      <c r="E92" t="s">
        <v>528</v>
      </c>
      <c r="F92" s="2">
        <f>'more Breakups'!H35</f>
        <v>228254025</v>
      </c>
    </row>
    <row r="93" spans="3:14" x14ac:dyDescent="0.3">
      <c r="D93" s="138"/>
      <c r="E93" t="s">
        <v>526</v>
      </c>
      <c r="F93" s="2">
        <f>'more Breakups'!H41</f>
        <v>157652152</v>
      </c>
    </row>
    <row r="94" spans="3:14" x14ac:dyDescent="0.3">
      <c r="E94" t="s">
        <v>525</v>
      </c>
      <c r="F94" s="2">
        <f>'more Breakups'!H44-'more Breakups'!H34-'more Breakups'!H35-'more Breakups'!H41</f>
        <v>18143624</v>
      </c>
    </row>
    <row r="109" spans="5:6" x14ac:dyDescent="0.3">
      <c r="E109" t="s">
        <v>532</v>
      </c>
      <c r="F109" s="2">
        <f>'more Breakups'!H62</f>
        <v>261759920</v>
      </c>
    </row>
    <row r="110" spans="5:6" x14ac:dyDescent="0.3">
      <c r="E110" t="s">
        <v>529</v>
      </c>
      <c r="F110" s="2">
        <f>'more Breakups'!H57</f>
        <v>208063238</v>
      </c>
    </row>
    <row r="111" spans="5:6" x14ac:dyDescent="0.3">
      <c r="E111" t="s">
        <v>170</v>
      </c>
      <c r="F111" s="2">
        <f>'more Breakups'!H58</f>
        <v>152676544</v>
      </c>
    </row>
    <row r="112" spans="5:6" x14ac:dyDescent="0.3">
      <c r="E112" t="s">
        <v>530</v>
      </c>
      <c r="F112" s="2">
        <f>'more Breakups'!H51</f>
        <v>129274363</v>
      </c>
    </row>
    <row r="113" spans="5:6" x14ac:dyDescent="0.3">
      <c r="E113" t="s">
        <v>531</v>
      </c>
      <c r="F113" s="2">
        <f>'more Breakups'!H48</f>
        <v>126475449</v>
      </c>
    </row>
    <row r="114" spans="5:6" x14ac:dyDescent="0.3">
      <c r="E114" t="s">
        <v>525</v>
      </c>
      <c r="F114" s="2">
        <f>'more Breakups'!H63-'more Breakups'!H62-'more Breakups'!H58-'more Breakups'!H57-'more Breakups'!H51-'more Breakups'!H48</f>
        <v>367920701</v>
      </c>
    </row>
    <row r="129" spans="3:10" x14ac:dyDescent="0.3">
      <c r="D129">
        <v>2019</v>
      </c>
      <c r="E129" s="107">
        <f>Drivers!F4</f>
        <v>2020</v>
      </c>
      <c r="F129" s="107">
        <f>Drivers!G4</f>
        <v>2021</v>
      </c>
      <c r="G129" s="107">
        <f>Drivers!H4</f>
        <v>2022</v>
      </c>
      <c r="H129" s="107" t="str">
        <f>Drivers!I4</f>
        <v>2023F</v>
      </c>
      <c r="I129" s="107" t="str">
        <f>Drivers!J4</f>
        <v>2024F</v>
      </c>
      <c r="J129" s="107" t="str">
        <f>Drivers!K4</f>
        <v>2025F</v>
      </c>
    </row>
    <row r="130" spans="3:10" x14ac:dyDescent="0.3">
      <c r="C130" t="s">
        <v>535</v>
      </c>
      <c r="D130" s="108">
        <f>Drivers!E337</f>
        <v>3.9557968075658839E-2</v>
      </c>
      <c r="E130" s="108">
        <f>Drivers!F337</f>
        <v>5.4093104724303294E-2</v>
      </c>
      <c r="F130" s="108">
        <f>Drivers!G337</f>
        <v>5.9681216480658182E-2</v>
      </c>
      <c r="G130" s="108">
        <f>Drivers!H337</f>
        <v>7.276509012053381E-2</v>
      </c>
      <c r="H130" s="108">
        <f>Drivers!I337</f>
        <v>7.1480000000000002E-2</v>
      </c>
      <c r="I130" s="108">
        <f>Drivers!J337</f>
        <v>5.2099999999999994E-2</v>
      </c>
      <c r="J130" s="108">
        <f>Drivers!K337</f>
        <v>4.5800000000000007E-2</v>
      </c>
    </row>
    <row r="140" spans="3:10" x14ac:dyDescent="0.3">
      <c r="E140" t="s">
        <v>544</v>
      </c>
      <c r="F140" t="s">
        <v>545</v>
      </c>
    </row>
    <row r="141" spans="3:10" x14ac:dyDescent="0.3">
      <c r="D141" t="s">
        <v>2</v>
      </c>
      <c r="E141">
        <v>518.33000000000004</v>
      </c>
      <c r="F141">
        <v>193.13</v>
      </c>
    </row>
    <row r="142" spans="3:10" x14ac:dyDescent="0.3">
      <c r="D142" t="s">
        <v>540</v>
      </c>
      <c r="E142">
        <v>509.01</v>
      </c>
      <c r="F142">
        <v>148.66999999999999</v>
      </c>
    </row>
    <row r="143" spans="3:10" x14ac:dyDescent="0.3">
      <c r="D143" t="s">
        <v>543</v>
      </c>
      <c r="E143">
        <v>463.22</v>
      </c>
      <c r="F143">
        <v>135.63</v>
      </c>
    </row>
    <row r="144" spans="3:10" x14ac:dyDescent="0.3">
      <c r="D144" t="s">
        <v>537</v>
      </c>
      <c r="E144">
        <v>442.74</v>
      </c>
      <c r="F144">
        <v>154.24</v>
      </c>
    </row>
    <row r="145" spans="4:6" x14ac:dyDescent="0.3">
      <c r="D145" t="s">
        <v>539</v>
      </c>
      <c r="E145">
        <v>354.56</v>
      </c>
      <c r="F145">
        <v>150.27000000000001</v>
      </c>
    </row>
    <row r="146" spans="4:6" x14ac:dyDescent="0.3">
      <c r="D146" t="s">
        <v>541</v>
      </c>
      <c r="E146">
        <v>308.27</v>
      </c>
      <c r="F146">
        <v>130.15</v>
      </c>
    </row>
    <row r="147" spans="4:6" x14ac:dyDescent="0.3">
      <c r="D147" t="s">
        <v>538</v>
      </c>
      <c r="E147">
        <v>299.36</v>
      </c>
      <c r="F147">
        <v>172.91</v>
      </c>
    </row>
    <row r="148" spans="4:6" x14ac:dyDescent="0.3">
      <c r="D148" t="s">
        <v>542</v>
      </c>
      <c r="E148">
        <v>269.95</v>
      </c>
      <c r="F148">
        <v>141.66</v>
      </c>
    </row>
    <row r="152" spans="4:6" x14ac:dyDescent="0.3">
      <c r="E152" t="s">
        <v>536</v>
      </c>
    </row>
    <row r="153" spans="4:6" x14ac:dyDescent="0.3">
      <c r="D153" t="s">
        <v>543</v>
      </c>
      <c r="E153">
        <v>13.722</v>
      </c>
    </row>
    <row r="154" spans="4:6" x14ac:dyDescent="0.3">
      <c r="D154" t="s">
        <v>2</v>
      </c>
      <c r="E154">
        <v>14.502000000000001</v>
      </c>
    </row>
    <row r="155" spans="4:6" x14ac:dyDescent="0.3">
      <c r="D155" t="s">
        <v>539</v>
      </c>
      <c r="E155">
        <v>15.11</v>
      </c>
    </row>
    <row r="156" spans="4:6" x14ac:dyDescent="0.3">
      <c r="D156" t="s">
        <v>537</v>
      </c>
      <c r="E156">
        <v>17.73</v>
      </c>
    </row>
    <row r="157" spans="4:6" x14ac:dyDescent="0.3">
      <c r="D157" t="s">
        <v>541</v>
      </c>
      <c r="E157">
        <v>15.29</v>
      </c>
    </row>
    <row r="158" spans="4:6" x14ac:dyDescent="0.3">
      <c r="D158" t="s">
        <v>540</v>
      </c>
      <c r="E158">
        <v>14.73</v>
      </c>
    </row>
    <row r="159" spans="4:6" x14ac:dyDescent="0.3">
      <c r="D159" t="s">
        <v>542</v>
      </c>
      <c r="E159">
        <v>14.46</v>
      </c>
    </row>
    <row r="160" spans="4:6" x14ac:dyDescent="0.3">
      <c r="D160" t="s">
        <v>538</v>
      </c>
      <c r="E160">
        <v>17.73</v>
      </c>
    </row>
    <row r="165" spans="3:5" x14ac:dyDescent="0.3">
      <c r="D165" t="s">
        <v>563</v>
      </c>
    </row>
    <row r="166" spans="3:5" x14ac:dyDescent="0.3">
      <c r="D166">
        <v>2022</v>
      </c>
    </row>
    <row r="167" spans="3:5" x14ac:dyDescent="0.3">
      <c r="C167" t="s">
        <v>558</v>
      </c>
      <c r="D167" s="2">
        <v>47315764</v>
      </c>
      <c r="E167" s="115">
        <f>D167/SUM($D$167:$D$172)</f>
        <v>0.34628897180124746</v>
      </c>
    </row>
    <row r="168" spans="3:5" x14ac:dyDescent="0.3">
      <c r="C168" t="s">
        <v>559</v>
      </c>
      <c r="D168" s="2">
        <v>28738618</v>
      </c>
      <c r="E168" s="115">
        <f t="shared" ref="E168:E172" si="2">D168/SUM($D$167:$D$172)</f>
        <v>0.21032877072869038</v>
      </c>
    </row>
    <row r="169" spans="3:5" x14ac:dyDescent="0.3">
      <c r="C169" t="s">
        <v>560</v>
      </c>
      <c r="D169" s="2">
        <v>25339166</v>
      </c>
      <c r="E169" s="115">
        <f t="shared" si="2"/>
        <v>0.18544926676955123</v>
      </c>
    </row>
    <row r="170" spans="3:5" x14ac:dyDescent="0.3">
      <c r="C170" t="s">
        <v>561</v>
      </c>
      <c r="D170" s="2">
        <v>-5943545</v>
      </c>
      <c r="E170" s="115">
        <f t="shared" si="2"/>
        <v>-4.3498908459016855E-2</v>
      </c>
    </row>
    <row r="171" spans="3:5" x14ac:dyDescent="0.3">
      <c r="C171" t="s">
        <v>562</v>
      </c>
      <c r="D171" s="2">
        <v>2229973</v>
      </c>
      <c r="E171" s="115">
        <f t="shared" si="2"/>
        <v>1.6320460498419578E-2</v>
      </c>
    </row>
    <row r="172" spans="3:5" x14ac:dyDescent="0.3">
      <c r="C172" t="s">
        <v>564</v>
      </c>
      <c r="D172" s="2">
        <v>38956671</v>
      </c>
      <c r="E172" s="115">
        <f t="shared" si="2"/>
        <v>0.28511143866110822</v>
      </c>
    </row>
    <row r="173" spans="3:5" x14ac:dyDescent="0.3">
      <c r="D173" s="2"/>
    </row>
    <row r="174" spans="3:5" x14ac:dyDescent="0.3">
      <c r="D174" t="s">
        <v>557</v>
      </c>
    </row>
    <row r="175" spans="3:5" x14ac:dyDescent="0.3">
      <c r="D175">
        <v>2022</v>
      </c>
    </row>
    <row r="176" spans="3:5" x14ac:dyDescent="0.3">
      <c r="C176" t="s">
        <v>558</v>
      </c>
      <c r="D176" s="2">
        <v>16427308</v>
      </c>
      <c r="E176" s="115">
        <f>D176/SUM($D$176:$D$181)</f>
        <v>0.67026257749013463</v>
      </c>
    </row>
    <row r="177" spans="3:5" x14ac:dyDescent="0.3">
      <c r="C177" t="s">
        <v>559</v>
      </c>
      <c r="D177" s="2">
        <v>1097633</v>
      </c>
      <c r="E177" s="115">
        <f t="shared" ref="E177:E181" si="3">D177/SUM($D$176:$D$181)</f>
        <v>4.478532476034594E-2</v>
      </c>
    </row>
    <row r="178" spans="3:5" x14ac:dyDescent="0.3">
      <c r="C178" t="s">
        <v>560</v>
      </c>
      <c r="D178" s="2">
        <v>17424026</v>
      </c>
      <c r="E178" s="115">
        <f t="shared" si="3"/>
        <v>0.71093039571761363</v>
      </c>
    </row>
    <row r="179" spans="3:5" x14ac:dyDescent="0.3">
      <c r="C179" t="s">
        <v>561</v>
      </c>
      <c r="D179" s="2">
        <v>-44857143</v>
      </c>
      <c r="E179" s="115">
        <f t="shared" si="3"/>
        <v>-1.8302490149952477</v>
      </c>
    </row>
    <row r="180" spans="3:5" x14ac:dyDescent="0.3">
      <c r="C180" t="s">
        <v>562</v>
      </c>
      <c r="D180" s="2">
        <v>541888</v>
      </c>
      <c r="E180" s="115">
        <f t="shared" si="3"/>
        <v>2.2109967597306514E-2</v>
      </c>
    </row>
    <row r="181" spans="3:5" x14ac:dyDescent="0.3">
      <c r="C181" t="s">
        <v>564</v>
      </c>
      <c r="D181" s="2">
        <v>33875053</v>
      </c>
      <c r="E181" s="115">
        <f t="shared" si="3"/>
        <v>1.3821607494298469</v>
      </c>
    </row>
    <row r="183" spans="3:5" x14ac:dyDescent="0.3">
      <c r="D183" t="s">
        <v>99</v>
      </c>
    </row>
    <row r="184" spans="3:5" x14ac:dyDescent="0.3">
      <c r="D184">
        <v>2022</v>
      </c>
    </row>
    <row r="185" spans="3:5" x14ac:dyDescent="0.3">
      <c r="C185" t="s">
        <v>558</v>
      </c>
      <c r="D185" s="2">
        <v>620049967</v>
      </c>
      <c r="E185" s="115">
        <f>D185/SUM($D$185:$D$190)</f>
        <v>0.24806425098804349</v>
      </c>
    </row>
    <row r="186" spans="3:5" x14ac:dyDescent="0.3">
      <c r="C186" t="s">
        <v>559</v>
      </c>
      <c r="D186" s="2">
        <v>498406103</v>
      </c>
      <c r="E186" s="115">
        <f t="shared" ref="E186:E190" si="4">D186/SUM($D$185:$D$190)</f>
        <v>0.19939802146391319</v>
      </c>
    </row>
    <row r="187" spans="3:5" x14ac:dyDescent="0.3">
      <c r="C187" t="s">
        <v>560</v>
      </c>
      <c r="D187" s="2">
        <v>422835358</v>
      </c>
      <c r="E187" s="115">
        <f t="shared" si="4"/>
        <v>0.16916432861213462</v>
      </c>
    </row>
    <row r="188" spans="3:5" x14ac:dyDescent="0.3">
      <c r="C188" t="s">
        <v>561</v>
      </c>
      <c r="D188" s="2">
        <v>945053191</v>
      </c>
      <c r="E188" s="115">
        <f t="shared" si="4"/>
        <v>0.37808874195017161</v>
      </c>
    </row>
    <row r="189" spans="3:5" x14ac:dyDescent="0.3">
      <c r="C189" t="s">
        <v>562</v>
      </c>
      <c r="D189" s="2">
        <v>14566106</v>
      </c>
      <c r="E189" s="115">
        <f t="shared" si="4"/>
        <v>5.8274822466081134E-3</v>
      </c>
    </row>
    <row r="190" spans="3:5" x14ac:dyDescent="0.3">
      <c r="C190" t="s">
        <v>564</v>
      </c>
      <c r="D190" s="2">
        <v>-1356821</v>
      </c>
      <c r="E190" s="115">
        <f t="shared" si="4"/>
        <v>-5.4282526087102946E-4</v>
      </c>
    </row>
    <row r="191" spans="3:5" x14ac:dyDescent="0.3">
      <c r="D191" s="13">
        <f>SUM(D185:D190)</f>
        <v>2499553904</v>
      </c>
    </row>
    <row r="220" spans="2:3" x14ac:dyDescent="0.3">
      <c r="B220" t="s">
        <v>565</v>
      </c>
    </row>
    <row r="222" spans="2:3" x14ac:dyDescent="0.3">
      <c r="B222" t="s">
        <v>137</v>
      </c>
      <c r="C222" s="47">
        <v>779098551</v>
      </c>
    </row>
    <row r="223" spans="2:3" x14ac:dyDescent="0.3">
      <c r="B223" t="s">
        <v>141</v>
      </c>
      <c r="C223" s="27">
        <v>143318360</v>
      </c>
    </row>
    <row r="224" spans="2:3" x14ac:dyDescent="0.3">
      <c r="B224" t="s">
        <v>130</v>
      </c>
      <c r="C224" s="27">
        <v>119167451</v>
      </c>
    </row>
    <row r="225" spans="2:3" x14ac:dyDescent="0.3">
      <c r="B225" t="s">
        <v>131</v>
      </c>
      <c r="C225" s="27">
        <v>35722265</v>
      </c>
    </row>
    <row r="226" spans="2:3" x14ac:dyDescent="0.3">
      <c r="B226" t="s">
        <v>132</v>
      </c>
      <c r="C226" s="27">
        <v>17961272</v>
      </c>
    </row>
    <row r="227" spans="2:3" x14ac:dyDescent="0.3">
      <c r="B227" t="s">
        <v>133</v>
      </c>
      <c r="C227" s="27">
        <v>16389557</v>
      </c>
    </row>
    <row r="228" spans="2:3" x14ac:dyDescent="0.3">
      <c r="B228" t="s">
        <v>134</v>
      </c>
      <c r="C228" s="27">
        <v>13651705</v>
      </c>
    </row>
    <row r="229" spans="2:3" x14ac:dyDescent="0.3">
      <c r="B229" t="s">
        <v>135</v>
      </c>
      <c r="C229" s="27">
        <v>76697598</v>
      </c>
    </row>
    <row r="230" spans="2:3" x14ac:dyDescent="0.3">
      <c r="B230" t="s">
        <v>136</v>
      </c>
      <c r="C230" s="27">
        <v>44163456</v>
      </c>
    </row>
    <row r="244" spans="2:3" x14ac:dyDescent="0.3">
      <c r="B244" t="s">
        <v>566</v>
      </c>
      <c r="C244" s="27">
        <v>218230151</v>
      </c>
    </row>
    <row r="245" spans="2:3" x14ac:dyDescent="0.3">
      <c r="B245" t="s">
        <v>211</v>
      </c>
      <c r="C245" s="27">
        <v>553915250</v>
      </c>
    </row>
    <row r="246" spans="2:3" x14ac:dyDescent="0.3">
      <c r="B246" t="s">
        <v>218</v>
      </c>
      <c r="C246" s="27">
        <v>1205575958</v>
      </c>
    </row>
    <row r="247" spans="2:3" x14ac:dyDescent="0.3">
      <c r="B247" t="s">
        <v>219</v>
      </c>
      <c r="C247" s="27">
        <v>22302</v>
      </c>
    </row>
    <row r="261" spans="2:3" x14ac:dyDescent="0.3">
      <c r="B261" t="s">
        <v>221</v>
      </c>
    </row>
    <row r="262" spans="2:3" x14ac:dyDescent="0.3">
      <c r="B262" t="s">
        <v>159</v>
      </c>
    </row>
    <row r="263" spans="2:3" x14ac:dyDescent="0.3">
      <c r="B263" t="s">
        <v>223</v>
      </c>
      <c r="C263" s="2">
        <v>1243427990</v>
      </c>
    </row>
    <row r="264" spans="2:3" x14ac:dyDescent="0.3">
      <c r="B264" t="s">
        <v>151</v>
      </c>
      <c r="C264" s="2">
        <v>473669803</v>
      </c>
    </row>
    <row r="265" spans="2:3" x14ac:dyDescent="0.3">
      <c r="B265" t="s">
        <v>156</v>
      </c>
      <c r="C265" s="2">
        <v>190211877</v>
      </c>
    </row>
    <row r="266" spans="2:3" x14ac:dyDescent="0.3">
      <c r="B266" t="s">
        <v>525</v>
      </c>
      <c r="C266" s="2">
        <f>'more Breakups'!H80-'more Breakups'!H84-'more Breakups'!H85-'more Breakups'!H89</f>
        <v>70433991</v>
      </c>
    </row>
    <row r="267" spans="2:3" x14ac:dyDescent="0.3">
      <c r="C267" s="2"/>
    </row>
    <row r="268" spans="2:3" x14ac:dyDescent="0.3">
      <c r="C268" s="2"/>
    </row>
    <row r="269" spans="2:3" x14ac:dyDescent="0.3">
      <c r="C269" s="2"/>
    </row>
    <row r="271" spans="2:3" x14ac:dyDescent="0.3">
      <c r="C271" s="2"/>
    </row>
    <row r="272" spans="2:3" x14ac:dyDescent="0.3">
      <c r="C272" s="2"/>
    </row>
    <row r="280" spans="2:3" x14ac:dyDescent="0.3">
      <c r="B280" t="s">
        <v>567</v>
      </c>
    </row>
    <row r="282" spans="2:3" x14ac:dyDescent="0.3">
      <c r="B282" t="s">
        <v>568</v>
      </c>
      <c r="C282">
        <v>744.4</v>
      </c>
    </row>
    <row r="283" spans="2:3" x14ac:dyDescent="0.3">
      <c r="B283" t="s">
        <v>570</v>
      </c>
      <c r="C283">
        <v>187.1</v>
      </c>
    </row>
    <row r="284" spans="2:3" x14ac:dyDescent="0.3">
      <c r="B284" t="s">
        <v>569</v>
      </c>
      <c r="C284">
        <v>43.3</v>
      </c>
    </row>
    <row r="285" spans="2:3" x14ac:dyDescent="0.3">
      <c r="B285" t="s">
        <v>571</v>
      </c>
      <c r="C285">
        <v>42.7</v>
      </c>
    </row>
    <row r="286" spans="2:3" x14ac:dyDescent="0.3">
      <c r="B286" t="s">
        <v>525</v>
      </c>
      <c r="C286">
        <f>1130.4-C282-C283-C284-C285</f>
        <v>112.90000000000013</v>
      </c>
    </row>
    <row r="300" spans="3:13" ht="18" thickBot="1" x14ac:dyDescent="0.35">
      <c r="C300" s="208" t="s">
        <v>616</v>
      </c>
      <c r="D300" s="204"/>
      <c r="E300" s="204"/>
      <c r="F300" s="204"/>
      <c r="G300" s="170"/>
      <c r="H300" s="204"/>
      <c r="I300" s="204"/>
      <c r="J300" s="204"/>
      <c r="K300" s="170"/>
    </row>
    <row r="301" spans="3:13" ht="16.2" thickBot="1" x14ac:dyDescent="0.35">
      <c r="C301" s="238" t="s">
        <v>617</v>
      </c>
      <c r="D301" s="171">
        <v>2022</v>
      </c>
      <c r="E301" s="172"/>
      <c r="F301" s="172"/>
      <c r="G301" s="173"/>
      <c r="H301" s="171">
        <v>2023</v>
      </c>
      <c r="I301" s="172"/>
      <c r="J301" s="172"/>
      <c r="K301" s="173"/>
    </row>
    <row r="302" spans="3:13" ht="16.2" thickBot="1" x14ac:dyDescent="0.35">
      <c r="C302" s="239"/>
      <c r="D302" s="174" t="s">
        <v>618</v>
      </c>
      <c r="E302" s="174" t="s">
        <v>619</v>
      </c>
      <c r="F302" s="174" t="s">
        <v>620</v>
      </c>
      <c r="G302" s="174" t="s">
        <v>621</v>
      </c>
      <c r="H302" s="174" t="s">
        <v>618</v>
      </c>
      <c r="I302" s="174" t="s">
        <v>619</v>
      </c>
      <c r="J302" s="174" t="s">
        <v>620</v>
      </c>
      <c r="K302" s="174" t="s">
        <v>621</v>
      </c>
    </row>
    <row r="303" spans="3:13" ht="18.600000000000001" x14ac:dyDescent="0.3">
      <c r="C303" s="175" t="s">
        <v>622</v>
      </c>
      <c r="D303" s="176">
        <v>429336.73599999998</v>
      </c>
      <c r="E303" s="176">
        <v>918478.06799999997</v>
      </c>
      <c r="F303" s="176">
        <v>1434493.1679999998</v>
      </c>
      <c r="G303" s="176">
        <v>2108439.3670000001</v>
      </c>
      <c r="H303" s="176">
        <v>636122.02300000004</v>
      </c>
      <c r="I303" s="176">
        <v>1252299.8019999999</v>
      </c>
      <c r="J303" s="176">
        <v>1891468.8870000001</v>
      </c>
      <c r="K303" s="176">
        <v>2751.009</v>
      </c>
      <c r="M303" s="96">
        <f>J303/F303-1</f>
        <v>0.31856249244959822</v>
      </c>
    </row>
    <row r="304" spans="3:13" ht="15.6" x14ac:dyDescent="0.3">
      <c r="C304" s="177" t="s">
        <v>623</v>
      </c>
      <c r="D304" s="178">
        <v>308202.18400000001</v>
      </c>
      <c r="E304" s="178">
        <v>731117.85</v>
      </c>
      <c r="F304" s="178">
        <v>1224455.8259999999</v>
      </c>
      <c r="G304" s="178">
        <v>1831400.5630000001</v>
      </c>
      <c r="H304" s="178">
        <v>596416.94900000002</v>
      </c>
      <c r="I304" s="178">
        <v>1171206.2379999999</v>
      </c>
      <c r="J304" s="178">
        <v>1743593.1770000001</v>
      </c>
      <c r="K304" s="178">
        <v>2480.009</v>
      </c>
      <c r="M304" s="96">
        <f t="shared" ref="M304:M317" si="5">J304/F304-1</f>
        <v>0.42397393191054999</v>
      </c>
    </row>
    <row r="305" spans="3:13" ht="15.6" x14ac:dyDescent="0.3">
      <c r="C305" s="177" t="s">
        <v>624</v>
      </c>
      <c r="D305" s="178">
        <v>157496.57699999999</v>
      </c>
      <c r="E305" s="178">
        <v>395572.58199999994</v>
      </c>
      <c r="F305" s="178">
        <v>713031.85</v>
      </c>
      <c r="G305" s="178">
        <v>1141183.5050000001</v>
      </c>
      <c r="H305" s="178">
        <v>430817.04399999999</v>
      </c>
      <c r="I305" s="178">
        <v>860177.19099999999</v>
      </c>
      <c r="J305" s="178">
        <v>1263319.8089999997</v>
      </c>
      <c r="K305" s="178">
        <v>332.21100000000001</v>
      </c>
      <c r="M305" s="96">
        <f t="shared" si="5"/>
        <v>0.77175789412492546</v>
      </c>
    </row>
    <row r="306" spans="3:13" ht="15.6" x14ac:dyDescent="0.3">
      <c r="C306" s="179" t="s">
        <v>625</v>
      </c>
      <c r="D306" s="180">
        <v>150705.60700000002</v>
      </c>
      <c r="E306" s="180">
        <v>335545.26800000004</v>
      </c>
      <c r="F306" s="180">
        <v>511423.97599999991</v>
      </c>
      <c r="G306" s="180">
        <v>690217.05800000008</v>
      </c>
      <c r="H306" s="180">
        <v>165599.905</v>
      </c>
      <c r="I306" s="180">
        <v>311029.04700000002</v>
      </c>
      <c r="J306" s="180">
        <v>480273.36800000002</v>
      </c>
      <c r="K306" s="180">
        <v>2147.7979999999998</v>
      </c>
      <c r="M306" s="96">
        <f t="shared" si="5"/>
        <v>-6.0909557357162081E-2</v>
      </c>
    </row>
    <row r="307" spans="3:13" ht="15.6" x14ac:dyDescent="0.3">
      <c r="C307" s="179" t="s">
        <v>626</v>
      </c>
      <c r="D307" s="180">
        <v>121134.55199999998</v>
      </c>
      <c r="E307" s="180">
        <v>187360.21800000002</v>
      </c>
      <c r="F307" s="180">
        <v>210037.34199999998</v>
      </c>
      <c r="G307" s="180">
        <v>277038.804</v>
      </c>
      <c r="H307" s="180">
        <v>39705.073999999993</v>
      </c>
      <c r="I307" s="180">
        <v>81093.563999999998</v>
      </c>
      <c r="J307" s="180">
        <v>147875.71</v>
      </c>
      <c r="K307" s="180">
        <v>270.99999999999994</v>
      </c>
      <c r="M307" s="96">
        <f t="shared" si="5"/>
        <v>-0.29595514496655551</v>
      </c>
    </row>
    <row r="308" spans="3:13" ht="15.6" x14ac:dyDescent="0.3">
      <c r="C308" s="181" t="s">
        <v>627</v>
      </c>
      <c r="D308" s="178">
        <v>83796.96699999999</v>
      </c>
      <c r="E308" s="178">
        <v>94216.019</v>
      </c>
      <c r="F308" s="178">
        <v>84520.770999999993</v>
      </c>
      <c r="G308" s="178">
        <v>103077.814</v>
      </c>
      <c r="H308" s="178">
        <v>-5687.9930000000022</v>
      </c>
      <c r="I308" s="178">
        <v>-6193.5749999999971</v>
      </c>
      <c r="J308" s="178">
        <v>10795.809999999998</v>
      </c>
      <c r="K308" s="178">
        <v>-9.4239999999999995</v>
      </c>
      <c r="M308" s="96">
        <f t="shared" si="5"/>
        <v>-0.87227033222401629</v>
      </c>
    </row>
    <row r="309" spans="3:13" ht="15.6" x14ac:dyDescent="0.3">
      <c r="C309" s="179" t="s">
        <v>628</v>
      </c>
      <c r="D309" s="180">
        <v>64269.262999999999</v>
      </c>
      <c r="E309" s="180">
        <v>132468.10399999999</v>
      </c>
      <c r="F309" s="180">
        <v>197901.41499999998</v>
      </c>
      <c r="G309" s="180">
        <v>282047.16500000004</v>
      </c>
      <c r="H309" s="180">
        <v>76904.039000000004</v>
      </c>
      <c r="I309" s="180">
        <v>157922.83800000002</v>
      </c>
      <c r="J309" s="180">
        <v>238745.20400000003</v>
      </c>
      <c r="K309" s="180">
        <v>243.364</v>
      </c>
      <c r="M309" s="96">
        <f t="shared" si="5"/>
        <v>0.20638452231379989</v>
      </c>
    </row>
    <row r="310" spans="3:13" ht="15.6" x14ac:dyDescent="0.3">
      <c r="C310" s="181" t="s">
        <v>629</v>
      </c>
      <c r="D310" s="178">
        <v>33229.848999999995</v>
      </c>
      <c r="E310" s="178">
        <v>67648.322</v>
      </c>
      <c r="F310" s="178">
        <v>101541.67400000001</v>
      </c>
      <c r="G310" s="178">
        <v>145062.91499999998</v>
      </c>
      <c r="H310" s="178">
        <v>37394.065000000002</v>
      </c>
      <c r="I310" s="178">
        <v>76493.17</v>
      </c>
      <c r="J310" s="178">
        <v>117037.42800000001</v>
      </c>
      <c r="K310" s="178">
        <v>65.272999999999996</v>
      </c>
      <c r="M310" s="96">
        <f t="shared" si="5"/>
        <v>0.15260487039045656</v>
      </c>
    </row>
    <row r="311" spans="3:13" ht="15.6" x14ac:dyDescent="0.3">
      <c r="C311" s="179" t="s">
        <v>630</v>
      </c>
      <c r="D311" s="180">
        <v>102679.11499999999</v>
      </c>
      <c r="E311" s="180">
        <v>281189.33700000006</v>
      </c>
      <c r="F311" s="180">
        <v>367808.19399999996</v>
      </c>
      <c r="G311" s="180">
        <v>460353.78599999991</v>
      </c>
      <c r="H311" s="180">
        <v>46584.514999999999</v>
      </c>
      <c r="I311" s="180">
        <v>72626.665999999983</v>
      </c>
      <c r="J311" s="180">
        <v>104920.702</v>
      </c>
      <c r="K311" s="180">
        <v>224.06399999999999</v>
      </c>
      <c r="M311" s="96">
        <f t="shared" si="5"/>
        <v>-0.7147407161896997</v>
      </c>
    </row>
    <row r="312" spans="3:13" ht="15.6" x14ac:dyDescent="0.3">
      <c r="C312" s="175" t="s">
        <v>631</v>
      </c>
      <c r="D312" s="176">
        <v>104891.781</v>
      </c>
      <c r="E312" s="176">
        <v>109248.045</v>
      </c>
      <c r="F312" s="176">
        <v>155751.709</v>
      </c>
      <c r="G312" s="176">
        <v>224854.91100000002</v>
      </c>
      <c r="H312" s="176">
        <v>81816.425000000003</v>
      </c>
      <c r="I312" s="176">
        <v>161573.10700000002</v>
      </c>
      <c r="J312" s="176">
        <v>284483.17199999996</v>
      </c>
      <c r="K312" s="176">
        <v>1951.37</v>
      </c>
      <c r="M312" s="96">
        <f t="shared" si="5"/>
        <v>0.82651717805549052</v>
      </c>
    </row>
    <row r="313" spans="3:13" ht="15.6" x14ac:dyDescent="0.3">
      <c r="C313" s="179" t="s">
        <v>632</v>
      </c>
      <c r="D313" s="180">
        <v>19433.655999999999</v>
      </c>
      <c r="E313" s="180">
        <v>25589.763999999999</v>
      </c>
      <c r="F313" s="180">
        <v>37735.014999999999</v>
      </c>
      <c r="G313" s="180">
        <v>54478.032999999996</v>
      </c>
      <c r="H313" s="180">
        <v>19178.589</v>
      </c>
      <c r="I313" s="180">
        <v>37587.021999999997</v>
      </c>
      <c r="J313" s="180">
        <v>64751.815000000002</v>
      </c>
      <c r="K313" s="180">
        <v>338.572</v>
      </c>
      <c r="M313" s="96">
        <f t="shared" si="5"/>
        <v>0.71596102452854482</v>
      </c>
    </row>
    <row r="314" spans="3:13" ht="15.6" x14ac:dyDescent="0.3">
      <c r="C314" s="179" t="s">
        <v>633</v>
      </c>
      <c r="D314" s="182">
        <v>0</v>
      </c>
      <c r="E314" s="182">
        <v>0</v>
      </c>
      <c r="F314" s="182">
        <v>0</v>
      </c>
      <c r="G314" s="182">
        <v>-136.36099999999999</v>
      </c>
      <c r="H314" s="182">
        <v>0</v>
      </c>
      <c r="I314" s="182">
        <v>53.844999999999999</v>
      </c>
      <c r="J314" s="182">
        <v>0</v>
      </c>
      <c r="K314" s="180"/>
      <c r="M314" s="96" t="e">
        <f t="shared" si="5"/>
        <v>#DIV/0!</v>
      </c>
    </row>
    <row r="315" spans="3:13" ht="15.6" x14ac:dyDescent="0.3">
      <c r="C315" s="175" t="s">
        <v>634</v>
      </c>
      <c r="D315" s="176">
        <v>85458.125000000015</v>
      </c>
      <c r="E315" s="176">
        <v>83658.281000000003</v>
      </c>
      <c r="F315" s="176">
        <v>118016.694</v>
      </c>
      <c r="G315" s="176">
        <v>170240.51699999999</v>
      </c>
      <c r="H315" s="176">
        <v>62637.835999999996</v>
      </c>
      <c r="I315" s="176">
        <v>124039.93000000001</v>
      </c>
      <c r="J315" s="176">
        <v>219731.35699999999</v>
      </c>
      <c r="K315" s="176">
        <v>1612.798</v>
      </c>
      <c r="M315" s="96">
        <f t="shared" si="5"/>
        <v>0.86186673726006924</v>
      </c>
    </row>
    <row r="316" spans="3:13" ht="15.6" x14ac:dyDescent="0.3">
      <c r="C316" s="179" t="s">
        <v>635</v>
      </c>
      <c r="D316" s="180">
        <v>23667.978000000003</v>
      </c>
      <c r="E316" s="180">
        <v>28099.578000000001</v>
      </c>
      <c r="F316" s="180">
        <v>36277.078999999998</v>
      </c>
      <c r="G316" s="180">
        <v>20686.257000000005</v>
      </c>
      <c r="H316" s="180">
        <v>24141.097000000002</v>
      </c>
      <c r="I316" s="180">
        <v>46425.474000000002</v>
      </c>
      <c r="J316" s="180">
        <v>80049.051999999996</v>
      </c>
      <c r="K316" s="180">
        <v>551.50599999999997</v>
      </c>
      <c r="M316" s="96">
        <f t="shared" si="5"/>
        <v>1.2066013639080477</v>
      </c>
    </row>
    <row r="317" spans="3:13" ht="16.2" thickBot="1" x14ac:dyDescent="0.35">
      <c r="C317" s="183" t="s">
        <v>636</v>
      </c>
      <c r="D317" s="184">
        <v>61790.147000000004</v>
      </c>
      <c r="E317" s="184">
        <v>55558.703000000001</v>
      </c>
      <c r="F317" s="184">
        <v>81739.615000000005</v>
      </c>
      <c r="G317" s="184">
        <v>149554.26</v>
      </c>
      <c r="H317" s="184">
        <v>38496.739000000001</v>
      </c>
      <c r="I317" s="184">
        <v>77614.455999999991</v>
      </c>
      <c r="J317" s="184">
        <v>139682.30499999999</v>
      </c>
      <c r="K317" s="184">
        <v>1061.2919999999999</v>
      </c>
      <c r="M317" s="96">
        <f t="shared" si="5"/>
        <v>0.70886913279442276</v>
      </c>
    </row>
    <row r="318" spans="3:13" ht="15" thickBot="1" x14ac:dyDescent="0.35"/>
    <row r="319" spans="3:13" ht="16.2" thickBot="1" x14ac:dyDescent="0.35">
      <c r="C319" t="s">
        <v>670</v>
      </c>
      <c r="D319" s="174" t="s">
        <v>688</v>
      </c>
      <c r="E319" s="174" t="s">
        <v>689</v>
      </c>
      <c r="F319" s="174" t="s">
        <v>690</v>
      </c>
      <c r="G319" s="174" t="s">
        <v>691</v>
      </c>
      <c r="H319" s="174" t="s">
        <v>692</v>
      </c>
      <c r="I319" s="174" t="s">
        <v>693</v>
      </c>
      <c r="J319" s="174" t="s">
        <v>694</v>
      </c>
      <c r="K319" s="174" t="s">
        <v>621</v>
      </c>
    </row>
    <row r="320" spans="3:13" ht="15.6" x14ac:dyDescent="0.3">
      <c r="C320" s="179" t="s">
        <v>676</v>
      </c>
      <c r="D320" s="180">
        <v>150705.60700000002</v>
      </c>
      <c r="E320" s="180">
        <v>335545.26800000004</v>
      </c>
      <c r="F320" s="180">
        <v>511423.97599999991</v>
      </c>
      <c r="G320" s="180">
        <v>690217.05800000008</v>
      </c>
      <c r="H320" s="180">
        <v>165599.905</v>
      </c>
      <c r="I320" s="180">
        <v>311029.04700000002</v>
      </c>
      <c r="J320" s="180">
        <v>480273.36800000002</v>
      </c>
    </row>
    <row r="321" spans="1:13" ht="16.2" thickBot="1" x14ac:dyDescent="0.35">
      <c r="C321" s="183" t="s">
        <v>675</v>
      </c>
      <c r="D321" s="184">
        <v>61790.147000000004</v>
      </c>
      <c r="E321" s="184">
        <v>55558.703000000001</v>
      </c>
      <c r="F321" s="184">
        <v>81739.615000000005</v>
      </c>
      <c r="G321" s="184">
        <v>149554.26</v>
      </c>
      <c r="H321" s="184">
        <v>38496.739000000001</v>
      </c>
      <c r="I321" s="184">
        <v>77614.455999999991</v>
      </c>
      <c r="J321" s="184">
        <v>139682.30499999999</v>
      </c>
    </row>
    <row r="323" spans="1:13" ht="18" thickBot="1" x14ac:dyDescent="0.35">
      <c r="A323" s="206"/>
      <c r="C323" s="207" t="s">
        <v>616</v>
      </c>
      <c r="D323" s="185"/>
      <c r="E323" s="185"/>
      <c r="F323" s="185"/>
      <c r="G323" s="205"/>
      <c r="H323" s="185"/>
      <c r="I323" s="185"/>
      <c r="J323" s="185"/>
      <c r="K323" s="205"/>
    </row>
    <row r="324" spans="1:13" ht="16.2" thickBot="1" x14ac:dyDescent="0.35">
      <c r="C324" s="238" t="s">
        <v>637</v>
      </c>
      <c r="D324" s="171">
        <v>2022</v>
      </c>
      <c r="E324" s="172"/>
      <c r="F324" s="172"/>
      <c r="G324" s="173"/>
      <c r="H324" s="171">
        <v>2023</v>
      </c>
      <c r="I324" s="172"/>
      <c r="J324" s="172"/>
      <c r="K324" s="173"/>
    </row>
    <row r="325" spans="1:13" ht="16.2" thickBot="1" x14ac:dyDescent="0.35">
      <c r="C325" s="240"/>
      <c r="D325" s="203" t="s">
        <v>618</v>
      </c>
      <c r="E325" s="203" t="s">
        <v>619</v>
      </c>
      <c r="F325" s="203" t="s">
        <v>620</v>
      </c>
      <c r="G325" s="203" t="s">
        <v>621</v>
      </c>
      <c r="H325" s="203" t="s">
        <v>618</v>
      </c>
      <c r="I325" s="203" t="s">
        <v>619</v>
      </c>
      <c r="J325" s="203" t="s">
        <v>620</v>
      </c>
      <c r="K325" s="203" t="s">
        <v>621</v>
      </c>
    </row>
    <row r="326" spans="1:13" ht="15.6" x14ac:dyDescent="0.3">
      <c r="C326" s="197" t="s">
        <v>638</v>
      </c>
      <c r="D326" s="198">
        <v>16502504.825000001</v>
      </c>
      <c r="E326" s="198">
        <v>17206695.284000002</v>
      </c>
      <c r="F326" s="198">
        <v>17113840.318</v>
      </c>
      <c r="G326" s="198">
        <v>17225079.02</v>
      </c>
      <c r="H326" s="198">
        <v>16702854.079890057</v>
      </c>
      <c r="I326" s="198">
        <v>16963971.055</v>
      </c>
      <c r="J326" s="198">
        <v>17553900.212000001</v>
      </c>
      <c r="K326" s="198">
        <v>0</v>
      </c>
      <c r="M326" s="96">
        <f>J326/F326-1</f>
        <v>2.5713684703319029E-2</v>
      </c>
    </row>
    <row r="327" spans="1:13" ht="15.6" x14ac:dyDescent="0.3">
      <c r="C327" s="194" t="s">
        <v>639</v>
      </c>
      <c r="D327" s="195">
        <v>1250809.834</v>
      </c>
      <c r="E327" s="195">
        <v>1593771.0260000001</v>
      </c>
      <c r="F327" s="195">
        <v>1871683.7209999999</v>
      </c>
      <c r="G327" s="195">
        <v>2084649.5280000002</v>
      </c>
      <c r="H327" s="195">
        <v>1978419.96253902</v>
      </c>
      <c r="I327" s="195">
        <v>1951224.8160000001</v>
      </c>
      <c r="J327" s="195">
        <v>2056988.091</v>
      </c>
      <c r="K327" s="195">
        <v>0</v>
      </c>
      <c r="M327" s="96">
        <f t="shared" ref="M327:M344" si="6">J327/F327-1</f>
        <v>9.9004104123423087E-2</v>
      </c>
    </row>
    <row r="328" spans="1:13" ht="15.6" x14ac:dyDescent="0.3">
      <c r="C328" s="186" t="s">
        <v>640</v>
      </c>
      <c r="D328" s="199">
        <v>4750480.4850000003</v>
      </c>
      <c r="E328" s="199">
        <v>4824196.8250000011</v>
      </c>
      <c r="F328" s="199">
        <v>4838001.7809999986</v>
      </c>
      <c r="G328" s="199">
        <v>4905606.6020000009</v>
      </c>
      <c r="H328" s="199">
        <v>5058138.6742229713</v>
      </c>
      <c r="I328" s="199">
        <v>5484126.6020000009</v>
      </c>
      <c r="J328" s="199">
        <v>5766579.9910000004</v>
      </c>
      <c r="K328" s="199">
        <v>0</v>
      </c>
      <c r="M328" s="96">
        <f t="shared" si="6"/>
        <v>0.19193424310977991</v>
      </c>
    </row>
    <row r="329" spans="1:13" ht="15.6" x14ac:dyDescent="0.3">
      <c r="C329" s="187" t="s">
        <v>641</v>
      </c>
      <c r="D329" s="189">
        <v>80785.627000000008</v>
      </c>
      <c r="E329" s="189">
        <v>98960.15400000001</v>
      </c>
      <c r="F329" s="189">
        <v>104989.349</v>
      </c>
      <c r="G329" s="189">
        <v>97556.889999999985</v>
      </c>
      <c r="H329" s="189">
        <v>140803.9590917</v>
      </c>
      <c r="I329" s="189">
        <v>219279.72899999999</v>
      </c>
      <c r="J329" s="189">
        <v>345202.27499999997</v>
      </c>
      <c r="K329" s="189">
        <v>0</v>
      </c>
      <c r="M329" s="96">
        <f t="shared" si="6"/>
        <v>2.2879742401298246</v>
      </c>
    </row>
    <row r="330" spans="1:13" ht="15.6" x14ac:dyDescent="0.3">
      <c r="C330" s="187" t="s">
        <v>642</v>
      </c>
      <c r="D330" s="189">
        <v>3538264.4450000003</v>
      </c>
      <c r="E330" s="189">
        <v>4253786.4050000003</v>
      </c>
      <c r="F330" s="189">
        <v>4368436.8910000008</v>
      </c>
      <c r="G330" s="189">
        <v>4367745.0060000001</v>
      </c>
      <c r="H330" s="189">
        <v>4311539.3097182214</v>
      </c>
      <c r="I330" s="189">
        <v>4501270.4539999999</v>
      </c>
      <c r="J330" s="189">
        <v>4309361.4449999994</v>
      </c>
      <c r="K330" s="189">
        <v>0</v>
      </c>
      <c r="M330" s="96">
        <f t="shared" si="6"/>
        <v>-1.3523245836905784E-2</v>
      </c>
    </row>
    <row r="331" spans="1:13" ht="15.6" x14ac:dyDescent="0.3">
      <c r="C331" s="187" t="s">
        <v>643</v>
      </c>
      <c r="D331" s="189">
        <v>1099927.4519999998</v>
      </c>
      <c r="E331" s="189">
        <v>439211.1700000001</v>
      </c>
      <c r="F331" s="189">
        <v>332319.13099999999</v>
      </c>
      <c r="G331" s="189">
        <v>407491.44400000002</v>
      </c>
      <c r="H331" s="189">
        <v>572983.29941304994</v>
      </c>
      <c r="I331" s="189">
        <v>730498.68299999996</v>
      </c>
      <c r="J331" s="189">
        <v>1078993.618</v>
      </c>
      <c r="K331" s="189">
        <v>0</v>
      </c>
      <c r="M331" s="96">
        <f t="shared" si="6"/>
        <v>2.2468597722711308</v>
      </c>
    </row>
    <row r="332" spans="1:13" ht="15.6" x14ac:dyDescent="0.3">
      <c r="C332" s="187" t="s">
        <v>644</v>
      </c>
      <c r="D332" s="189">
        <v>31502.960999999996</v>
      </c>
      <c r="E332" s="189">
        <v>32239.095999999998</v>
      </c>
      <c r="F332" s="189">
        <v>32256.409999999996</v>
      </c>
      <c r="G332" s="189">
        <v>32813.262000000002</v>
      </c>
      <c r="H332" s="189">
        <v>32812.106</v>
      </c>
      <c r="I332" s="189">
        <v>33077.736000000004</v>
      </c>
      <c r="J332" s="189">
        <v>33022.652999999998</v>
      </c>
      <c r="K332" s="189">
        <v>0</v>
      </c>
      <c r="M332" s="96">
        <f t="shared" si="6"/>
        <v>2.3754751381198425E-2</v>
      </c>
    </row>
    <row r="333" spans="1:13" ht="18" x14ac:dyDescent="0.3">
      <c r="C333" s="186" t="s">
        <v>645</v>
      </c>
      <c r="D333" s="200">
        <v>9835879.3140000012</v>
      </c>
      <c r="E333" s="200">
        <v>10018528.635</v>
      </c>
      <c r="F333" s="200">
        <v>9664290.1889999993</v>
      </c>
      <c r="G333" s="200">
        <v>9444905.7760000005</v>
      </c>
      <c r="H333" s="200">
        <v>8874172.060137447</v>
      </c>
      <c r="I333" s="200">
        <v>8712009.2740000002</v>
      </c>
      <c r="J333" s="200">
        <v>8884140.5730000008</v>
      </c>
      <c r="K333" s="200">
        <v>0</v>
      </c>
      <c r="M333" s="96">
        <f t="shared" si="6"/>
        <v>-8.0724978321529806E-2</v>
      </c>
    </row>
    <row r="334" spans="1:13" ht="15.6" x14ac:dyDescent="0.3">
      <c r="C334" s="188" t="s">
        <v>646</v>
      </c>
      <c r="D334" s="189">
        <v>10457376.787000002</v>
      </c>
      <c r="E334" s="189">
        <v>10771350.593000002</v>
      </c>
      <c r="F334" s="189">
        <v>10483846.001000002</v>
      </c>
      <c r="G334" s="189">
        <v>10316613.348999999</v>
      </c>
      <c r="H334" s="189">
        <v>9762807.9531374481</v>
      </c>
      <c r="I334" s="189">
        <v>9594447.7910000011</v>
      </c>
      <c r="J334" s="189">
        <v>9794498.0200000014</v>
      </c>
      <c r="K334" s="189">
        <v>0</v>
      </c>
      <c r="M334" s="96">
        <f t="shared" si="6"/>
        <v>-6.5753348621703012E-2</v>
      </c>
    </row>
    <row r="335" spans="1:13" ht="15.6" x14ac:dyDescent="0.3">
      <c r="C335" s="190" t="s">
        <v>647</v>
      </c>
      <c r="D335" s="189">
        <v>7599966.942999999</v>
      </c>
      <c r="E335" s="189">
        <v>7566718.0729999999</v>
      </c>
      <c r="F335" s="189">
        <v>7401276.2669999991</v>
      </c>
      <c r="G335" s="189">
        <v>7365470.0159999998</v>
      </c>
      <c r="H335" s="189">
        <v>7273867.7531072879</v>
      </c>
      <c r="I335" s="189">
        <v>7310036.2680000002</v>
      </c>
      <c r="J335" s="189">
        <v>7467332.0470000003</v>
      </c>
      <c r="K335" s="189">
        <v>0</v>
      </c>
      <c r="M335" s="96">
        <f t="shared" si="6"/>
        <v>8.9249174895043026E-3</v>
      </c>
    </row>
    <row r="336" spans="1:13" ht="15.6" x14ac:dyDescent="0.3">
      <c r="C336" s="196" t="s">
        <v>648</v>
      </c>
      <c r="D336" s="201">
        <v>2857409.844</v>
      </c>
      <c r="E336" s="201">
        <v>3204632.52</v>
      </c>
      <c r="F336" s="201">
        <v>3082569.7340000002</v>
      </c>
      <c r="G336" s="201">
        <v>2951143.3330000001</v>
      </c>
      <c r="H336" s="201">
        <v>2488940.2000301592</v>
      </c>
      <c r="I336" s="201">
        <v>2284411.5229999996</v>
      </c>
      <c r="J336" s="201">
        <v>2327165.9729999993</v>
      </c>
      <c r="K336" s="201">
        <v>0</v>
      </c>
      <c r="M336" s="96">
        <f t="shared" si="6"/>
        <v>-0.24505650356197284</v>
      </c>
    </row>
    <row r="337" spans="3:13" ht="15.6" x14ac:dyDescent="0.3">
      <c r="C337" s="191" t="s">
        <v>649</v>
      </c>
      <c r="D337" s="189">
        <v>883814.36499999999</v>
      </c>
      <c r="E337" s="189">
        <v>969672.196</v>
      </c>
      <c r="F337" s="189">
        <v>1147848.2170000002</v>
      </c>
      <c r="G337" s="189">
        <v>1230287.5799999998</v>
      </c>
      <c r="H337" s="189">
        <v>1293505.2757528203</v>
      </c>
      <c r="I337" s="189">
        <v>1330225.7750000001</v>
      </c>
      <c r="J337" s="189">
        <v>1345265.399</v>
      </c>
      <c r="K337" s="189">
        <v>0</v>
      </c>
      <c r="M337" s="96">
        <f t="shared" si="6"/>
        <v>0.17198892595396154</v>
      </c>
    </row>
    <row r="338" spans="3:13" ht="18.600000000000001" x14ac:dyDescent="0.3">
      <c r="C338" s="191" t="s">
        <v>650</v>
      </c>
      <c r="D338" s="189">
        <v>802061.38400000008</v>
      </c>
      <c r="E338" s="189">
        <v>923359.65599999996</v>
      </c>
      <c r="F338" s="189">
        <v>1061575.895</v>
      </c>
      <c r="G338" s="189">
        <v>1069834.6189999999</v>
      </c>
      <c r="H338" s="189">
        <v>1193170.9319999998</v>
      </c>
      <c r="I338" s="189">
        <v>1247615.0829999996</v>
      </c>
      <c r="J338" s="189">
        <v>1254629.6850000001</v>
      </c>
      <c r="K338" s="189">
        <v>0</v>
      </c>
      <c r="M338" s="96">
        <f t="shared" si="6"/>
        <v>0.18185585308528518</v>
      </c>
    </row>
    <row r="339" spans="3:13" ht="15.6" x14ac:dyDescent="0.3">
      <c r="C339" s="191" t="s">
        <v>651</v>
      </c>
      <c r="D339" s="189">
        <v>621497.473</v>
      </c>
      <c r="E339" s="189">
        <v>752821.95799999987</v>
      </c>
      <c r="F339" s="189">
        <v>820563.12000000011</v>
      </c>
      <c r="G339" s="189">
        <v>871707.57300000009</v>
      </c>
      <c r="H339" s="189">
        <v>888635.89300000027</v>
      </c>
      <c r="I339" s="189">
        <v>882438.51699999999</v>
      </c>
      <c r="J339" s="189">
        <v>910357.44700000016</v>
      </c>
      <c r="K339" s="189">
        <v>0</v>
      </c>
      <c r="M339" s="96">
        <f t="shared" si="6"/>
        <v>0.10943012769084737</v>
      </c>
    </row>
    <row r="340" spans="3:13" ht="15.6" x14ac:dyDescent="0.3">
      <c r="C340" s="192" t="s">
        <v>652</v>
      </c>
      <c r="D340" s="201">
        <v>311727.16200000001</v>
      </c>
      <c r="E340" s="201">
        <v>373400.44499999995</v>
      </c>
      <c r="F340" s="201">
        <v>411382.59600000002</v>
      </c>
      <c r="G340" s="201">
        <v>475421.10900000005</v>
      </c>
      <c r="H340" s="201">
        <v>481312.45977496722</v>
      </c>
      <c r="I340" s="201">
        <v>498887.60099999997</v>
      </c>
      <c r="J340" s="201">
        <v>519692.12600000005</v>
      </c>
      <c r="K340" s="201">
        <v>0</v>
      </c>
      <c r="M340" s="96">
        <f t="shared" si="6"/>
        <v>0.26328175049972224</v>
      </c>
    </row>
    <row r="341" spans="3:13" ht="15.6" x14ac:dyDescent="0.3">
      <c r="C341" s="190" t="s">
        <v>653</v>
      </c>
      <c r="D341" s="201">
        <v>309770.31099999999</v>
      </c>
      <c r="E341" s="201">
        <v>379421.51299999998</v>
      </c>
      <c r="F341" s="201">
        <v>409180.52399999998</v>
      </c>
      <c r="G341" s="201">
        <v>396286.46400000004</v>
      </c>
      <c r="H341" s="201">
        <v>407323.43322503299</v>
      </c>
      <c r="I341" s="201">
        <v>383550.91600000003</v>
      </c>
      <c r="J341" s="201">
        <v>390665.321</v>
      </c>
      <c r="K341" s="201">
        <v>0</v>
      </c>
      <c r="M341" s="96">
        <f t="shared" si="6"/>
        <v>-4.5249472821927372E-2</v>
      </c>
    </row>
    <row r="342" spans="3:13" ht="18" x14ac:dyDescent="0.3">
      <c r="C342" s="186" t="s">
        <v>654</v>
      </c>
      <c r="D342" s="200">
        <v>2892.9589999999998</v>
      </c>
      <c r="E342" s="200">
        <v>2891.625</v>
      </c>
      <c r="F342" s="200">
        <v>2890.2909999999997</v>
      </c>
      <c r="G342" s="200">
        <v>2888.9580000000001</v>
      </c>
      <c r="H342" s="200">
        <v>2887.6239999999998</v>
      </c>
      <c r="I342" s="200">
        <v>2886.29</v>
      </c>
      <c r="J342" s="200">
        <v>2884.9569999999999</v>
      </c>
      <c r="K342" s="200">
        <v>0</v>
      </c>
      <c r="M342" s="96">
        <f t="shared" si="6"/>
        <v>-1.8454889144379205E-3</v>
      </c>
    </row>
    <row r="343" spans="3:13" ht="18" x14ac:dyDescent="0.3">
      <c r="C343" s="186" t="s">
        <v>655</v>
      </c>
      <c r="D343" s="200">
        <v>168656.31699999998</v>
      </c>
      <c r="E343" s="200">
        <v>162157.42499999999</v>
      </c>
      <c r="F343" s="200">
        <v>162237.49799999999</v>
      </c>
      <c r="G343" s="200">
        <v>175282.10400000002</v>
      </c>
      <c r="H343" s="200">
        <v>176304.69786435482</v>
      </c>
      <c r="I343" s="200">
        <v>177500.46599999999</v>
      </c>
      <c r="J343" s="200">
        <v>176705.71199999997</v>
      </c>
      <c r="K343" s="200">
        <v>0</v>
      </c>
      <c r="M343" s="96">
        <f t="shared" si="6"/>
        <v>8.9179222919228973E-2</v>
      </c>
    </row>
    <row r="344" spans="3:13" ht="18.600000000000001" thickBot="1" x14ac:dyDescent="0.35">
      <c r="C344" s="193" t="s">
        <v>656</v>
      </c>
      <c r="D344" s="202">
        <v>493785.91599999979</v>
      </c>
      <c r="E344" s="202">
        <v>605149.74800000037</v>
      </c>
      <c r="F344" s="202">
        <v>574736.83800000034</v>
      </c>
      <c r="G344" s="202">
        <v>611746.0519999963</v>
      </c>
      <c r="H344" s="202">
        <v>612931.06112626253</v>
      </c>
      <c r="I344" s="202">
        <v>636223.60699999798</v>
      </c>
      <c r="J344" s="202">
        <v>666600.88800000004</v>
      </c>
      <c r="K344" s="202">
        <v>0</v>
      </c>
      <c r="M344" s="96">
        <f t="shared" si="6"/>
        <v>0.15983671817465717</v>
      </c>
    </row>
    <row r="345" spans="3:13" x14ac:dyDescent="0.3">
      <c r="M345" s="96"/>
    </row>
    <row r="348" spans="3:13" ht="18" thickBot="1" x14ac:dyDescent="0.35">
      <c r="C348" s="209" t="s">
        <v>616</v>
      </c>
      <c r="D348" s="185"/>
      <c r="E348" s="185"/>
      <c r="F348" s="185"/>
      <c r="G348" s="205"/>
      <c r="H348" s="185"/>
      <c r="I348" s="185"/>
      <c r="J348" s="185"/>
      <c r="K348" s="205"/>
    </row>
    <row r="349" spans="3:13" ht="16.2" thickBot="1" x14ac:dyDescent="0.35">
      <c r="C349" s="236" t="s">
        <v>657</v>
      </c>
      <c r="D349" s="233">
        <v>2022</v>
      </c>
      <c r="E349" s="234"/>
      <c r="F349" s="234"/>
      <c r="G349" s="235"/>
      <c r="H349" s="233">
        <v>2023</v>
      </c>
      <c r="I349" s="234"/>
      <c r="J349" s="234"/>
      <c r="K349" s="235"/>
    </row>
    <row r="350" spans="3:13" ht="16.2" thickBot="1" x14ac:dyDescent="0.35">
      <c r="C350" s="237"/>
      <c r="D350" s="211" t="s">
        <v>618</v>
      </c>
      <c r="E350" s="211" t="s">
        <v>619</v>
      </c>
      <c r="F350" s="211" t="s">
        <v>620</v>
      </c>
      <c r="G350" s="211" t="s">
        <v>621</v>
      </c>
      <c r="H350" s="211" t="s">
        <v>618</v>
      </c>
      <c r="I350" s="211" t="s">
        <v>619</v>
      </c>
      <c r="J350" s="211" t="s">
        <v>620</v>
      </c>
      <c r="K350" s="211" t="s">
        <v>621</v>
      </c>
    </row>
    <row r="351" spans="3:13" ht="15.6" x14ac:dyDescent="0.3">
      <c r="C351" s="218" t="s">
        <v>658</v>
      </c>
      <c r="D351" s="219">
        <v>16502504.822000001</v>
      </c>
      <c r="E351" s="219">
        <v>17206706.232000001</v>
      </c>
      <c r="F351" s="219">
        <v>17113840.315000001</v>
      </c>
      <c r="G351" s="219">
        <v>17233972.23</v>
      </c>
      <c r="H351" s="219">
        <v>16702854.079890057</v>
      </c>
      <c r="I351" s="219">
        <v>16963971.059999999</v>
      </c>
      <c r="J351" s="219">
        <v>17553873.287999999</v>
      </c>
      <c r="K351" s="219">
        <v>0</v>
      </c>
    </row>
    <row r="352" spans="3:13" ht="15.6" x14ac:dyDescent="0.3">
      <c r="C352" s="194" t="s">
        <v>221</v>
      </c>
      <c r="D352" s="217">
        <v>12318447.159</v>
      </c>
      <c r="E352" s="217">
        <v>12811244.914000001</v>
      </c>
      <c r="F352" s="217">
        <v>13049890.359999999</v>
      </c>
      <c r="G352" s="217">
        <v>13415885.116</v>
      </c>
      <c r="H352" s="217">
        <v>13321337.379190275</v>
      </c>
      <c r="I352" s="217">
        <v>13550119.369999999</v>
      </c>
      <c r="J352" s="217">
        <v>14160452.015000001</v>
      </c>
      <c r="K352" s="217">
        <v>0</v>
      </c>
    </row>
    <row r="353" spans="3:11" ht="15.6" x14ac:dyDescent="0.3">
      <c r="C353" s="220" t="s">
        <v>659</v>
      </c>
      <c r="D353" s="221">
        <v>9126439.409</v>
      </c>
      <c r="E353" s="221">
        <v>9140025.7830000017</v>
      </c>
      <c r="F353" s="221">
        <v>9395199.5130000003</v>
      </c>
      <c r="G353" s="221">
        <v>9716439.0349999983</v>
      </c>
      <c r="H353" s="221">
        <v>9994343.2162640728</v>
      </c>
      <c r="I353" s="221">
        <v>10362016.871000001</v>
      </c>
      <c r="J353" s="221">
        <v>10659724.833000002</v>
      </c>
      <c r="K353" s="221">
        <v>0</v>
      </c>
    </row>
    <row r="354" spans="3:11" ht="15.6" x14ac:dyDescent="0.3">
      <c r="C354" s="214" t="s">
        <v>660</v>
      </c>
      <c r="D354" s="215">
        <v>5219277.5250000004</v>
      </c>
      <c r="E354" s="215">
        <v>5553531.665</v>
      </c>
      <c r="F354" s="215">
        <v>5993852.2570000002</v>
      </c>
      <c r="G354" s="215">
        <v>6477335.5300000003</v>
      </c>
      <c r="H354" s="215">
        <v>6786445.0754348841</v>
      </c>
      <c r="I354" s="215">
        <v>7026789.7869999995</v>
      </c>
      <c r="J354" s="215">
        <v>7061061.3609999996</v>
      </c>
      <c r="K354" s="215">
        <v>0</v>
      </c>
    </row>
    <row r="355" spans="3:11" ht="15.6" x14ac:dyDescent="0.3">
      <c r="C355" s="214" t="s">
        <v>661</v>
      </c>
      <c r="D355" s="215">
        <v>3133564.7089999998</v>
      </c>
      <c r="E355" s="215">
        <v>2820438.6579999998</v>
      </c>
      <c r="F355" s="215">
        <v>2608074.1349999998</v>
      </c>
      <c r="G355" s="215">
        <v>2487903.2069999999</v>
      </c>
      <c r="H355" s="215">
        <v>2522092.4190014298</v>
      </c>
      <c r="I355" s="215">
        <v>2569739.2560000001</v>
      </c>
      <c r="J355" s="215">
        <v>2836665.1490000002</v>
      </c>
      <c r="K355" s="215">
        <v>0</v>
      </c>
    </row>
    <row r="356" spans="3:11" ht="15.6" x14ac:dyDescent="0.3">
      <c r="C356" s="214" t="s">
        <v>662</v>
      </c>
      <c r="D356" s="215">
        <v>703299.73499999999</v>
      </c>
      <c r="E356" s="215">
        <v>682783.03500000003</v>
      </c>
      <c r="F356" s="215">
        <v>729363.68200000003</v>
      </c>
      <c r="G356" s="215">
        <v>701870.25399999996</v>
      </c>
      <c r="H356" s="215">
        <v>637461.22092094994</v>
      </c>
      <c r="I356" s="215">
        <v>678884.85600000003</v>
      </c>
      <c r="J356" s="215">
        <v>670901.96100000001</v>
      </c>
      <c r="K356" s="215">
        <v>0</v>
      </c>
    </row>
    <row r="357" spans="3:11" ht="15.6" x14ac:dyDescent="0.3">
      <c r="C357" s="214" t="s">
        <v>663</v>
      </c>
      <c r="D357" s="215">
        <v>70297.439999999478</v>
      </c>
      <c r="E357" s="215">
        <v>83272.425000002608</v>
      </c>
      <c r="F357" s="215">
        <v>63909.438999999315</v>
      </c>
      <c r="G357" s="215">
        <v>49330.043999997899</v>
      </c>
      <c r="H357" s="215">
        <v>48344.500906808302</v>
      </c>
      <c r="I357" s="215">
        <v>86602.972000000998</v>
      </c>
      <c r="J357" s="215">
        <v>91096.362000003457</v>
      </c>
      <c r="K357" s="215">
        <v>0</v>
      </c>
    </row>
    <row r="358" spans="3:11" ht="15.6" x14ac:dyDescent="0.3">
      <c r="C358" s="220" t="s">
        <v>664</v>
      </c>
      <c r="D358" s="221">
        <v>3192007.7499999995</v>
      </c>
      <c r="E358" s="221">
        <v>3671219.1310000001</v>
      </c>
      <c r="F358" s="221">
        <v>3654690.8469999996</v>
      </c>
      <c r="G358" s="221">
        <v>3699446.0810000002</v>
      </c>
      <c r="H358" s="221">
        <v>3326994.1629262022</v>
      </c>
      <c r="I358" s="221">
        <v>3188102.4990000003</v>
      </c>
      <c r="J358" s="221">
        <v>3500727.182</v>
      </c>
      <c r="K358" s="221">
        <v>0</v>
      </c>
    </row>
    <row r="359" spans="3:11" ht="15.6" x14ac:dyDescent="0.3">
      <c r="C359" s="214" t="s">
        <v>660</v>
      </c>
      <c r="D359" s="215">
        <v>2012199.558</v>
      </c>
      <c r="E359" s="215">
        <v>2308984.2570000002</v>
      </c>
      <c r="F359" s="215">
        <v>2329820.0610000002</v>
      </c>
      <c r="G359" s="215">
        <v>2391516.8360000001</v>
      </c>
      <c r="H359" s="215">
        <v>2224277.5706396312</v>
      </c>
      <c r="I359" s="215">
        <v>2155825.3849999998</v>
      </c>
      <c r="J359" s="215">
        <v>2354341.094</v>
      </c>
      <c r="K359" s="215">
        <v>0</v>
      </c>
    </row>
    <row r="360" spans="3:11" ht="15.6" x14ac:dyDescent="0.3">
      <c r="C360" s="214" t="s">
        <v>661</v>
      </c>
      <c r="D360" s="215">
        <v>811088.27300000004</v>
      </c>
      <c r="E360" s="215">
        <v>947358.82</v>
      </c>
      <c r="F360" s="215">
        <v>899910.64599999995</v>
      </c>
      <c r="G360" s="215">
        <v>863718.60600000003</v>
      </c>
      <c r="H360" s="215">
        <v>709326.22270856658</v>
      </c>
      <c r="I360" s="215">
        <v>636981.92299999995</v>
      </c>
      <c r="J360" s="215">
        <v>734716.79399999999</v>
      </c>
      <c r="K360" s="215">
        <v>0</v>
      </c>
    </row>
    <row r="361" spans="3:11" ht="15.6" x14ac:dyDescent="0.3">
      <c r="C361" s="214" t="s">
        <v>662</v>
      </c>
      <c r="D361" s="215">
        <v>311969.864</v>
      </c>
      <c r="E361" s="215">
        <v>364377.364</v>
      </c>
      <c r="F361" s="215">
        <v>359810.60499999998</v>
      </c>
      <c r="G361" s="215">
        <v>362169.14600000001</v>
      </c>
      <c r="H361" s="215">
        <v>316183.34532800462</v>
      </c>
      <c r="I361" s="215">
        <v>299995.11900000001</v>
      </c>
      <c r="J361" s="215">
        <v>306474.87599999999</v>
      </c>
      <c r="K361" s="215">
        <v>0</v>
      </c>
    </row>
    <row r="362" spans="3:11" ht="15.6" x14ac:dyDescent="0.3">
      <c r="C362" s="214" t="s">
        <v>663</v>
      </c>
      <c r="D362" s="215">
        <v>56750.054999999236</v>
      </c>
      <c r="E362" s="215">
        <v>50498.689999999944</v>
      </c>
      <c r="F362" s="215">
        <v>65149.534999999218</v>
      </c>
      <c r="G362" s="215">
        <v>82041.492999999784</v>
      </c>
      <c r="H362" s="215">
        <v>77207.024249999784</v>
      </c>
      <c r="I362" s="215">
        <v>95300.072000000626</v>
      </c>
      <c r="J362" s="215">
        <v>105194.4179999996</v>
      </c>
      <c r="K362" s="215">
        <v>0</v>
      </c>
    </row>
    <row r="363" spans="3:11" ht="15.6" x14ac:dyDescent="0.3">
      <c r="C363" s="186" t="s">
        <v>665</v>
      </c>
      <c r="D363" s="210">
        <v>2298196.6100000003</v>
      </c>
      <c r="E363" s="210">
        <v>2361758.5839999998</v>
      </c>
      <c r="F363" s="210">
        <v>2027210.2869999998</v>
      </c>
      <c r="G363" s="210">
        <v>1740464.3069999998</v>
      </c>
      <c r="H363" s="210">
        <v>1341459.6379750292</v>
      </c>
      <c r="I363" s="210">
        <v>1344857.889</v>
      </c>
      <c r="J363" s="210">
        <v>1175385.9700000002</v>
      </c>
      <c r="K363" s="210">
        <v>0</v>
      </c>
    </row>
    <row r="364" spans="3:11" ht="15.6" x14ac:dyDescent="0.3">
      <c r="C364" s="212" t="s">
        <v>666</v>
      </c>
      <c r="D364" s="213">
        <v>1599954.919</v>
      </c>
      <c r="E364" s="213">
        <v>1675369.2849999999</v>
      </c>
      <c r="F364" s="213">
        <v>1461161.909</v>
      </c>
      <c r="G364" s="213">
        <v>1225799.9139999999</v>
      </c>
      <c r="H364" s="213">
        <v>953940.41843656916</v>
      </c>
      <c r="I364" s="213">
        <v>1016104.8770000001</v>
      </c>
      <c r="J364" s="213">
        <v>867274.82200000004</v>
      </c>
      <c r="K364" s="213">
        <v>0</v>
      </c>
    </row>
    <row r="365" spans="3:11" ht="15.6" x14ac:dyDescent="0.3">
      <c r="C365" s="212" t="s">
        <v>667</v>
      </c>
      <c r="D365" s="213">
        <v>698241.69099999999</v>
      </c>
      <c r="E365" s="213">
        <v>686389.29899999988</v>
      </c>
      <c r="F365" s="213">
        <v>566048.37800000003</v>
      </c>
      <c r="G365" s="213">
        <v>514664.39299999998</v>
      </c>
      <c r="H365" s="213">
        <v>387519.21953845996</v>
      </c>
      <c r="I365" s="213">
        <v>328753.01199999999</v>
      </c>
      <c r="J365" s="213">
        <v>308111.14799999999</v>
      </c>
      <c r="K365" s="213">
        <v>0</v>
      </c>
    </row>
    <row r="366" spans="3:11" ht="15.6" x14ac:dyDescent="0.3">
      <c r="C366" s="186" t="s">
        <v>668</v>
      </c>
      <c r="D366" s="210">
        <v>567172.07599999942</v>
      </c>
      <c r="E366" s="210">
        <v>687528.14500000142</v>
      </c>
      <c r="F366" s="210">
        <v>644011.32600000128</v>
      </c>
      <c r="G366" s="210">
        <v>602686.66600000113</v>
      </c>
      <c r="H366" s="210">
        <v>551459.17407459393</v>
      </c>
      <c r="I366" s="210">
        <v>554558.9179999996</v>
      </c>
      <c r="J366" s="210">
        <v>628682.76899999753</v>
      </c>
      <c r="K366" s="210">
        <v>0</v>
      </c>
    </row>
    <row r="367" spans="3:11" ht="16.2" thickBot="1" x14ac:dyDescent="0.35">
      <c r="C367" s="193" t="s">
        <v>669</v>
      </c>
      <c r="D367" s="216">
        <v>1318688.9770000002</v>
      </c>
      <c r="E367" s="216">
        <v>1346174.5889999999</v>
      </c>
      <c r="F367" s="216">
        <v>1392728.3419999999</v>
      </c>
      <c r="G367" s="216">
        <v>1474936.1409999998</v>
      </c>
      <c r="H367" s="216">
        <v>1488597.8886501589</v>
      </c>
      <c r="I367" s="216">
        <v>1514434.8830000001</v>
      </c>
      <c r="J367" s="216">
        <v>1589352.534</v>
      </c>
      <c r="K367" s="216">
        <v>0</v>
      </c>
    </row>
    <row r="371" spans="3:10" ht="15" thickBot="1" x14ac:dyDescent="0.35"/>
    <row r="372" spans="3:10" ht="16.2" thickBot="1" x14ac:dyDescent="0.35">
      <c r="C372" t="s">
        <v>670</v>
      </c>
      <c r="D372" s="174" t="s">
        <v>688</v>
      </c>
      <c r="E372" s="174" t="s">
        <v>689</v>
      </c>
      <c r="F372" s="174" t="s">
        <v>690</v>
      </c>
      <c r="G372" s="174" t="s">
        <v>691</v>
      </c>
      <c r="H372" s="174" t="s">
        <v>692</v>
      </c>
      <c r="I372" s="174" t="s">
        <v>693</v>
      </c>
      <c r="J372" s="174" t="s">
        <v>694</v>
      </c>
    </row>
    <row r="373" spans="3:10" ht="15.6" x14ac:dyDescent="0.3">
      <c r="C373" s="186" t="s">
        <v>673</v>
      </c>
      <c r="D373" s="2">
        <v>9835.8793140000016</v>
      </c>
      <c r="E373" s="2">
        <v>10018.528635000001</v>
      </c>
      <c r="F373" s="2">
        <v>9664.2901889999994</v>
      </c>
      <c r="G373" s="2">
        <v>9444.9057760000014</v>
      </c>
      <c r="H373" s="2">
        <v>8874.1720601374473</v>
      </c>
      <c r="I373" s="2">
        <v>8712.009274</v>
      </c>
      <c r="J373" s="2">
        <v>8884.1405730000006</v>
      </c>
    </row>
    <row r="374" spans="3:10" ht="15.6" x14ac:dyDescent="0.3">
      <c r="C374" s="194" t="s">
        <v>674</v>
      </c>
      <c r="D374" s="2">
        <v>12318.447158999999</v>
      </c>
      <c r="E374" s="2">
        <v>12811.244914000001</v>
      </c>
      <c r="F374" s="2">
        <v>13049.890359999999</v>
      </c>
      <c r="G374" s="2">
        <v>13415.885116000001</v>
      </c>
      <c r="H374" s="2">
        <v>13321.337379190276</v>
      </c>
      <c r="I374" s="2">
        <v>13550.119369999999</v>
      </c>
      <c r="J374" s="2">
        <v>14160.452015000001</v>
      </c>
    </row>
    <row r="377" spans="3:10" ht="15" thickBot="1" x14ac:dyDescent="0.35"/>
    <row r="378" spans="3:10" ht="16.2" thickBot="1" x14ac:dyDescent="0.35">
      <c r="C378" t="s">
        <v>670</v>
      </c>
      <c r="D378" s="174" t="s">
        <v>688</v>
      </c>
      <c r="E378" s="174" t="s">
        <v>689</v>
      </c>
      <c r="F378" s="174" t="s">
        <v>690</v>
      </c>
      <c r="G378" s="174" t="s">
        <v>691</v>
      </c>
      <c r="H378" s="174" t="s">
        <v>692</v>
      </c>
      <c r="I378" s="174" t="s">
        <v>693</v>
      </c>
      <c r="J378" s="174" t="s">
        <v>694</v>
      </c>
    </row>
    <row r="379" spans="3:10" ht="15.6" x14ac:dyDescent="0.3">
      <c r="C379" s="197" t="s">
        <v>671</v>
      </c>
      <c r="D379" s="2">
        <v>16502.504825</v>
      </c>
      <c r="E379" s="2">
        <v>17206.695284000001</v>
      </c>
      <c r="F379" s="2">
        <v>17113.840317999999</v>
      </c>
      <c r="G379" s="2">
        <v>17225.079020000001</v>
      </c>
      <c r="H379" s="2">
        <v>16702.854079890058</v>
      </c>
      <c r="I379" s="2">
        <v>16963.971054999998</v>
      </c>
      <c r="J379" s="2">
        <v>17553.900212</v>
      </c>
    </row>
    <row r="380" spans="3:10" ht="15.6" x14ac:dyDescent="0.3">
      <c r="C380" s="194" t="s">
        <v>672</v>
      </c>
      <c r="D380" s="2">
        <v>1250.8098340000001</v>
      </c>
      <c r="E380" s="2">
        <v>1593.7710260000001</v>
      </c>
      <c r="F380" s="2">
        <v>1871.6837209999999</v>
      </c>
      <c r="G380" s="2">
        <v>2084.6495280000004</v>
      </c>
      <c r="H380" s="2">
        <v>1978.4199625390199</v>
      </c>
      <c r="I380" s="2">
        <v>1951.2248160000001</v>
      </c>
      <c r="J380" s="2">
        <v>2056.9880910000002</v>
      </c>
    </row>
    <row r="386" spans="4:4" x14ac:dyDescent="0.3">
      <c r="D386">
        <v>1000</v>
      </c>
    </row>
    <row r="413" spans="4:5" x14ac:dyDescent="0.3">
      <c r="D413" t="s">
        <v>700</v>
      </c>
    </row>
    <row r="416" spans="4:5" x14ac:dyDescent="0.3">
      <c r="D416" t="s">
        <v>2</v>
      </c>
      <c r="E416" s="38">
        <f>FS!P62</f>
        <v>2525511650</v>
      </c>
    </row>
    <row r="417" spans="4:5" x14ac:dyDescent="0.3">
      <c r="D417" t="s">
        <v>540</v>
      </c>
      <c r="E417" s="38">
        <v>1970003053</v>
      </c>
    </row>
    <row r="418" spans="4:5" x14ac:dyDescent="0.3">
      <c r="D418" t="s">
        <v>543</v>
      </c>
      <c r="E418" s="38">
        <v>599290868</v>
      </c>
    </row>
    <row r="419" spans="4:5" x14ac:dyDescent="0.3">
      <c r="D419" t="s">
        <v>537</v>
      </c>
      <c r="E419" s="38">
        <v>223533723</v>
      </c>
    </row>
    <row r="420" spans="4:5" x14ac:dyDescent="0.3">
      <c r="D420" t="s">
        <v>539</v>
      </c>
      <c r="E420" s="38">
        <v>463355978</v>
      </c>
    </row>
    <row r="421" spans="4:5" x14ac:dyDescent="0.3">
      <c r="D421" t="s">
        <v>541</v>
      </c>
      <c r="E421" s="38">
        <v>672835176</v>
      </c>
    </row>
    <row r="422" spans="4:5" x14ac:dyDescent="0.3">
      <c r="D422" t="s">
        <v>538</v>
      </c>
      <c r="E422" s="38">
        <v>1531816447</v>
      </c>
    </row>
    <row r="423" spans="4:5" x14ac:dyDescent="0.3">
      <c r="D423" t="s">
        <v>542</v>
      </c>
      <c r="E423" s="38">
        <v>796046780</v>
      </c>
    </row>
  </sheetData>
  <sortState xmlns:xlrd2="http://schemas.microsoft.com/office/spreadsheetml/2017/richdata2" ref="D141:F148">
    <sortCondition descending="1" ref="E141:E148"/>
  </sortState>
  <mergeCells count="5">
    <mergeCell ref="H349:K349"/>
    <mergeCell ref="C349:C350"/>
    <mergeCell ref="D349:G349"/>
    <mergeCell ref="C301:C302"/>
    <mergeCell ref="C324:C325"/>
  </mergeCells>
  <phoneticPr fontId="16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CB5C-CE13-4D88-BEF7-7F13226772AD}">
  <dimension ref="A1:AJ1190"/>
  <sheetViews>
    <sheetView workbookViewId="0">
      <selection activeCell="U24" sqref="U24"/>
    </sheetView>
  </sheetViews>
  <sheetFormatPr defaultRowHeight="14.4" x14ac:dyDescent="0.3"/>
  <cols>
    <col min="2" max="4" width="0" hidden="1" customWidth="1"/>
    <col min="7" max="7" width="13.33203125" bestFit="1" customWidth="1"/>
    <col min="9" max="15" width="13.33203125" customWidth="1"/>
    <col min="16" max="18" width="13.33203125" hidden="1" customWidth="1"/>
    <col min="21" max="21" width="11" bestFit="1" customWidth="1"/>
    <col min="26" max="26" width="15.109375" customWidth="1"/>
    <col min="32" max="32" width="18" customWidth="1"/>
  </cols>
  <sheetData>
    <row r="1" spans="1:36" x14ac:dyDescent="0.3">
      <c r="A1" t="s">
        <v>120</v>
      </c>
      <c r="O1" t="s">
        <v>119</v>
      </c>
    </row>
    <row r="2" spans="1:36" x14ac:dyDescent="0.3">
      <c r="A2" s="161" t="s">
        <v>582</v>
      </c>
      <c r="B2" s="161" t="s">
        <v>583</v>
      </c>
      <c r="C2" s="161" t="s">
        <v>584</v>
      </c>
      <c r="D2" s="161" t="s">
        <v>585</v>
      </c>
      <c r="E2" s="161" t="s">
        <v>588</v>
      </c>
      <c r="F2" s="161" t="s">
        <v>589</v>
      </c>
      <c r="G2" s="161" t="s">
        <v>587</v>
      </c>
      <c r="H2" s="161" t="s">
        <v>586</v>
      </c>
      <c r="O2" s="161" t="s">
        <v>582</v>
      </c>
      <c r="P2" s="161" t="s">
        <v>583</v>
      </c>
      <c r="Q2" s="161" t="s">
        <v>584</v>
      </c>
      <c r="R2" s="161" t="s">
        <v>585</v>
      </c>
      <c r="S2" s="161" t="s">
        <v>588</v>
      </c>
      <c r="T2" s="161" t="s">
        <v>589</v>
      </c>
      <c r="U2" s="161" t="s">
        <v>587</v>
      </c>
      <c r="V2" s="161" t="s">
        <v>586</v>
      </c>
      <c r="AF2" t="s">
        <v>2</v>
      </c>
      <c r="AJ2" t="s">
        <v>466</v>
      </c>
    </row>
    <row r="3" spans="1:36" x14ac:dyDescent="0.3">
      <c r="A3" s="152">
        <v>45307</v>
      </c>
      <c r="B3" s="153"/>
      <c r="C3" s="153"/>
      <c r="D3" s="153"/>
      <c r="E3" s="153">
        <v>91</v>
      </c>
      <c r="F3" s="154">
        <v>365108</v>
      </c>
      <c r="G3" s="161"/>
      <c r="H3" s="161"/>
      <c r="O3" s="152">
        <v>45307</v>
      </c>
      <c r="P3" s="161"/>
      <c r="Q3" s="161"/>
      <c r="R3" s="161"/>
      <c r="S3" s="149">
        <v>76.3</v>
      </c>
      <c r="T3" s="149">
        <v>6629</v>
      </c>
      <c r="U3" s="161"/>
      <c r="V3" s="161"/>
    </row>
    <row r="4" spans="1:36" x14ac:dyDescent="0.3">
      <c r="A4" s="152">
        <v>45302</v>
      </c>
      <c r="B4" s="153">
        <v>93.3</v>
      </c>
      <c r="C4" s="153">
        <v>93.3</v>
      </c>
      <c r="D4" s="153">
        <v>91.8</v>
      </c>
      <c r="E4" s="153">
        <v>92.1</v>
      </c>
      <c r="F4" s="154">
        <v>526800</v>
      </c>
      <c r="G4" s="155">
        <v>48653056.700000003</v>
      </c>
      <c r="H4" s="153">
        <v>112</v>
      </c>
      <c r="I4" s="155"/>
      <c r="J4" s="155"/>
      <c r="K4" s="155"/>
      <c r="L4" s="155"/>
      <c r="M4" s="155"/>
      <c r="N4" s="155"/>
      <c r="O4" s="148">
        <v>45302</v>
      </c>
      <c r="P4" s="149">
        <v>80</v>
      </c>
      <c r="Q4" s="149">
        <v>80</v>
      </c>
      <c r="R4" s="149">
        <v>79</v>
      </c>
      <c r="S4" s="149">
        <v>79.400000000000006</v>
      </c>
      <c r="T4" s="149">
        <v>969</v>
      </c>
      <c r="U4" s="151">
        <v>77000.100000000006</v>
      </c>
      <c r="V4" s="149">
        <v>26</v>
      </c>
      <c r="Z4" t="s">
        <v>0</v>
      </c>
      <c r="AA4" t="s">
        <v>4</v>
      </c>
      <c r="AB4" t="s">
        <v>5</v>
      </c>
      <c r="AC4" t="s">
        <v>6</v>
      </c>
      <c r="AF4" t="s">
        <v>0</v>
      </c>
      <c r="AG4" t="s">
        <v>4</v>
      </c>
    </row>
    <row r="5" spans="1:36" x14ac:dyDescent="0.3">
      <c r="A5" s="152">
        <v>45301</v>
      </c>
      <c r="B5" s="153">
        <v>94.3</v>
      </c>
      <c r="C5" s="153">
        <v>94.7</v>
      </c>
      <c r="D5" s="153"/>
      <c r="E5" s="153">
        <v>93.3</v>
      </c>
      <c r="F5" s="154">
        <v>132821</v>
      </c>
      <c r="G5" s="155">
        <v>12418747</v>
      </c>
      <c r="H5" s="153">
        <v>66</v>
      </c>
      <c r="I5" s="155"/>
      <c r="J5" s="155"/>
      <c r="K5" s="155"/>
      <c r="L5" s="155"/>
      <c r="M5" s="155"/>
      <c r="N5" s="155"/>
      <c r="O5" s="148">
        <v>45301</v>
      </c>
      <c r="P5" s="149">
        <v>81.2</v>
      </c>
      <c r="Q5" s="149">
        <v>81.2</v>
      </c>
      <c r="R5" s="149">
        <v>79</v>
      </c>
      <c r="S5" s="149">
        <v>80</v>
      </c>
      <c r="T5" s="150">
        <v>13389</v>
      </c>
      <c r="U5" s="151">
        <v>1070681.3</v>
      </c>
      <c r="V5" s="149">
        <v>27</v>
      </c>
      <c r="Z5" s="1">
        <v>45183</v>
      </c>
      <c r="AA5">
        <v>81.099999999999994</v>
      </c>
      <c r="AB5">
        <v>13932</v>
      </c>
      <c r="AC5">
        <v>51733</v>
      </c>
      <c r="AF5" s="1">
        <v>45183</v>
      </c>
      <c r="AG5">
        <v>93</v>
      </c>
      <c r="AJ5" s="156">
        <f>(AG5-AA5)/AG5</f>
        <v>0.12795698924731189</v>
      </c>
    </row>
    <row r="6" spans="1:36" x14ac:dyDescent="0.3">
      <c r="A6" s="152">
        <v>45300</v>
      </c>
      <c r="B6" s="153">
        <v>95</v>
      </c>
      <c r="C6" s="153">
        <v>95</v>
      </c>
      <c r="D6" s="153">
        <v>94</v>
      </c>
      <c r="E6" s="153">
        <v>94.3</v>
      </c>
      <c r="F6" s="154">
        <v>19420</v>
      </c>
      <c r="G6" s="155">
        <v>1829595</v>
      </c>
      <c r="H6" s="153">
        <v>34</v>
      </c>
      <c r="I6" s="155"/>
      <c r="J6" s="155"/>
      <c r="K6" s="155"/>
      <c r="L6" s="155"/>
      <c r="M6" s="155"/>
      <c r="N6" s="155"/>
      <c r="O6" s="148">
        <v>45300</v>
      </c>
      <c r="P6" s="149">
        <v>80.3</v>
      </c>
      <c r="Q6" s="149">
        <v>81</v>
      </c>
      <c r="R6" s="149">
        <v>80.2</v>
      </c>
      <c r="S6" s="149">
        <v>80.5</v>
      </c>
      <c r="T6" s="150">
        <v>54697</v>
      </c>
      <c r="U6" s="151">
        <v>4428190.5999999996</v>
      </c>
      <c r="V6" s="149">
        <v>7</v>
      </c>
      <c r="Z6" s="1">
        <v>45182</v>
      </c>
      <c r="AA6">
        <v>80</v>
      </c>
      <c r="AB6">
        <v>15732</v>
      </c>
      <c r="AC6">
        <v>65312</v>
      </c>
      <c r="AF6" s="1">
        <v>45182</v>
      </c>
      <c r="AG6">
        <v>91.5</v>
      </c>
      <c r="AJ6" s="156">
        <f t="shared" ref="AJ6:AJ69" si="0">(AG6-AA6)/AG6</f>
        <v>0.12568306010928962</v>
      </c>
    </row>
    <row r="7" spans="1:36" x14ac:dyDescent="0.3">
      <c r="A7" s="152">
        <v>45299</v>
      </c>
      <c r="B7" s="153">
        <v>95.2</v>
      </c>
      <c r="C7" s="153">
        <v>95.5</v>
      </c>
      <c r="D7" s="153">
        <v>94</v>
      </c>
      <c r="E7" s="153">
        <v>95</v>
      </c>
      <c r="F7" s="154">
        <v>351582</v>
      </c>
      <c r="G7" s="155">
        <v>33402491.300000001</v>
      </c>
      <c r="H7" s="153">
        <v>115</v>
      </c>
      <c r="I7" s="155"/>
      <c r="J7" s="155"/>
      <c r="K7" s="155"/>
      <c r="L7" s="155"/>
      <c r="M7" s="155"/>
      <c r="N7" s="155"/>
      <c r="O7" s="148">
        <v>45299</v>
      </c>
      <c r="P7" s="149">
        <v>82</v>
      </c>
      <c r="Q7" s="149">
        <v>82</v>
      </c>
      <c r="R7" s="149">
        <v>80</v>
      </c>
      <c r="S7" s="149">
        <v>80.3</v>
      </c>
      <c r="T7" s="150">
        <v>31346</v>
      </c>
      <c r="U7" s="151">
        <v>2524992.7999999998</v>
      </c>
      <c r="V7" s="149">
        <v>47</v>
      </c>
      <c r="Z7" s="1">
        <v>45181</v>
      </c>
      <c r="AA7">
        <v>80.7</v>
      </c>
      <c r="AB7">
        <v>10015</v>
      </c>
      <c r="AC7">
        <v>67892</v>
      </c>
      <c r="AF7" s="1">
        <v>45181</v>
      </c>
      <c r="AG7">
        <v>90.4</v>
      </c>
      <c r="AJ7" s="156">
        <f t="shared" si="0"/>
        <v>0.10730088495575224</v>
      </c>
    </row>
    <row r="8" spans="1:36" x14ac:dyDescent="0.3">
      <c r="A8" s="152">
        <v>45296</v>
      </c>
      <c r="B8" s="153">
        <v>96.2</v>
      </c>
      <c r="C8" s="153">
        <v>96.2</v>
      </c>
      <c r="D8" s="153">
        <v>95</v>
      </c>
      <c r="E8" s="153">
        <v>95.2</v>
      </c>
      <c r="F8" s="154">
        <v>238327</v>
      </c>
      <c r="G8" s="155">
        <v>22689253.100000001</v>
      </c>
      <c r="H8" s="153">
        <v>92</v>
      </c>
      <c r="I8" s="155"/>
      <c r="J8" s="155"/>
      <c r="K8" s="155"/>
      <c r="L8" s="155"/>
      <c r="M8" s="155"/>
      <c r="N8" s="155"/>
      <c r="O8" s="148">
        <v>45296</v>
      </c>
      <c r="P8" s="149">
        <v>81.3</v>
      </c>
      <c r="Q8" s="149">
        <v>82</v>
      </c>
      <c r="R8" s="149">
        <v>81</v>
      </c>
      <c r="S8" s="149">
        <v>82</v>
      </c>
      <c r="T8" s="150">
        <v>52934</v>
      </c>
      <c r="U8" s="151">
        <v>4337986.3</v>
      </c>
      <c r="V8" s="149">
        <v>27</v>
      </c>
      <c r="Z8" s="1">
        <v>45180</v>
      </c>
      <c r="AA8">
        <v>80.2</v>
      </c>
      <c r="AB8">
        <v>7177</v>
      </c>
      <c r="AC8">
        <v>83544</v>
      </c>
      <c r="AF8" s="1">
        <v>45180</v>
      </c>
      <c r="AG8">
        <v>90.5</v>
      </c>
      <c r="AJ8" s="156">
        <f t="shared" si="0"/>
        <v>0.11381215469613257</v>
      </c>
    </row>
    <row r="9" spans="1:36" x14ac:dyDescent="0.3">
      <c r="A9" s="152">
        <v>45295</v>
      </c>
      <c r="B9" s="153">
        <v>96</v>
      </c>
      <c r="C9" s="153">
        <v>96</v>
      </c>
      <c r="D9" s="153">
        <v>95.2</v>
      </c>
      <c r="E9" s="153">
        <v>95.5</v>
      </c>
      <c r="F9" s="154">
        <v>377339</v>
      </c>
      <c r="G9" s="155">
        <v>36051604.100000001</v>
      </c>
      <c r="H9" s="153">
        <v>86</v>
      </c>
      <c r="I9" s="155"/>
      <c r="J9" s="155"/>
      <c r="K9" s="155"/>
      <c r="L9" s="155"/>
      <c r="M9" s="155"/>
      <c r="N9" s="155"/>
      <c r="O9" s="148">
        <v>45295</v>
      </c>
      <c r="P9" s="149">
        <v>82</v>
      </c>
      <c r="Q9" s="149">
        <v>82</v>
      </c>
      <c r="R9" s="149">
        <v>81</v>
      </c>
      <c r="S9" s="149">
        <v>81.3</v>
      </c>
      <c r="T9" s="150">
        <v>13165</v>
      </c>
      <c r="U9" s="151">
        <v>1078630</v>
      </c>
      <c r="V9" s="149">
        <v>10</v>
      </c>
      <c r="Z9" s="1">
        <v>45177</v>
      </c>
      <c r="AA9">
        <v>80.099999999999994</v>
      </c>
      <c r="AB9">
        <v>59258</v>
      </c>
      <c r="AC9">
        <v>86987</v>
      </c>
      <c r="AF9" s="1">
        <v>45177</v>
      </c>
      <c r="AG9">
        <v>92.8</v>
      </c>
      <c r="AJ9" s="156">
        <f t="shared" si="0"/>
        <v>0.1368534482758621</v>
      </c>
    </row>
    <row r="10" spans="1:36" x14ac:dyDescent="0.3">
      <c r="A10" s="152">
        <v>45294</v>
      </c>
      <c r="B10" s="153">
        <v>96</v>
      </c>
      <c r="C10" s="153">
        <v>97.5</v>
      </c>
      <c r="D10" s="153">
        <v>95.7</v>
      </c>
      <c r="E10" s="153">
        <v>95.9</v>
      </c>
      <c r="F10" s="154">
        <v>218632</v>
      </c>
      <c r="G10" s="155">
        <v>20992986.899999999</v>
      </c>
      <c r="H10" s="153">
        <v>144</v>
      </c>
      <c r="I10" s="155"/>
      <c r="J10" s="155"/>
      <c r="K10" s="155"/>
      <c r="L10" s="155"/>
      <c r="M10" s="155"/>
      <c r="N10" s="155"/>
      <c r="O10" s="148">
        <v>45294</v>
      </c>
      <c r="P10" s="149">
        <v>81.7</v>
      </c>
      <c r="Q10" s="149">
        <v>82.5</v>
      </c>
      <c r="R10" s="149">
        <v>81.7</v>
      </c>
      <c r="S10" s="149">
        <v>82</v>
      </c>
      <c r="T10" s="150">
        <v>6325</v>
      </c>
      <c r="U10" s="151">
        <v>519213.1</v>
      </c>
      <c r="V10" s="149">
        <v>21</v>
      </c>
      <c r="Z10" s="1">
        <v>45176</v>
      </c>
      <c r="AA10">
        <v>80.400000000000006</v>
      </c>
      <c r="AB10">
        <v>13061</v>
      </c>
      <c r="AC10">
        <v>87219</v>
      </c>
      <c r="AF10" s="1">
        <v>45176</v>
      </c>
      <c r="AG10">
        <v>92.1</v>
      </c>
      <c r="AJ10" s="156">
        <f t="shared" si="0"/>
        <v>0.1270358306188924</v>
      </c>
    </row>
    <row r="11" spans="1:36" x14ac:dyDescent="0.3">
      <c r="A11" s="152">
        <v>45293</v>
      </c>
      <c r="B11" s="153">
        <v>95.5</v>
      </c>
      <c r="C11" s="153">
        <v>98</v>
      </c>
      <c r="D11" s="153">
        <v>94.5</v>
      </c>
      <c r="E11" s="153">
        <v>96.9</v>
      </c>
      <c r="F11" s="154">
        <v>120591</v>
      </c>
      <c r="G11" s="155">
        <v>11587528.800000001</v>
      </c>
      <c r="H11" s="153">
        <v>218</v>
      </c>
      <c r="I11" s="155"/>
      <c r="J11" s="155"/>
      <c r="K11" s="155"/>
      <c r="L11" s="155"/>
      <c r="M11" s="155"/>
      <c r="N11" s="155"/>
      <c r="O11" s="148">
        <v>45293</v>
      </c>
      <c r="P11" s="149">
        <v>80.900000000000006</v>
      </c>
      <c r="Q11" s="149">
        <v>82.4</v>
      </c>
      <c r="R11" s="149">
        <v>80.2</v>
      </c>
      <c r="S11" s="149">
        <v>81.7</v>
      </c>
      <c r="T11" s="150">
        <v>139364</v>
      </c>
      <c r="U11" s="151">
        <v>11340538.5</v>
      </c>
      <c r="V11" s="149">
        <v>68</v>
      </c>
      <c r="Z11" s="1">
        <v>45175</v>
      </c>
      <c r="AA11">
        <v>80.2</v>
      </c>
      <c r="AB11">
        <v>33515</v>
      </c>
      <c r="AC11">
        <v>97782</v>
      </c>
      <c r="AF11" s="1">
        <v>45175</v>
      </c>
      <c r="AG11">
        <v>92.2</v>
      </c>
      <c r="AJ11" s="156">
        <f t="shared" si="0"/>
        <v>0.13015184381778741</v>
      </c>
    </row>
    <row r="12" spans="1:36" x14ac:dyDescent="0.3">
      <c r="A12" s="152">
        <v>45289</v>
      </c>
      <c r="B12" s="153">
        <v>94.5</v>
      </c>
      <c r="C12" s="153">
        <v>95.6</v>
      </c>
      <c r="D12" s="153">
        <v>94.5</v>
      </c>
      <c r="E12" s="153">
        <v>95.5</v>
      </c>
      <c r="F12" s="154">
        <v>383942</v>
      </c>
      <c r="G12" s="155">
        <v>36541263</v>
      </c>
      <c r="H12" s="153">
        <v>214</v>
      </c>
      <c r="I12" s="155"/>
      <c r="J12" s="155"/>
      <c r="K12" s="155"/>
      <c r="L12" s="155"/>
      <c r="M12" s="155"/>
      <c r="N12" s="155"/>
      <c r="O12" s="148">
        <v>45289</v>
      </c>
      <c r="P12" s="149">
        <v>80.099999999999994</v>
      </c>
      <c r="Q12" s="149">
        <v>80.5</v>
      </c>
      <c r="R12" s="149">
        <v>80</v>
      </c>
      <c r="S12" s="149">
        <v>80.400000000000006</v>
      </c>
      <c r="T12" s="150">
        <v>34482</v>
      </c>
      <c r="U12" s="151">
        <v>2763011.5</v>
      </c>
      <c r="V12" s="149">
        <v>35</v>
      </c>
      <c r="Z12" s="1">
        <v>45174</v>
      </c>
      <c r="AA12">
        <v>83.5</v>
      </c>
      <c r="AB12">
        <v>88078</v>
      </c>
      <c r="AC12">
        <v>112601</v>
      </c>
      <c r="AF12" s="1">
        <v>45174</v>
      </c>
      <c r="AG12">
        <v>95</v>
      </c>
      <c r="AJ12" s="156">
        <f t="shared" si="0"/>
        <v>0.12105263157894737</v>
      </c>
    </row>
    <row r="13" spans="1:36" x14ac:dyDescent="0.3">
      <c r="A13" s="152">
        <v>45288</v>
      </c>
      <c r="B13" s="153">
        <v>93.1</v>
      </c>
      <c r="C13" s="153">
        <v>94.5</v>
      </c>
      <c r="D13" s="153">
        <v>92.9</v>
      </c>
      <c r="E13" s="153">
        <v>94.3</v>
      </c>
      <c r="F13" s="154">
        <v>645804</v>
      </c>
      <c r="G13" s="155">
        <v>60737678.200000003</v>
      </c>
      <c r="H13" s="153">
        <v>246</v>
      </c>
      <c r="I13" s="155"/>
      <c r="J13" s="155"/>
      <c r="K13" s="155"/>
      <c r="L13" s="155"/>
      <c r="M13" s="155"/>
      <c r="N13" s="155"/>
      <c r="O13" s="148">
        <v>45288</v>
      </c>
      <c r="P13" s="149">
        <v>79</v>
      </c>
      <c r="Q13" s="149">
        <v>80</v>
      </c>
      <c r="R13" s="149">
        <v>79</v>
      </c>
      <c r="S13" s="149">
        <v>79.900000000000006</v>
      </c>
      <c r="T13" s="150">
        <v>25275</v>
      </c>
      <c r="U13" s="151">
        <v>2019327.4</v>
      </c>
      <c r="V13" s="149">
        <v>41</v>
      </c>
      <c r="Z13" s="1">
        <v>45173</v>
      </c>
      <c r="AA13">
        <v>81.599999999999994</v>
      </c>
      <c r="AB13">
        <v>21898</v>
      </c>
      <c r="AC13">
        <v>140557</v>
      </c>
      <c r="AF13" s="1">
        <v>45173</v>
      </c>
      <c r="AG13">
        <v>93.3</v>
      </c>
      <c r="AJ13" s="156">
        <f t="shared" si="0"/>
        <v>0.12540192926045018</v>
      </c>
    </row>
    <row r="14" spans="1:36" x14ac:dyDescent="0.3">
      <c r="A14" s="152">
        <v>45287</v>
      </c>
      <c r="B14" s="153">
        <v>92.4</v>
      </c>
      <c r="C14" s="153">
        <v>94</v>
      </c>
      <c r="D14" s="153">
        <v>91.7</v>
      </c>
      <c r="E14" s="153">
        <v>93.1</v>
      </c>
      <c r="F14" s="154">
        <v>78872</v>
      </c>
      <c r="G14" s="155">
        <v>7325471.7000000002</v>
      </c>
      <c r="H14" s="153">
        <v>71</v>
      </c>
      <c r="I14" s="155"/>
      <c r="J14" s="155"/>
      <c r="K14" s="155"/>
      <c r="L14" s="155"/>
      <c r="M14" s="155"/>
      <c r="N14" s="155"/>
      <c r="O14" s="148">
        <v>45287</v>
      </c>
      <c r="P14" s="149">
        <v>79.900000000000006</v>
      </c>
      <c r="Q14" s="149">
        <v>79.900000000000006</v>
      </c>
      <c r="R14" s="149">
        <v>78.900000000000006</v>
      </c>
      <c r="S14" s="149">
        <v>79</v>
      </c>
      <c r="T14" s="150">
        <v>5520</v>
      </c>
      <c r="U14" s="151">
        <v>436025</v>
      </c>
      <c r="V14" s="149">
        <v>9</v>
      </c>
      <c r="Z14" s="1">
        <v>45170</v>
      </c>
      <c r="AA14">
        <v>79.5</v>
      </c>
      <c r="AB14">
        <v>37093</v>
      </c>
      <c r="AC14">
        <v>148066</v>
      </c>
      <c r="AF14" s="1">
        <v>45170</v>
      </c>
      <c r="AG14">
        <v>88.4</v>
      </c>
      <c r="AJ14" s="156">
        <f t="shared" si="0"/>
        <v>0.10067873303167427</v>
      </c>
    </row>
    <row r="15" spans="1:36" x14ac:dyDescent="0.3">
      <c r="A15" s="152">
        <v>45282</v>
      </c>
      <c r="B15" s="153">
        <v>92.8</v>
      </c>
      <c r="C15" s="153">
        <v>93.5</v>
      </c>
      <c r="D15" s="153">
        <v>92.6</v>
      </c>
      <c r="E15" s="153">
        <v>92.9</v>
      </c>
      <c r="F15" s="154">
        <v>120088</v>
      </c>
      <c r="G15" s="155">
        <v>11162754.199999999</v>
      </c>
      <c r="H15" s="153">
        <v>85</v>
      </c>
      <c r="I15" s="155"/>
      <c r="J15" s="155"/>
      <c r="K15" s="155"/>
      <c r="L15" s="155"/>
      <c r="M15" s="155"/>
      <c r="N15" s="155"/>
      <c r="O15" s="148">
        <v>45282</v>
      </c>
      <c r="P15" s="149">
        <v>80</v>
      </c>
      <c r="Q15" s="149">
        <v>80</v>
      </c>
      <c r="R15" s="149">
        <v>78.5</v>
      </c>
      <c r="S15" s="149">
        <v>78.900000000000006</v>
      </c>
      <c r="T15" s="149">
        <v>195</v>
      </c>
      <c r="U15" s="151">
        <v>15423.5</v>
      </c>
      <c r="V15" s="149">
        <v>5</v>
      </c>
      <c r="Z15" s="1">
        <v>45169</v>
      </c>
      <c r="AA15">
        <v>77.3</v>
      </c>
      <c r="AB15">
        <v>18188</v>
      </c>
      <c r="AC15">
        <v>170368</v>
      </c>
      <c r="AF15" s="1">
        <v>45169</v>
      </c>
      <c r="AG15">
        <v>86.6</v>
      </c>
      <c r="AJ15" s="156">
        <f t="shared" si="0"/>
        <v>0.10739030023094685</v>
      </c>
    </row>
    <row r="16" spans="1:36" x14ac:dyDescent="0.3">
      <c r="A16" s="152">
        <v>45281</v>
      </c>
      <c r="B16" s="153">
        <v>93.7</v>
      </c>
      <c r="C16" s="153">
        <v>94.2</v>
      </c>
      <c r="D16" s="153">
        <v>93</v>
      </c>
      <c r="E16" s="153">
        <v>93.2</v>
      </c>
      <c r="F16" s="154">
        <v>82579</v>
      </c>
      <c r="G16" s="155">
        <v>7728981.4000000004</v>
      </c>
      <c r="H16" s="153">
        <v>80</v>
      </c>
      <c r="I16" s="155"/>
      <c r="J16" s="155"/>
      <c r="K16" s="155"/>
      <c r="L16" s="155"/>
      <c r="M16" s="155"/>
      <c r="N16" s="155"/>
      <c r="O16" s="148">
        <v>45281</v>
      </c>
      <c r="P16" s="149">
        <v>80</v>
      </c>
      <c r="Q16" s="149">
        <v>80</v>
      </c>
      <c r="R16" s="149">
        <v>80</v>
      </c>
      <c r="S16" s="149">
        <v>80</v>
      </c>
      <c r="T16" s="149">
        <v>180</v>
      </c>
      <c r="U16" s="151">
        <v>14400</v>
      </c>
      <c r="V16" s="149">
        <v>1</v>
      </c>
      <c r="Z16" s="1">
        <v>45167</v>
      </c>
      <c r="AA16">
        <v>77.7</v>
      </c>
      <c r="AB16">
        <v>3645</v>
      </c>
      <c r="AC16">
        <v>173886</v>
      </c>
      <c r="AF16" s="1">
        <v>45167</v>
      </c>
      <c r="AG16">
        <v>87</v>
      </c>
      <c r="AJ16" s="156">
        <f t="shared" si="0"/>
        <v>0.10689655172413789</v>
      </c>
    </row>
    <row r="17" spans="1:36" x14ac:dyDescent="0.3">
      <c r="A17" s="152">
        <v>45280</v>
      </c>
      <c r="B17" s="153">
        <v>93.6</v>
      </c>
      <c r="C17" s="153">
        <v>94</v>
      </c>
      <c r="D17" s="153">
        <v>93.4</v>
      </c>
      <c r="E17" s="153">
        <v>93.7</v>
      </c>
      <c r="F17" s="154">
        <v>118865</v>
      </c>
      <c r="G17" s="155">
        <v>11158281.1</v>
      </c>
      <c r="H17" s="153">
        <v>73</v>
      </c>
      <c r="I17" s="155"/>
      <c r="J17" s="155"/>
      <c r="K17" s="155"/>
      <c r="L17" s="155"/>
      <c r="M17" s="155"/>
      <c r="N17" s="155"/>
      <c r="O17" s="148">
        <v>45280</v>
      </c>
      <c r="P17" s="149">
        <v>79</v>
      </c>
      <c r="Q17" s="149">
        <v>79.900000000000006</v>
      </c>
      <c r="R17" s="149">
        <v>79</v>
      </c>
      <c r="S17" s="149">
        <v>79.2</v>
      </c>
      <c r="T17" s="150">
        <v>1485</v>
      </c>
      <c r="U17" s="151">
        <v>117686</v>
      </c>
      <c r="V17" s="149">
        <v>11</v>
      </c>
      <c r="Z17" s="1">
        <v>45166</v>
      </c>
      <c r="AA17">
        <v>77.900000000000006</v>
      </c>
      <c r="AB17">
        <v>49578</v>
      </c>
      <c r="AC17">
        <v>192631</v>
      </c>
      <c r="AF17" s="1">
        <v>45166</v>
      </c>
      <c r="AG17">
        <v>87</v>
      </c>
      <c r="AJ17" s="156">
        <f t="shared" si="0"/>
        <v>0.10459770114942522</v>
      </c>
    </row>
    <row r="18" spans="1:36" x14ac:dyDescent="0.3">
      <c r="A18" s="152">
        <v>45279</v>
      </c>
      <c r="B18" s="153">
        <v>93.4</v>
      </c>
      <c r="C18" s="153">
        <v>94.1</v>
      </c>
      <c r="D18" s="153">
        <v>93.4</v>
      </c>
      <c r="E18" s="153">
        <v>93.9</v>
      </c>
      <c r="F18" s="154">
        <v>290798</v>
      </c>
      <c r="G18" s="155">
        <v>27270596.600000001</v>
      </c>
      <c r="H18" s="153">
        <v>184</v>
      </c>
      <c r="I18" s="155"/>
      <c r="J18" s="155"/>
      <c r="K18" s="155"/>
      <c r="L18" s="155"/>
      <c r="M18" s="155"/>
      <c r="N18" s="155"/>
      <c r="O18" s="148">
        <v>45279</v>
      </c>
      <c r="P18" s="149">
        <v>78</v>
      </c>
      <c r="Q18" s="149">
        <v>78.5</v>
      </c>
      <c r="R18" s="149">
        <v>77.5</v>
      </c>
      <c r="S18" s="149">
        <v>78.5</v>
      </c>
      <c r="T18" s="150">
        <v>6497</v>
      </c>
      <c r="U18" s="151">
        <v>508672.3</v>
      </c>
      <c r="V18" s="149">
        <v>14</v>
      </c>
      <c r="Z18" s="1">
        <v>45163</v>
      </c>
      <c r="AA18">
        <v>81</v>
      </c>
      <c r="AB18">
        <v>137426</v>
      </c>
      <c r="AC18">
        <v>218674</v>
      </c>
      <c r="AF18" s="1">
        <v>45163</v>
      </c>
      <c r="AG18">
        <v>87</v>
      </c>
      <c r="AJ18" s="156">
        <f t="shared" si="0"/>
        <v>6.8965517241379309E-2</v>
      </c>
    </row>
    <row r="19" spans="1:36" x14ac:dyDescent="0.3">
      <c r="A19" s="152">
        <v>45278</v>
      </c>
      <c r="B19" s="153">
        <v>93.5</v>
      </c>
      <c r="C19" s="153">
        <v>94.1</v>
      </c>
      <c r="D19" s="153">
        <v>93.4</v>
      </c>
      <c r="E19" s="153">
        <v>93.9</v>
      </c>
      <c r="F19" s="154">
        <v>491469</v>
      </c>
      <c r="G19" s="155">
        <v>46178332.600000001</v>
      </c>
      <c r="H19" s="153">
        <v>197</v>
      </c>
      <c r="I19" s="155"/>
      <c r="J19" s="155"/>
      <c r="K19" s="155"/>
      <c r="L19" s="155"/>
      <c r="M19" s="155"/>
      <c r="N19" s="155"/>
      <c r="O19" s="148">
        <v>45278</v>
      </c>
      <c r="P19" s="149">
        <v>79</v>
      </c>
      <c r="Q19" s="149">
        <v>79</v>
      </c>
      <c r="R19" s="149">
        <v>77.5</v>
      </c>
      <c r="S19" s="149">
        <v>78</v>
      </c>
      <c r="T19" s="150">
        <v>8674</v>
      </c>
      <c r="U19" s="151">
        <v>677073.1</v>
      </c>
      <c r="V19" s="149">
        <v>31</v>
      </c>
      <c r="Z19" s="1">
        <v>45162</v>
      </c>
      <c r="AA19">
        <v>82.5</v>
      </c>
      <c r="AB19">
        <v>267401</v>
      </c>
      <c r="AC19">
        <v>224271</v>
      </c>
      <c r="AF19" s="1">
        <v>45162</v>
      </c>
      <c r="AG19">
        <v>90.2</v>
      </c>
      <c r="AJ19" s="156">
        <f t="shared" si="0"/>
        <v>8.536585365853662E-2</v>
      </c>
    </row>
    <row r="20" spans="1:36" x14ac:dyDescent="0.3">
      <c r="A20" s="152">
        <v>45275</v>
      </c>
      <c r="B20" s="153">
        <v>93.9</v>
      </c>
      <c r="C20" s="153">
        <v>94.5</v>
      </c>
      <c r="D20" s="153">
        <v>93</v>
      </c>
      <c r="E20" s="153">
        <v>93.9</v>
      </c>
      <c r="F20" s="154">
        <v>304923</v>
      </c>
      <c r="G20" s="155">
        <v>28618438.899999999</v>
      </c>
      <c r="H20" s="153">
        <v>155</v>
      </c>
      <c r="I20" s="155"/>
      <c r="J20" s="155"/>
      <c r="K20" s="155"/>
      <c r="L20" s="155"/>
      <c r="M20" s="155"/>
      <c r="N20" s="155"/>
      <c r="O20" s="148">
        <v>45275</v>
      </c>
      <c r="P20" s="149">
        <v>80</v>
      </c>
      <c r="Q20" s="149">
        <v>80.400000000000006</v>
      </c>
      <c r="R20" s="149">
        <v>79</v>
      </c>
      <c r="S20" s="149">
        <v>79.3</v>
      </c>
      <c r="T20" s="150">
        <v>3784</v>
      </c>
      <c r="U20" s="151">
        <v>302353</v>
      </c>
      <c r="V20" s="149">
        <v>42</v>
      </c>
      <c r="Z20" s="1">
        <v>45161</v>
      </c>
      <c r="AA20">
        <v>83</v>
      </c>
      <c r="AB20">
        <v>217608</v>
      </c>
      <c r="AC20">
        <v>249301</v>
      </c>
      <c r="AF20" s="1">
        <v>45161</v>
      </c>
      <c r="AG20">
        <v>93.1</v>
      </c>
      <c r="AJ20" s="156">
        <f t="shared" si="0"/>
        <v>0.10848549946294302</v>
      </c>
    </row>
    <row r="21" spans="1:36" x14ac:dyDescent="0.3">
      <c r="A21" s="152">
        <v>45274</v>
      </c>
      <c r="B21" s="153">
        <v>94</v>
      </c>
      <c r="C21" s="153">
        <v>94.9</v>
      </c>
      <c r="D21" s="153">
        <v>93</v>
      </c>
      <c r="E21" s="153">
        <v>93.6</v>
      </c>
      <c r="F21" s="154">
        <v>96105</v>
      </c>
      <c r="G21" s="155">
        <v>9014210.5999999996</v>
      </c>
      <c r="H21" s="153">
        <v>117</v>
      </c>
      <c r="I21" s="155"/>
      <c r="J21" s="155"/>
      <c r="K21" s="155"/>
      <c r="L21" s="155"/>
      <c r="M21" s="155"/>
      <c r="N21" s="155"/>
      <c r="O21" s="148">
        <v>45274</v>
      </c>
      <c r="P21" s="149">
        <v>81.099999999999994</v>
      </c>
      <c r="Q21" s="149">
        <v>81.2</v>
      </c>
      <c r="R21" s="149">
        <v>80</v>
      </c>
      <c r="S21" s="149">
        <v>80</v>
      </c>
      <c r="T21" s="150">
        <v>6345</v>
      </c>
      <c r="U21" s="151">
        <v>510351.6</v>
      </c>
      <c r="V21" s="149">
        <v>52</v>
      </c>
      <c r="Z21" s="1">
        <v>45160</v>
      </c>
      <c r="AA21">
        <v>80</v>
      </c>
      <c r="AB21">
        <v>54432</v>
      </c>
      <c r="AC21">
        <v>249260</v>
      </c>
      <c r="AF21" s="1">
        <v>45160</v>
      </c>
      <c r="AG21">
        <v>90</v>
      </c>
      <c r="AJ21" s="156">
        <f t="shared" si="0"/>
        <v>0.1111111111111111</v>
      </c>
    </row>
    <row r="22" spans="1:36" x14ac:dyDescent="0.3">
      <c r="A22" s="152">
        <v>45274</v>
      </c>
      <c r="B22" s="153">
        <v>94</v>
      </c>
      <c r="C22" s="153">
        <v>94.9</v>
      </c>
      <c r="D22" s="153">
        <v>93</v>
      </c>
      <c r="E22" s="153">
        <v>93.6</v>
      </c>
      <c r="F22" s="154">
        <v>96105</v>
      </c>
      <c r="G22" s="155">
        <v>9014210.5999999996</v>
      </c>
      <c r="H22" s="153">
        <v>117</v>
      </c>
      <c r="I22" s="155"/>
      <c r="J22" s="155"/>
      <c r="K22" s="155"/>
      <c r="L22" s="155"/>
      <c r="M22" s="155"/>
      <c r="N22" s="155"/>
      <c r="O22" s="148">
        <v>45274</v>
      </c>
      <c r="P22" s="149">
        <v>81.099999999999994</v>
      </c>
      <c r="Q22" s="149">
        <v>81.2</v>
      </c>
      <c r="R22" s="149">
        <v>80</v>
      </c>
      <c r="S22" s="149">
        <v>80</v>
      </c>
      <c r="T22" s="150">
        <v>6345</v>
      </c>
      <c r="U22" s="151">
        <v>510351.6</v>
      </c>
      <c r="V22" s="149">
        <v>52</v>
      </c>
      <c r="Z22" s="1">
        <v>45159</v>
      </c>
      <c r="AA22">
        <v>80.7</v>
      </c>
      <c r="AB22">
        <v>244806</v>
      </c>
      <c r="AC22">
        <v>254574</v>
      </c>
      <c r="AF22" s="1">
        <v>45159</v>
      </c>
      <c r="AG22">
        <v>92.2</v>
      </c>
      <c r="AJ22" s="156">
        <f t="shared" si="0"/>
        <v>0.1247288503253796</v>
      </c>
    </row>
    <row r="23" spans="1:36" x14ac:dyDescent="0.3">
      <c r="A23" s="152">
        <v>45273</v>
      </c>
      <c r="B23" s="153">
        <v>95.4</v>
      </c>
      <c r="C23" s="153">
        <v>95.4</v>
      </c>
      <c r="D23" s="153">
        <v>93.1</v>
      </c>
      <c r="E23" s="153">
        <v>94.4</v>
      </c>
      <c r="F23" s="154">
        <v>273412</v>
      </c>
      <c r="G23" s="155">
        <v>25806365.199999999</v>
      </c>
      <c r="H23" s="153">
        <v>228</v>
      </c>
      <c r="I23" s="155"/>
      <c r="J23" s="155"/>
      <c r="K23" s="155"/>
      <c r="L23" s="155"/>
      <c r="M23" s="155"/>
      <c r="N23" s="155"/>
      <c r="O23" s="148">
        <v>45273</v>
      </c>
      <c r="P23" s="149">
        <v>83.1</v>
      </c>
      <c r="Q23" s="149">
        <v>83.2</v>
      </c>
      <c r="R23" s="149">
        <v>81.2</v>
      </c>
      <c r="S23" s="149">
        <v>81.3</v>
      </c>
      <c r="T23" s="150">
        <v>15618</v>
      </c>
      <c r="U23" s="151">
        <v>1273966.2</v>
      </c>
      <c r="V23" s="149">
        <v>47</v>
      </c>
      <c r="Z23" s="1">
        <v>45156</v>
      </c>
      <c r="AA23">
        <v>82.8</v>
      </c>
      <c r="AB23">
        <v>58814</v>
      </c>
      <c r="AC23">
        <v>246347</v>
      </c>
      <c r="AF23" s="1">
        <v>45156</v>
      </c>
      <c r="AG23">
        <v>93.6</v>
      </c>
      <c r="AJ23" s="156">
        <f t="shared" si="0"/>
        <v>0.11538461538461536</v>
      </c>
    </row>
    <row r="24" spans="1:36" x14ac:dyDescent="0.3">
      <c r="A24" s="152">
        <v>45272</v>
      </c>
      <c r="B24" s="153">
        <v>94.8</v>
      </c>
      <c r="C24" s="153">
        <v>95.1</v>
      </c>
      <c r="D24" s="153">
        <v>94.3</v>
      </c>
      <c r="E24" s="153">
        <v>95</v>
      </c>
      <c r="F24" s="154">
        <v>362550</v>
      </c>
      <c r="G24" s="155">
        <v>34401076.5</v>
      </c>
      <c r="H24" s="153">
        <v>206</v>
      </c>
      <c r="I24" s="155"/>
      <c r="J24" s="155"/>
      <c r="K24" s="155"/>
      <c r="L24" s="155"/>
      <c r="M24" s="155"/>
      <c r="N24" s="155"/>
      <c r="O24" s="148">
        <v>45272</v>
      </c>
      <c r="P24" s="149">
        <v>83.4</v>
      </c>
      <c r="Q24" s="149">
        <v>83.5</v>
      </c>
      <c r="R24" s="149">
        <v>82.1</v>
      </c>
      <c r="S24" s="149">
        <v>83</v>
      </c>
      <c r="T24" s="150">
        <v>37900</v>
      </c>
      <c r="U24" s="151">
        <v>3131496.6</v>
      </c>
      <c r="V24" s="149">
        <v>29</v>
      </c>
      <c r="Z24" s="1">
        <v>45155</v>
      </c>
      <c r="AA24">
        <v>83.7</v>
      </c>
      <c r="AB24">
        <v>62749</v>
      </c>
      <c r="AC24">
        <v>248789</v>
      </c>
      <c r="AF24" s="1">
        <v>45155</v>
      </c>
      <c r="AG24">
        <v>95.9</v>
      </c>
      <c r="AJ24" s="156">
        <f t="shared" si="0"/>
        <v>0.12721584984358708</v>
      </c>
    </row>
    <row r="25" spans="1:36" x14ac:dyDescent="0.3">
      <c r="A25" s="152">
        <v>45271</v>
      </c>
      <c r="B25" s="153">
        <v>94</v>
      </c>
      <c r="C25" s="153">
        <v>94.5</v>
      </c>
      <c r="D25" s="153">
        <v>93.7</v>
      </c>
      <c r="E25" s="153">
        <v>94.2</v>
      </c>
      <c r="F25" s="154">
        <v>350015</v>
      </c>
      <c r="G25" s="155">
        <v>32968742.899999999</v>
      </c>
      <c r="H25" s="153">
        <v>243</v>
      </c>
      <c r="I25" s="155"/>
      <c r="J25" s="155"/>
      <c r="K25" s="155"/>
      <c r="L25" s="155"/>
      <c r="M25" s="155"/>
      <c r="N25" s="155"/>
      <c r="O25" s="148">
        <v>45271</v>
      </c>
      <c r="P25" s="149">
        <v>83.1</v>
      </c>
      <c r="Q25" s="149">
        <v>84.3</v>
      </c>
      <c r="R25" s="149">
        <v>82</v>
      </c>
      <c r="S25" s="149">
        <v>82.1</v>
      </c>
      <c r="T25" s="150">
        <v>66230</v>
      </c>
      <c r="U25" s="151">
        <v>5458625</v>
      </c>
      <c r="V25" s="149">
        <v>76</v>
      </c>
      <c r="Z25" s="1">
        <v>45154</v>
      </c>
      <c r="AA25">
        <v>82.7</v>
      </c>
      <c r="AB25">
        <v>171505</v>
      </c>
      <c r="AC25">
        <v>251140</v>
      </c>
      <c r="AF25" s="1">
        <v>45154</v>
      </c>
      <c r="AG25">
        <v>96.7</v>
      </c>
      <c r="AJ25" s="156">
        <f t="shared" si="0"/>
        <v>0.14477766287487073</v>
      </c>
    </row>
    <row r="26" spans="1:36" x14ac:dyDescent="0.3">
      <c r="A26" s="152">
        <v>45268</v>
      </c>
      <c r="B26" s="153">
        <v>92</v>
      </c>
      <c r="C26" s="153">
        <v>94</v>
      </c>
      <c r="D26" s="153">
        <v>92</v>
      </c>
      <c r="E26" s="153">
        <v>93.9</v>
      </c>
      <c r="F26" s="154">
        <v>235422</v>
      </c>
      <c r="G26" s="155">
        <v>21915448.399999999</v>
      </c>
      <c r="H26" s="153">
        <v>256</v>
      </c>
      <c r="I26" s="155"/>
      <c r="J26" s="155"/>
      <c r="K26" s="155"/>
      <c r="L26" s="155"/>
      <c r="M26" s="155"/>
      <c r="N26" s="155"/>
      <c r="O26" s="148">
        <v>45268</v>
      </c>
      <c r="P26" s="149">
        <v>78.900000000000006</v>
      </c>
      <c r="Q26" s="149">
        <v>81.8</v>
      </c>
      <c r="R26" s="149">
        <v>78.5</v>
      </c>
      <c r="S26" s="149">
        <v>81.099999999999994</v>
      </c>
      <c r="T26" s="150">
        <v>258737</v>
      </c>
      <c r="U26" s="151">
        <v>20692679.399999999</v>
      </c>
      <c r="V26" s="149">
        <v>114</v>
      </c>
      <c r="Z26" s="1">
        <v>45153</v>
      </c>
      <c r="AA26">
        <v>80.3</v>
      </c>
      <c r="AB26">
        <v>255798</v>
      </c>
      <c r="AC26">
        <v>251205</v>
      </c>
      <c r="AF26" s="1">
        <v>45153</v>
      </c>
      <c r="AG26">
        <v>93</v>
      </c>
      <c r="AJ26" s="156">
        <f t="shared" si="0"/>
        <v>0.13655913978494627</v>
      </c>
    </row>
    <row r="27" spans="1:36" x14ac:dyDescent="0.3">
      <c r="A27" s="152">
        <v>45267</v>
      </c>
      <c r="B27" s="153">
        <v>90</v>
      </c>
      <c r="C27" s="153">
        <v>92</v>
      </c>
      <c r="D27" s="153">
        <v>90</v>
      </c>
      <c r="E27" s="153">
        <v>91.8</v>
      </c>
      <c r="F27" s="154">
        <v>207025</v>
      </c>
      <c r="G27" s="155">
        <v>18775995.600000001</v>
      </c>
      <c r="H27" s="153">
        <v>192</v>
      </c>
      <c r="I27" s="155"/>
      <c r="J27" s="155"/>
      <c r="K27" s="155"/>
      <c r="L27" s="155"/>
      <c r="M27" s="155"/>
      <c r="N27" s="155"/>
      <c r="O27" s="148">
        <v>45267</v>
      </c>
      <c r="P27" s="149">
        <v>77.2</v>
      </c>
      <c r="Q27" s="149">
        <v>78.900000000000006</v>
      </c>
      <c r="R27" s="149">
        <v>76.400000000000006</v>
      </c>
      <c r="S27" s="149">
        <v>78.099999999999994</v>
      </c>
      <c r="T27" s="150">
        <v>29659</v>
      </c>
      <c r="U27" s="151">
        <v>2303930</v>
      </c>
      <c r="V27" s="149">
        <v>31</v>
      </c>
      <c r="Z27" s="1">
        <v>45152</v>
      </c>
      <c r="AA27">
        <v>84.8</v>
      </c>
      <c r="AB27">
        <v>507412</v>
      </c>
      <c r="AC27">
        <v>250652</v>
      </c>
      <c r="AF27" s="1">
        <v>45152</v>
      </c>
      <c r="AG27">
        <v>97.1</v>
      </c>
      <c r="AJ27" s="156">
        <f t="shared" si="0"/>
        <v>0.12667353244078267</v>
      </c>
    </row>
    <row r="28" spans="1:36" x14ac:dyDescent="0.3">
      <c r="A28" s="152">
        <v>45266</v>
      </c>
      <c r="B28" s="153">
        <v>90</v>
      </c>
      <c r="C28" s="153">
        <v>90.4</v>
      </c>
      <c r="D28" s="153">
        <v>89.5</v>
      </c>
      <c r="E28" s="153">
        <v>90</v>
      </c>
      <c r="F28" s="154">
        <v>220567</v>
      </c>
      <c r="G28" s="155">
        <v>19847042.600000001</v>
      </c>
      <c r="H28" s="153">
        <v>140</v>
      </c>
      <c r="I28" s="155"/>
      <c r="J28" s="155"/>
      <c r="K28" s="155"/>
      <c r="L28" s="155"/>
      <c r="M28" s="155"/>
      <c r="N28" s="155"/>
      <c r="O28" s="148">
        <v>45266</v>
      </c>
      <c r="P28" s="149">
        <v>77.5</v>
      </c>
      <c r="Q28" s="149">
        <v>78</v>
      </c>
      <c r="R28" s="149">
        <v>76.2</v>
      </c>
      <c r="S28" s="149">
        <v>77.3</v>
      </c>
      <c r="T28" s="150">
        <v>15503</v>
      </c>
      <c r="U28" s="151">
        <v>1200088.8999999999</v>
      </c>
      <c r="V28" s="149">
        <v>20</v>
      </c>
      <c r="Z28" s="1">
        <v>45149</v>
      </c>
      <c r="AA28">
        <v>88.8</v>
      </c>
      <c r="AB28">
        <v>134537</v>
      </c>
      <c r="AC28">
        <v>228545</v>
      </c>
      <c r="AF28" s="1">
        <v>45149</v>
      </c>
      <c r="AG28">
        <v>103</v>
      </c>
      <c r="AJ28" s="156">
        <f t="shared" si="0"/>
        <v>0.13786407766990294</v>
      </c>
    </row>
    <row r="29" spans="1:36" x14ac:dyDescent="0.3">
      <c r="A29" s="152">
        <v>45265</v>
      </c>
      <c r="B29" s="153">
        <v>91</v>
      </c>
      <c r="C29" s="153">
        <v>91.5</v>
      </c>
      <c r="D29" s="153">
        <v>89.1</v>
      </c>
      <c r="E29" s="153">
        <v>89.7</v>
      </c>
      <c r="F29" s="154">
        <v>212106</v>
      </c>
      <c r="G29" s="155">
        <v>19095489.600000001</v>
      </c>
      <c r="H29" s="153">
        <v>167</v>
      </c>
      <c r="I29" s="155"/>
      <c r="J29" s="155"/>
      <c r="K29" s="155"/>
      <c r="L29" s="155"/>
      <c r="M29" s="155"/>
      <c r="N29" s="155"/>
      <c r="O29" s="148">
        <v>45265</v>
      </c>
      <c r="P29" s="149">
        <v>78.900000000000006</v>
      </c>
      <c r="Q29" s="149">
        <v>78.900000000000006</v>
      </c>
      <c r="R29" s="149">
        <v>76</v>
      </c>
      <c r="S29" s="149">
        <v>77.3</v>
      </c>
      <c r="T29" s="149">
        <v>524</v>
      </c>
      <c r="U29" s="151">
        <v>40830</v>
      </c>
      <c r="V29" s="149">
        <v>15</v>
      </c>
      <c r="Z29" s="1">
        <v>45148</v>
      </c>
      <c r="AA29">
        <v>87.2</v>
      </c>
      <c r="AB29">
        <v>371615</v>
      </c>
      <c r="AC29">
        <v>243079</v>
      </c>
      <c r="AF29" s="1">
        <v>45148</v>
      </c>
      <c r="AG29">
        <v>105</v>
      </c>
      <c r="AJ29" s="156">
        <f t="shared" si="0"/>
        <v>0.16952380952380949</v>
      </c>
    </row>
    <row r="30" spans="1:36" x14ac:dyDescent="0.3">
      <c r="A30" s="152">
        <v>45264</v>
      </c>
      <c r="B30" s="153">
        <v>90.8</v>
      </c>
      <c r="C30" s="153">
        <v>92.5</v>
      </c>
      <c r="D30" s="153">
        <v>90.2</v>
      </c>
      <c r="E30" s="153">
        <v>90.9</v>
      </c>
      <c r="F30" s="154">
        <v>92562</v>
      </c>
      <c r="G30" s="155">
        <v>8471215.3000000007</v>
      </c>
      <c r="H30" s="153">
        <v>144</v>
      </c>
      <c r="I30" s="155"/>
      <c r="J30" s="155"/>
      <c r="K30" s="155"/>
      <c r="L30" s="155"/>
      <c r="M30" s="155"/>
      <c r="N30" s="155"/>
      <c r="O30" s="148">
        <v>45264</v>
      </c>
      <c r="P30" s="149">
        <v>78</v>
      </c>
      <c r="Q30" s="149">
        <v>79.5</v>
      </c>
      <c r="R30" s="149">
        <v>77</v>
      </c>
      <c r="S30" s="149">
        <v>78</v>
      </c>
      <c r="T30" s="150">
        <v>89010</v>
      </c>
      <c r="U30" s="151">
        <v>7029783</v>
      </c>
      <c r="V30" s="149">
        <v>48</v>
      </c>
      <c r="Z30" s="1">
        <v>45147</v>
      </c>
      <c r="AA30">
        <v>85</v>
      </c>
      <c r="AB30">
        <v>70965</v>
      </c>
      <c r="AC30">
        <v>247235</v>
      </c>
      <c r="AF30" s="1">
        <v>45147</v>
      </c>
      <c r="AG30">
        <v>104</v>
      </c>
      <c r="AJ30" s="156">
        <f t="shared" si="0"/>
        <v>0.18269230769230768</v>
      </c>
    </row>
    <row r="31" spans="1:36" x14ac:dyDescent="0.3">
      <c r="A31" s="152">
        <v>45261</v>
      </c>
      <c r="B31" s="153">
        <v>87.9</v>
      </c>
      <c r="C31" s="153">
        <v>90.1</v>
      </c>
      <c r="D31" s="153">
        <v>87.9</v>
      </c>
      <c r="E31" s="153">
        <v>89.9</v>
      </c>
      <c r="F31" s="154">
        <v>355311</v>
      </c>
      <c r="G31" s="155">
        <v>31626748.199999999</v>
      </c>
      <c r="H31" s="153">
        <v>187</v>
      </c>
      <c r="I31" s="155"/>
      <c r="J31" s="155"/>
      <c r="K31" s="155"/>
      <c r="L31" s="155"/>
      <c r="M31" s="155"/>
      <c r="N31" s="155"/>
      <c r="O31" s="148">
        <v>45261</v>
      </c>
      <c r="P31" s="149">
        <v>72.5</v>
      </c>
      <c r="Q31" s="149">
        <v>79</v>
      </c>
      <c r="R31" s="149">
        <v>72.5</v>
      </c>
      <c r="S31" s="149">
        <v>76.599999999999994</v>
      </c>
      <c r="T31" s="150">
        <v>34586</v>
      </c>
      <c r="U31" s="151">
        <v>2605151.6</v>
      </c>
      <c r="V31" s="149">
        <v>89</v>
      </c>
      <c r="Z31" s="1">
        <v>45146</v>
      </c>
      <c r="AA31">
        <v>87</v>
      </c>
      <c r="AB31">
        <v>284813</v>
      </c>
      <c r="AC31">
        <v>288548</v>
      </c>
      <c r="AF31" s="1">
        <v>45146</v>
      </c>
      <c r="AG31">
        <v>105</v>
      </c>
      <c r="AJ31" s="156">
        <f t="shared" si="0"/>
        <v>0.17142857142857143</v>
      </c>
    </row>
    <row r="32" spans="1:36" x14ac:dyDescent="0.3">
      <c r="A32" s="152">
        <v>45260</v>
      </c>
      <c r="B32" s="153">
        <v>86</v>
      </c>
      <c r="C32" s="153">
        <v>88</v>
      </c>
      <c r="D32" s="153">
        <v>86</v>
      </c>
      <c r="E32" s="153">
        <v>87.1</v>
      </c>
      <c r="F32" s="154">
        <v>279189</v>
      </c>
      <c r="G32" s="155">
        <v>24247021.899999999</v>
      </c>
      <c r="H32" s="153">
        <v>216</v>
      </c>
      <c r="I32" s="155"/>
      <c r="J32" s="155"/>
      <c r="K32" s="155"/>
      <c r="L32" s="155"/>
      <c r="M32" s="155"/>
      <c r="N32" s="155"/>
      <c r="O32" s="148">
        <v>45260</v>
      </c>
      <c r="P32" s="149">
        <v>73</v>
      </c>
      <c r="Q32" s="149">
        <v>74.900000000000006</v>
      </c>
      <c r="R32" s="149">
        <v>73</v>
      </c>
      <c r="S32" s="149">
        <v>74.7</v>
      </c>
      <c r="T32" s="150">
        <v>17825</v>
      </c>
      <c r="U32" s="151">
        <v>1319883.7</v>
      </c>
      <c r="V32" s="149">
        <v>29</v>
      </c>
      <c r="Z32" s="1">
        <v>45145</v>
      </c>
      <c r="AA32">
        <v>84.8</v>
      </c>
      <c r="AB32">
        <v>440231</v>
      </c>
      <c r="AC32">
        <v>288057</v>
      </c>
      <c r="AF32" s="1">
        <v>45145</v>
      </c>
      <c r="AG32">
        <v>103.5</v>
      </c>
      <c r="AJ32" s="156">
        <f t="shared" si="0"/>
        <v>0.1806763285024155</v>
      </c>
    </row>
    <row r="33" spans="1:36" x14ac:dyDescent="0.3">
      <c r="A33" s="152">
        <v>45259</v>
      </c>
      <c r="B33" s="153">
        <v>85.5</v>
      </c>
      <c r="C33" s="153">
        <v>86</v>
      </c>
      <c r="D33" s="153">
        <v>85.3</v>
      </c>
      <c r="E33" s="153">
        <v>85.7</v>
      </c>
      <c r="F33" s="154">
        <v>274886</v>
      </c>
      <c r="G33" s="155">
        <v>23535337.5</v>
      </c>
      <c r="H33" s="153">
        <v>105</v>
      </c>
      <c r="I33" s="155"/>
      <c r="J33" s="155"/>
      <c r="K33" s="155"/>
      <c r="L33" s="155"/>
      <c r="M33" s="155"/>
      <c r="N33" s="155"/>
      <c r="O33" s="148">
        <v>45259</v>
      </c>
      <c r="P33" s="149">
        <v>71.900000000000006</v>
      </c>
      <c r="Q33" s="149">
        <v>72.8</v>
      </c>
      <c r="R33" s="149">
        <v>71.900000000000006</v>
      </c>
      <c r="S33" s="149">
        <v>72.400000000000006</v>
      </c>
      <c r="T33" s="149">
        <v>310</v>
      </c>
      <c r="U33" s="151">
        <v>22439</v>
      </c>
      <c r="V33" s="149">
        <v>6</v>
      </c>
      <c r="Z33" s="1">
        <v>45142</v>
      </c>
      <c r="AA33">
        <v>83.6</v>
      </c>
      <c r="AB33">
        <v>221372</v>
      </c>
      <c r="AC33">
        <v>271038</v>
      </c>
      <c r="AF33" s="1">
        <v>45142</v>
      </c>
      <c r="AG33">
        <v>101.25</v>
      </c>
      <c r="AJ33" s="156">
        <f t="shared" si="0"/>
        <v>0.17432098765432105</v>
      </c>
    </row>
    <row r="34" spans="1:36" x14ac:dyDescent="0.3">
      <c r="A34" s="152">
        <v>45258</v>
      </c>
      <c r="B34" s="153">
        <v>85.4</v>
      </c>
      <c r="C34" s="153">
        <v>85.5</v>
      </c>
      <c r="D34" s="153">
        <v>84.5</v>
      </c>
      <c r="E34" s="153">
        <v>85.5</v>
      </c>
      <c r="F34" s="154">
        <v>67100</v>
      </c>
      <c r="G34" s="155">
        <v>5730307.5999999996</v>
      </c>
      <c r="H34" s="153">
        <v>68</v>
      </c>
      <c r="I34" s="155"/>
      <c r="J34" s="155"/>
      <c r="K34" s="155"/>
      <c r="L34" s="155"/>
      <c r="M34" s="155"/>
      <c r="N34" s="155"/>
      <c r="O34" s="148">
        <v>45258</v>
      </c>
      <c r="P34" s="149">
        <v>72</v>
      </c>
      <c r="Q34" s="149">
        <v>72.3</v>
      </c>
      <c r="R34" s="149">
        <v>71.8</v>
      </c>
      <c r="S34" s="149">
        <v>72</v>
      </c>
      <c r="T34" s="150">
        <v>31770</v>
      </c>
      <c r="U34" s="151">
        <v>2287600</v>
      </c>
      <c r="V34" s="149">
        <v>38</v>
      </c>
      <c r="Z34" s="1">
        <v>45141</v>
      </c>
      <c r="AA34">
        <v>81.7</v>
      </c>
      <c r="AB34">
        <v>642852</v>
      </c>
      <c r="AC34">
        <v>260260</v>
      </c>
      <c r="AF34" s="1">
        <v>45141</v>
      </c>
      <c r="AG34">
        <v>100</v>
      </c>
      <c r="AJ34" s="156">
        <f t="shared" si="0"/>
        <v>0.18299999999999997</v>
      </c>
    </row>
    <row r="35" spans="1:36" x14ac:dyDescent="0.3">
      <c r="A35" s="152">
        <v>45257</v>
      </c>
      <c r="B35" s="153">
        <v>85</v>
      </c>
      <c r="C35" s="153">
        <v>85.5</v>
      </c>
      <c r="D35" s="153">
        <v>85</v>
      </c>
      <c r="E35" s="153">
        <v>85.3</v>
      </c>
      <c r="F35" s="154">
        <v>300505</v>
      </c>
      <c r="G35" s="155">
        <v>25671130.5</v>
      </c>
      <c r="H35" s="153">
        <v>144</v>
      </c>
      <c r="I35" s="155"/>
      <c r="J35" s="155"/>
      <c r="K35" s="155"/>
      <c r="L35" s="155"/>
      <c r="M35" s="155"/>
      <c r="N35" s="155"/>
      <c r="O35" s="148">
        <v>45257</v>
      </c>
      <c r="P35" s="149">
        <v>74.900000000000006</v>
      </c>
      <c r="Q35" s="149">
        <v>74.900000000000006</v>
      </c>
      <c r="R35" s="149">
        <v>72.2</v>
      </c>
      <c r="S35" s="149">
        <v>72.3</v>
      </c>
      <c r="T35" s="150">
        <v>2634</v>
      </c>
      <c r="U35" s="151">
        <v>191485.3</v>
      </c>
      <c r="V35" s="149">
        <v>28</v>
      </c>
      <c r="Z35" s="1">
        <v>45140</v>
      </c>
      <c r="AA35">
        <v>79.900000000000006</v>
      </c>
      <c r="AB35">
        <v>217003</v>
      </c>
      <c r="AC35">
        <v>234072</v>
      </c>
      <c r="AF35" s="1">
        <v>45140</v>
      </c>
      <c r="AG35">
        <v>95.5</v>
      </c>
      <c r="AJ35" s="156">
        <f t="shared" si="0"/>
        <v>0.16335078534031408</v>
      </c>
    </row>
    <row r="36" spans="1:36" x14ac:dyDescent="0.3">
      <c r="A36" s="152">
        <v>45254</v>
      </c>
      <c r="B36" s="153">
        <v>85.5</v>
      </c>
      <c r="C36" s="153">
        <v>86</v>
      </c>
      <c r="D36" s="153">
        <v>84.5</v>
      </c>
      <c r="E36" s="153">
        <v>84.7</v>
      </c>
      <c r="F36" s="154">
        <v>120311</v>
      </c>
      <c r="G36" s="155">
        <v>10247860.5</v>
      </c>
      <c r="H36" s="153">
        <v>79</v>
      </c>
      <c r="I36" s="155"/>
      <c r="J36" s="155"/>
      <c r="K36" s="155"/>
      <c r="L36" s="155"/>
      <c r="M36" s="155"/>
      <c r="N36" s="155"/>
      <c r="O36" s="148">
        <v>45254</v>
      </c>
      <c r="P36" s="149">
        <v>73</v>
      </c>
      <c r="Q36" s="149">
        <v>73.5</v>
      </c>
      <c r="R36" s="149">
        <v>72.5</v>
      </c>
      <c r="S36" s="149">
        <v>73.5</v>
      </c>
      <c r="T36" s="150">
        <v>57012</v>
      </c>
      <c r="U36" s="151">
        <v>4180619.9</v>
      </c>
      <c r="V36" s="149">
        <v>39</v>
      </c>
      <c r="Z36" s="1">
        <v>45138</v>
      </c>
      <c r="AA36">
        <v>77.8</v>
      </c>
      <c r="AB36">
        <v>134145</v>
      </c>
      <c r="AC36">
        <v>227943</v>
      </c>
      <c r="AF36" s="1">
        <v>45138</v>
      </c>
      <c r="AG36">
        <v>92.9</v>
      </c>
      <c r="AJ36" s="156">
        <f t="shared" si="0"/>
        <v>0.1625403659849301</v>
      </c>
    </row>
    <row r="37" spans="1:36" x14ac:dyDescent="0.3">
      <c r="A37" s="152">
        <v>45253</v>
      </c>
      <c r="B37" s="153">
        <v>85.2</v>
      </c>
      <c r="C37" s="153">
        <v>85.5</v>
      </c>
      <c r="D37" s="153">
        <v>84</v>
      </c>
      <c r="E37" s="153">
        <v>85</v>
      </c>
      <c r="F37" s="154">
        <v>212762</v>
      </c>
      <c r="G37" s="155">
        <v>18080880.800000001</v>
      </c>
      <c r="H37" s="153">
        <v>85</v>
      </c>
      <c r="I37" s="155"/>
      <c r="J37" s="155"/>
      <c r="K37" s="155"/>
      <c r="L37" s="155"/>
      <c r="M37" s="155"/>
      <c r="N37" s="155"/>
      <c r="O37" s="148">
        <v>45253</v>
      </c>
      <c r="P37" s="149">
        <v>72</v>
      </c>
      <c r="Q37" s="149">
        <v>73</v>
      </c>
      <c r="R37" s="149">
        <v>72</v>
      </c>
      <c r="S37" s="149">
        <v>72</v>
      </c>
      <c r="T37" s="150">
        <v>31623</v>
      </c>
      <c r="U37" s="151">
        <v>2276860</v>
      </c>
      <c r="V37" s="149">
        <v>12</v>
      </c>
      <c r="Z37" s="1">
        <v>45135</v>
      </c>
      <c r="AA37">
        <v>77</v>
      </c>
      <c r="AB37">
        <v>121388</v>
      </c>
      <c r="AC37">
        <v>222840</v>
      </c>
      <c r="AF37" s="1">
        <v>45135</v>
      </c>
      <c r="AG37">
        <v>92.7</v>
      </c>
      <c r="AJ37" s="156">
        <f t="shared" si="0"/>
        <v>0.16936353829557715</v>
      </c>
    </row>
    <row r="38" spans="1:36" x14ac:dyDescent="0.3">
      <c r="A38" s="152">
        <v>45252</v>
      </c>
      <c r="B38" s="153">
        <v>82.7</v>
      </c>
      <c r="C38" s="153">
        <v>85</v>
      </c>
      <c r="D38" s="153">
        <v>82.7</v>
      </c>
      <c r="E38" s="153">
        <v>84.7</v>
      </c>
      <c r="F38" s="154">
        <v>415563</v>
      </c>
      <c r="G38" s="155">
        <v>35027780.299999997</v>
      </c>
      <c r="H38" s="153">
        <v>135</v>
      </c>
      <c r="I38" s="155"/>
      <c r="J38" s="155"/>
      <c r="K38" s="155"/>
      <c r="L38" s="155"/>
      <c r="M38" s="155"/>
      <c r="N38" s="155"/>
      <c r="O38" s="148">
        <v>45252</v>
      </c>
      <c r="P38" s="149">
        <v>72.400000000000006</v>
      </c>
      <c r="Q38" s="149">
        <v>72.400000000000006</v>
      </c>
      <c r="R38" s="149">
        <v>72</v>
      </c>
      <c r="S38" s="149">
        <v>72</v>
      </c>
      <c r="T38" s="149">
        <v>820</v>
      </c>
      <c r="U38" s="151">
        <v>59160</v>
      </c>
      <c r="V38" s="149">
        <v>8</v>
      </c>
      <c r="Z38" s="1">
        <v>45134</v>
      </c>
      <c r="AA38">
        <v>77.8</v>
      </c>
      <c r="AB38">
        <v>95456</v>
      </c>
      <c r="AC38">
        <v>217639</v>
      </c>
      <c r="AF38" s="1">
        <v>45134</v>
      </c>
      <c r="AG38">
        <v>92.6</v>
      </c>
      <c r="AJ38" s="156">
        <f t="shared" si="0"/>
        <v>0.15982721382289414</v>
      </c>
    </row>
    <row r="39" spans="1:36" x14ac:dyDescent="0.3">
      <c r="A39" s="152">
        <v>45251</v>
      </c>
      <c r="B39" s="153">
        <v>83.4</v>
      </c>
      <c r="C39" s="153">
        <v>84.5</v>
      </c>
      <c r="D39" s="153">
        <v>83</v>
      </c>
      <c r="E39" s="153">
        <v>84</v>
      </c>
      <c r="F39" s="154">
        <v>252339</v>
      </c>
      <c r="G39" s="155">
        <v>21187756</v>
      </c>
      <c r="H39" s="153">
        <v>104</v>
      </c>
      <c r="I39" s="155"/>
      <c r="J39" s="155"/>
      <c r="K39" s="155"/>
      <c r="L39" s="155"/>
      <c r="M39" s="155"/>
      <c r="N39" s="155"/>
      <c r="O39" s="148">
        <v>45251</v>
      </c>
      <c r="P39" s="149">
        <v>72.3</v>
      </c>
      <c r="Q39" s="149">
        <v>72.400000000000006</v>
      </c>
      <c r="R39" s="149">
        <v>71</v>
      </c>
      <c r="S39" s="149">
        <v>71.099999999999994</v>
      </c>
      <c r="T39" s="150">
        <v>5971</v>
      </c>
      <c r="U39" s="151">
        <v>429231.2</v>
      </c>
      <c r="V39" s="149">
        <v>42</v>
      </c>
      <c r="Z39" s="1">
        <v>45133</v>
      </c>
      <c r="AA39">
        <v>73.5</v>
      </c>
      <c r="AB39">
        <v>98015</v>
      </c>
      <c r="AC39">
        <v>224909</v>
      </c>
      <c r="AF39" s="1">
        <v>45133</v>
      </c>
      <c r="AG39">
        <v>88.4</v>
      </c>
      <c r="AJ39" s="156">
        <f t="shared" si="0"/>
        <v>0.16855203619909509</v>
      </c>
    </row>
    <row r="40" spans="1:36" x14ac:dyDescent="0.3">
      <c r="A40" s="152">
        <v>45250</v>
      </c>
      <c r="B40" s="153">
        <v>85</v>
      </c>
      <c r="C40" s="153">
        <v>85</v>
      </c>
      <c r="D40" s="153">
        <v>82.9</v>
      </c>
      <c r="E40" s="153">
        <v>83</v>
      </c>
      <c r="F40" s="154">
        <v>142711</v>
      </c>
      <c r="G40" s="155">
        <v>11943436.300000001</v>
      </c>
      <c r="H40" s="153">
        <v>100</v>
      </c>
      <c r="I40" s="155"/>
      <c r="J40" s="155"/>
      <c r="K40" s="155"/>
      <c r="L40" s="155"/>
      <c r="M40" s="155"/>
      <c r="N40" s="155"/>
      <c r="O40" s="148">
        <v>45250</v>
      </c>
      <c r="P40" s="149">
        <v>72.3</v>
      </c>
      <c r="Q40" s="149">
        <v>73.5</v>
      </c>
      <c r="R40" s="149">
        <v>72.099999999999994</v>
      </c>
      <c r="S40" s="149">
        <v>72.3</v>
      </c>
      <c r="T40" s="150">
        <v>6008</v>
      </c>
      <c r="U40" s="151">
        <v>433871</v>
      </c>
      <c r="V40" s="149">
        <v>32</v>
      </c>
      <c r="Z40" s="1">
        <v>45132</v>
      </c>
      <c r="AA40">
        <v>74</v>
      </c>
      <c r="AB40">
        <v>172478</v>
      </c>
      <c r="AC40">
        <v>239312</v>
      </c>
      <c r="AF40" s="1">
        <v>45132</v>
      </c>
      <c r="AG40">
        <v>88.8</v>
      </c>
      <c r="AJ40" s="156">
        <f t="shared" si="0"/>
        <v>0.16666666666666663</v>
      </c>
    </row>
    <row r="41" spans="1:36" x14ac:dyDescent="0.3">
      <c r="A41" s="152">
        <v>45247</v>
      </c>
      <c r="B41" s="153">
        <v>85.5</v>
      </c>
      <c r="C41" s="153">
        <v>85.5</v>
      </c>
      <c r="D41" s="153">
        <v>83.8</v>
      </c>
      <c r="E41" s="153">
        <v>84.5</v>
      </c>
      <c r="F41" s="154">
        <v>253390</v>
      </c>
      <c r="G41" s="155">
        <v>21421631.800000001</v>
      </c>
      <c r="H41" s="153">
        <v>74</v>
      </c>
      <c r="I41" s="155"/>
      <c r="J41" s="155"/>
      <c r="K41" s="155"/>
      <c r="L41" s="155"/>
      <c r="M41" s="155"/>
      <c r="N41" s="155"/>
      <c r="O41" s="148">
        <v>45247</v>
      </c>
      <c r="P41" s="149">
        <v>73.5</v>
      </c>
      <c r="Q41" s="149">
        <v>73.5</v>
      </c>
      <c r="R41" s="149">
        <v>73</v>
      </c>
      <c r="S41" s="149">
        <v>73</v>
      </c>
      <c r="T41" s="150">
        <v>2109</v>
      </c>
      <c r="U41" s="151">
        <v>154106.6</v>
      </c>
      <c r="V41" s="149">
        <v>18</v>
      </c>
      <c r="Z41" s="1">
        <v>45131</v>
      </c>
      <c r="AA41">
        <v>74.099999999999994</v>
      </c>
      <c r="AB41">
        <v>247500</v>
      </c>
      <c r="AC41">
        <v>322624</v>
      </c>
      <c r="AF41" s="1">
        <v>45131</v>
      </c>
      <c r="AG41">
        <v>89.8</v>
      </c>
      <c r="AJ41" s="156">
        <f t="shared" si="0"/>
        <v>0.17483296213808466</v>
      </c>
    </row>
    <row r="42" spans="1:36" x14ac:dyDescent="0.3">
      <c r="A42" s="152">
        <v>45246</v>
      </c>
      <c r="B42" s="153">
        <v>84.5</v>
      </c>
      <c r="C42" s="153">
        <v>85.9</v>
      </c>
      <c r="D42" s="153">
        <v>82.5</v>
      </c>
      <c r="E42" s="153">
        <v>84.5</v>
      </c>
      <c r="F42" s="154">
        <v>97817</v>
      </c>
      <c r="G42" s="155">
        <v>8179077.2999999998</v>
      </c>
      <c r="H42" s="153">
        <v>108</v>
      </c>
      <c r="I42" s="155"/>
      <c r="J42" s="155"/>
      <c r="K42" s="155"/>
      <c r="L42" s="155"/>
      <c r="M42" s="155"/>
      <c r="N42" s="155"/>
      <c r="O42" s="148">
        <v>45246</v>
      </c>
      <c r="P42" s="149">
        <v>74</v>
      </c>
      <c r="Q42" s="149">
        <v>74.900000000000006</v>
      </c>
      <c r="R42" s="149">
        <v>73.599999999999994</v>
      </c>
      <c r="S42" s="149">
        <v>74</v>
      </c>
      <c r="T42" s="150">
        <v>3501</v>
      </c>
      <c r="U42" s="151">
        <v>258957</v>
      </c>
      <c r="V42" s="149">
        <v>15</v>
      </c>
      <c r="Z42" s="1">
        <v>45128</v>
      </c>
      <c r="AA42">
        <v>72</v>
      </c>
      <c r="AB42">
        <v>175810</v>
      </c>
      <c r="AC42">
        <v>310686</v>
      </c>
      <c r="AF42" s="1">
        <v>45128</v>
      </c>
      <c r="AG42">
        <v>88.2</v>
      </c>
      <c r="AJ42" s="156">
        <f t="shared" si="0"/>
        <v>0.18367346938775514</v>
      </c>
    </row>
    <row r="43" spans="1:36" x14ac:dyDescent="0.3">
      <c r="A43" s="152">
        <v>45245</v>
      </c>
      <c r="B43" s="153">
        <v>86.5</v>
      </c>
      <c r="C43" s="153">
        <v>86.5</v>
      </c>
      <c r="D43" s="153">
        <v>83</v>
      </c>
      <c r="E43" s="153">
        <v>84.9</v>
      </c>
      <c r="F43" s="154">
        <v>48845</v>
      </c>
      <c r="G43" s="155">
        <v>4141795.4</v>
      </c>
      <c r="H43" s="153">
        <v>120</v>
      </c>
      <c r="I43" s="155"/>
      <c r="J43" s="155"/>
      <c r="K43" s="155"/>
      <c r="L43" s="155"/>
      <c r="M43" s="155"/>
      <c r="N43" s="155"/>
      <c r="O43" s="148">
        <v>45245</v>
      </c>
      <c r="P43" s="149">
        <v>76.5</v>
      </c>
      <c r="Q43" s="149">
        <v>76.5</v>
      </c>
      <c r="R43" s="149">
        <v>73.599999999999994</v>
      </c>
      <c r="S43" s="149">
        <v>74.900000000000006</v>
      </c>
      <c r="T43" s="150">
        <v>14935</v>
      </c>
      <c r="U43" s="151">
        <v>1128050.3999999999</v>
      </c>
      <c r="V43" s="149">
        <v>21</v>
      </c>
      <c r="Z43" s="1">
        <v>45127</v>
      </c>
      <c r="AA43">
        <v>71.900000000000006</v>
      </c>
      <c r="AB43">
        <v>352538</v>
      </c>
      <c r="AC43">
        <v>300573</v>
      </c>
      <c r="AF43" s="1">
        <v>45127</v>
      </c>
      <c r="AG43">
        <v>88</v>
      </c>
      <c r="AJ43" s="156">
        <f t="shared" si="0"/>
        <v>0.1829545454545454</v>
      </c>
    </row>
    <row r="44" spans="1:36" x14ac:dyDescent="0.3">
      <c r="A44" s="152">
        <v>45244</v>
      </c>
      <c r="B44" s="153">
        <v>87.4</v>
      </c>
      <c r="C44" s="153">
        <v>87.7</v>
      </c>
      <c r="D44" s="153">
        <v>85</v>
      </c>
      <c r="E44" s="153">
        <v>85.1</v>
      </c>
      <c r="F44" s="154">
        <v>67953</v>
      </c>
      <c r="G44" s="155">
        <v>5880130</v>
      </c>
      <c r="H44" s="153">
        <v>126</v>
      </c>
      <c r="I44" s="155"/>
      <c r="J44" s="155"/>
      <c r="K44" s="155"/>
      <c r="L44" s="155"/>
      <c r="M44" s="155"/>
      <c r="N44" s="155"/>
      <c r="O44" s="148">
        <v>45244</v>
      </c>
      <c r="P44" s="149">
        <v>76.5</v>
      </c>
      <c r="Q44" s="149">
        <v>76.5</v>
      </c>
      <c r="R44" s="149">
        <v>74.8</v>
      </c>
      <c r="S44" s="149">
        <v>75.099999999999994</v>
      </c>
      <c r="T44" s="150">
        <v>7258</v>
      </c>
      <c r="U44" s="151">
        <v>551118.1</v>
      </c>
      <c r="V44" s="149">
        <v>21</v>
      </c>
      <c r="Z44" s="1">
        <v>45126</v>
      </c>
      <c r="AA44">
        <v>71.900000000000006</v>
      </c>
      <c r="AB44">
        <v>433963</v>
      </c>
      <c r="AC44">
        <v>280300</v>
      </c>
      <c r="AF44" s="1">
        <v>45126</v>
      </c>
      <c r="AG44">
        <v>89.1</v>
      </c>
      <c r="AJ44" s="156">
        <f t="shared" si="0"/>
        <v>0.19304152637485961</v>
      </c>
    </row>
    <row r="45" spans="1:36" x14ac:dyDescent="0.3">
      <c r="A45" s="152">
        <v>45243</v>
      </c>
      <c r="B45" s="153">
        <v>86.2</v>
      </c>
      <c r="C45" s="153">
        <v>87.5</v>
      </c>
      <c r="D45" s="153">
        <v>85.5</v>
      </c>
      <c r="E45" s="153">
        <v>87</v>
      </c>
      <c r="F45" s="154">
        <v>85238</v>
      </c>
      <c r="G45" s="155">
        <v>7414841.0999999996</v>
      </c>
      <c r="H45" s="153">
        <v>66</v>
      </c>
      <c r="I45" s="155"/>
      <c r="J45" s="155"/>
      <c r="K45" s="155"/>
      <c r="L45" s="155"/>
      <c r="M45" s="155"/>
      <c r="N45" s="155"/>
      <c r="O45" s="148">
        <v>45243</v>
      </c>
      <c r="P45" s="149">
        <v>76.400000000000006</v>
      </c>
      <c r="Q45" s="149">
        <v>76.5</v>
      </c>
      <c r="R45" s="149">
        <v>76</v>
      </c>
      <c r="S45" s="149">
        <v>76.5</v>
      </c>
      <c r="T45" s="150">
        <v>16475</v>
      </c>
      <c r="U45" s="151">
        <v>1259377.5</v>
      </c>
      <c r="V45" s="149">
        <v>24</v>
      </c>
      <c r="Z45" s="1">
        <v>45125</v>
      </c>
      <c r="AA45">
        <v>70</v>
      </c>
      <c r="AB45">
        <v>690660</v>
      </c>
      <c r="AC45">
        <v>252218</v>
      </c>
      <c r="AF45" s="1">
        <v>45125</v>
      </c>
      <c r="AG45">
        <v>86.7</v>
      </c>
      <c r="AJ45" s="156">
        <f t="shared" si="0"/>
        <v>0.1926182237600923</v>
      </c>
    </row>
    <row r="46" spans="1:36" x14ac:dyDescent="0.3">
      <c r="A46" s="152">
        <v>45240</v>
      </c>
      <c r="B46" s="153">
        <v>86.7</v>
      </c>
      <c r="C46" s="153">
        <v>87</v>
      </c>
      <c r="D46" s="153">
        <v>85.5</v>
      </c>
      <c r="E46" s="153">
        <v>86</v>
      </c>
      <c r="F46" s="154">
        <v>835451</v>
      </c>
      <c r="G46" s="155">
        <v>71833313.200000003</v>
      </c>
      <c r="H46" s="153">
        <v>158</v>
      </c>
      <c r="I46" s="155"/>
      <c r="J46" s="155"/>
      <c r="K46" s="155"/>
      <c r="L46" s="155"/>
      <c r="M46" s="155"/>
      <c r="N46" s="155"/>
      <c r="O46" s="148">
        <v>45240</v>
      </c>
      <c r="P46" s="149">
        <v>76.900000000000006</v>
      </c>
      <c r="Q46" s="149">
        <v>77</v>
      </c>
      <c r="R46" s="149">
        <v>75.099999999999994</v>
      </c>
      <c r="S46" s="149">
        <v>76.3</v>
      </c>
      <c r="T46" s="150">
        <v>31353</v>
      </c>
      <c r="U46" s="151">
        <v>2402859.6</v>
      </c>
      <c r="V46" s="149">
        <v>15</v>
      </c>
      <c r="Z46" s="1">
        <v>45124</v>
      </c>
      <c r="AA46">
        <v>68.599999999999994</v>
      </c>
      <c r="AB46">
        <v>277449</v>
      </c>
      <c r="AC46">
        <v>206707</v>
      </c>
      <c r="AF46" s="1">
        <v>45124</v>
      </c>
      <c r="AG46">
        <v>84.5</v>
      </c>
      <c r="AJ46" s="156">
        <f t="shared" si="0"/>
        <v>0.18816568047337284</v>
      </c>
    </row>
    <row r="47" spans="1:36" x14ac:dyDescent="0.3">
      <c r="A47" s="152">
        <v>45239</v>
      </c>
      <c r="B47" s="153">
        <v>88</v>
      </c>
      <c r="C47" s="153">
        <v>88</v>
      </c>
      <c r="D47" s="153">
        <v>86</v>
      </c>
      <c r="E47" s="153">
        <v>86.5</v>
      </c>
      <c r="F47" s="154">
        <v>709199</v>
      </c>
      <c r="G47" s="155">
        <v>61421642.899999999</v>
      </c>
      <c r="H47" s="153">
        <v>100</v>
      </c>
      <c r="I47" s="155"/>
      <c r="J47" s="155"/>
      <c r="K47" s="155"/>
      <c r="L47" s="155"/>
      <c r="M47" s="155"/>
      <c r="N47" s="155"/>
      <c r="O47" s="148">
        <v>45239</v>
      </c>
      <c r="P47" s="149">
        <v>77</v>
      </c>
      <c r="Q47" s="149">
        <v>77</v>
      </c>
      <c r="R47" s="149">
        <v>74.5</v>
      </c>
      <c r="S47" s="149">
        <v>76.7</v>
      </c>
      <c r="T47" s="150">
        <v>102511</v>
      </c>
      <c r="U47" s="151">
        <v>7880737.5999999996</v>
      </c>
      <c r="V47" s="149">
        <v>43</v>
      </c>
      <c r="Z47" s="1">
        <v>45121</v>
      </c>
      <c r="AA47">
        <v>65.8</v>
      </c>
      <c r="AB47">
        <v>184946</v>
      </c>
      <c r="AC47">
        <v>190073</v>
      </c>
      <c r="AF47" s="1">
        <v>45121</v>
      </c>
      <c r="AG47">
        <v>80.2</v>
      </c>
      <c r="AJ47" s="156">
        <f t="shared" si="0"/>
        <v>0.17955112219451377</v>
      </c>
    </row>
    <row r="48" spans="1:36" x14ac:dyDescent="0.3">
      <c r="A48" s="152">
        <v>45238</v>
      </c>
      <c r="B48" s="153">
        <v>85</v>
      </c>
      <c r="C48" s="153">
        <v>88.9</v>
      </c>
      <c r="D48" s="153">
        <v>85</v>
      </c>
      <c r="E48" s="153">
        <v>86.9</v>
      </c>
      <c r="F48" s="154">
        <v>440085</v>
      </c>
      <c r="G48" s="155">
        <v>38474375.100000001</v>
      </c>
      <c r="H48" s="153">
        <v>146</v>
      </c>
      <c r="I48" s="155"/>
      <c r="J48" s="155"/>
      <c r="K48" s="155"/>
      <c r="L48" s="155"/>
      <c r="M48" s="155"/>
      <c r="N48" s="155"/>
      <c r="O48" s="148">
        <v>45238</v>
      </c>
      <c r="P48" s="149">
        <v>75.5</v>
      </c>
      <c r="Q48" s="149">
        <v>77</v>
      </c>
      <c r="R48" s="149">
        <v>74.099999999999994</v>
      </c>
      <c r="S48" s="149">
        <v>75.3</v>
      </c>
      <c r="T48" s="150">
        <v>95385</v>
      </c>
      <c r="U48" s="151">
        <v>7190293.7000000002</v>
      </c>
      <c r="V48" s="149">
        <v>35</v>
      </c>
      <c r="Z48" s="1">
        <v>45120</v>
      </c>
      <c r="AA48">
        <v>65.7</v>
      </c>
      <c r="AB48">
        <v>59697</v>
      </c>
      <c r="AC48">
        <v>178029</v>
      </c>
      <c r="AF48" s="1">
        <v>45120</v>
      </c>
      <c r="AG48">
        <v>78.3</v>
      </c>
      <c r="AJ48" s="156">
        <f t="shared" si="0"/>
        <v>0.160919540229885</v>
      </c>
    </row>
    <row r="49" spans="1:36" x14ac:dyDescent="0.3">
      <c r="A49" s="152">
        <v>45237</v>
      </c>
      <c r="B49" s="153">
        <v>84.9</v>
      </c>
      <c r="C49" s="153">
        <v>86</v>
      </c>
      <c r="D49" s="153">
        <v>84</v>
      </c>
      <c r="E49" s="153">
        <v>85</v>
      </c>
      <c r="F49" s="154">
        <v>202295</v>
      </c>
      <c r="G49" s="155">
        <v>17089444.899999999</v>
      </c>
      <c r="H49" s="153">
        <v>101</v>
      </c>
      <c r="I49" s="155"/>
      <c r="J49" s="155"/>
      <c r="K49" s="155"/>
      <c r="L49" s="155"/>
      <c r="M49" s="155"/>
      <c r="N49" s="155"/>
      <c r="O49" s="148">
        <v>45237</v>
      </c>
      <c r="P49" s="149">
        <v>74.099999999999994</v>
      </c>
      <c r="Q49" s="149">
        <v>75.900000000000006</v>
      </c>
      <c r="R49" s="149">
        <v>74.099999999999994</v>
      </c>
      <c r="S49" s="149">
        <v>75.599999999999994</v>
      </c>
      <c r="T49" s="149">
        <v>286</v>
      </c>
      <c r="U49" s="151">
        <v>21582.5</v>
      </c>
      <c r="V49" s="149">
        <v>9</v>
      </c>
      <c r="Z49" s="1">
        <v>45119</v>
      </c>
      <c r="AA49">
        <v>65.900000000000006</v>
      </c>
      <c r="AB49">
        <v>250036</v>
      </c>
      <c r="AC49">
        <v>174994</v>
      </c>
      <c r="AF49" s="1">
        <v>45119</v>
      </c>
      <c r="AG49">
        <v>80.5</v>
      </c>
      <c r="AJ49" s="156">
        <f t="shared" si="0"/>
        <v>0.18136645962732911</v>
      </c>
    </row>
    <row r="50" spans="1:36" x14ac:dyDescent="0.3">
      <c r="A50" s="152">
        <v>45236</v>
      </c>
      <c r="B50" s="153">
        <v>84.4</v>
      </c>
      <c r="C50" s="153">
        <v>85.9</v>
      </c>
      <c r="D50" s="153">
        <v>83.9</v>
      </c>
      <c r="E50" s="153">
        <v>84</v>
      </c>
      <c r="F50" s="154">
        <v>40550</v>
      </c>
      <c r="G50" s="155">
        <v>3420565.5</v>
      </c>
      <c r="H50" s="153">
        <v>79</v>
      </c>
      <c r="I50" s="155"/>
      <c r="J50" s="155"/>
      <c r="K50" s="155"/>
      <c r="L50" s="155"/>
      <c r="M50" s="155"/>
      <c r="N50" s="155"/>
      <c r="O50" s="148">
        <v>45236</v>
      </c>
      <c r="P50" s="149">
        <v>74.099999999999994</v>
      </c>
      <c r="Q50" s="149">
        <v>74.099999999999994</v>
      </c>
      <c r="R50" s="149">
        <v>73</v>
      </c>
      <c r="S50" s="149">
        <v>73</v>
      </c>
      <c r="T50" s="149">
        <v>712</v>
      </c>
      <c r="U50" s="151">
        <v>52009.1</v>
      </c>
      <c r="V50" s="149">
        <v>10</v>
      </c>
      <c r="Z50" s="1">
        <v>45118</v>
      </c>
      <c r="AA50">
        <v>64.599999999999994</v>
      </c>
      <c r="AB50">
        <v>125057</v>
      </c>
      <c r="AC50">
        <v>160598</v>
      </c>
      <c r="AF50" s="1">
        <v>45118</v>
      </c>
      <c r="AG50">
        <v>78</v>
      </c>
      <c r="AJ50" s="156">
        <f t="shared" si="0"/>
        <v>0.17179487179487188</v>
      </c>
    </row>
    <row r="51" spans="1:36" x14ac:dyDescent="0.3">
      <c r="A51" s="152">
        <v>45233</v>
      </c>
      <c r="B51" s="153">
        <v>84.9</v>
      </c>
      <c r="C51" s="153">
        <v>85.4</v>
      </c>
      <c r="D51" s="153">
        <v>84</v>
      </c>
      <c r="E51" s="153">
        <v>84.7</v>
      </c>
      <c r="F51" s="154">
        <v>70637</v>
      </c>
      <c r="G51" s="155">
        <v>5992323.4000000004</v>
      </c>
      <c r="H51" s="153">
        <v>96</v>
      </c>
      <c r="I51" s="155"/>
      <c r="J51" s="155"/>
      <c r="K51" s="155"/>
      <c r="L51" s="155"/>
      <c r="M51" s="155"/>
      <c r="N51" s="155"/>
      <c r="O51" s="148">
        <v>45233</v>
      </c>
      <c r="P51" s="149">
        <v>74.2</v>
      </c>
      <c r="Q51" s="149">
        <v>74.2</v>
      </c>
      <c r="R51" s="149">
        <v>74.099999999999994</v>
      </c>
      <c r="S51" s="149">
        <v>74.099999999999994</v>
      </c>
      <c r="T51" s="149">
        <v>234</v>
      </c>
      <c r="U51" s="151">
        <v>17347.3</v>
      </c>
      <c r="V51" s="149">
        <v>6</v>
      </c>
      <c r="Z51" s="1">
        <v>45117</v>
      </c>
      <c r="AA51">
        <v>64</v>
      </c>
      <c r="AB51">
        <v>57614</v>
      </c>
      <c r="AC51">
        <v>155367</v>
      </c>
      <c r="AF51" s="1">
        <v>45117</v>
      </c>
      <c r="AG51">
        <v>78.5</v>
      </c>
      <c r="AJ51" s="156">
        <f t="shared" si="0"/>
        <v>0.18471337579617833</v>
      </c>
    </row>
    <row r="52" spans="1:36" x14ac:dyDescent="0.3">
      <c r="A52" s="152">
        <v>45232</v>
      </c>
      <c r="B52" s="153">
        <v>83.5</v>
      </c>
      <c r="C52" s="153">
        <v>86</v>
      </c>
      <c r="D52" s="153">
        <v>83.5</v>
      </c>
      <c r="E52" s="153">
        <v>84.5</v>
      </c>
      <c r="F52" s="154">
        <v>304888</v>
      </c>
      <c r="G52" s="155">
        <v>25904389.300000001</v>
      </c>
      <c r="H52" s="153">
        <v>118</v>
      </c>
      <c r="I52" s="155"/>
      <c r="J52" s="155"/>
      <c r="K52" s="155"/>
      <c r="L52" s="155"/>
      <c r="M52" s="155"/>
      <c r="N52" s="155"/>
      <c r="O52" s="148">
        <v>45232</v>
      </c>
      <c r="P52" s="149">
        <v>72.2</v>
      </c>
      <c r="Q52" s="149">
        <v>78</v>
      </c>
      <c r="R52" s="149">
        <v>72.099999999999994</v>
      </c>
      <c r="S52" s="149">
        <v>74.599999999999994</v>
      </c>
      <c r="T52" s="150">
        <v>5078</v>
      </c>
      <c r="U52" s="151">
        <v>383915.3</v>
      </c>
      <c r="V52" s="149">
        <v>29</v>
      </c>
      <c r="Z52" s="1">
        <v>45114</v>
      </c>
      <c r="AA52">
        <v>64</v>
      </c>
      <c r="AB52">
        <v>43359</v>
      </c>
      <c r="AC52">
        <v>153052</v>
      </c>
      <c r="AF52" s="1">
        <v>45114</v>
      </c>
      <c r="AG52">
        <v>79.3</v>
      </c>
      <c r="AJ52" s="156">
        <f t="shared" si="0"/>
        <v>0.19293820933165193</v>
      </c>
    </row>
    <row r="53" spans="1:36" x14ac:dyDescent="0.3">
      <c r="A53" s="152">
        <v>45231</v>
      </c>
      <c r="B53" s="153">
        <v>83.3</v>
      </c>
      <c r="C53" s="153">
        <v>84.2</v>
      </c>
      <c r="D53" s="153">
        <v>82.5</v>
      </c>
      <c r="E53" s="153">
        <v>83.8</v>
      </c>
      <c r="F53" s="154">
        <v>70039</v>
      </c>
      <c r="G53" s="155">
        <v>5855278.2000000002</v>
      </c>
      <c r="H53" s="153">
        <v>74</v>
      </c>
      <c r="I53" s="155"/>
      <c r="J53" s="155"/>
      <c r="K53" s="155"/>
      <c r="L53" s="155"/>
      <c r="M53" s="155"/>
      <c r="N53" s="155"/>
      <c r="O53" s="148">
        <v>45231</v>
      </c>
      <c r="P53" s="149">
        <v>72</v>
      </c>
      <c r="Q53" s="149">
        <v>74</v>
      </c>
      <c r="R53" s="149">
        <v>72</v>
      </c>
      <c r="S53" s="149">
        <v>73.900000000000006</v>
      </c>
      <c r="T53" s="150">
        <v>5033</v>
      </c>
      <c r="U53" s="151">
        <v>369814.6</v>
      </c>
      <c r="V53" s="149">
        <v>22</v>
      </c>
      <c r="Z53" s="1">
        <v>45113</v>
      </c>
      <c r="AA53">
        <v>65</v>
      </c>
      <c r="AB53">
        <v>204510</v>
      </c>
      <c r="AC53">
        <v>150725</v>
      </c>
      <c r="AF53" s="1">
        <v>45113</v>
      </c>
      <c r="AG53">
        <v>79.599999999999994</v>
      </c>
      <c r="AJ53" s="156">
        <f t="shared" si="0"/>
        <v>0.18341708542713561</v>
      </c>
    </row>
    <row r="54" spans="1:36" x14ac:dyDescent="0.3">
      <c r="A54" s="152">
        <v>45230</v>
      </c>
      <c r="B54" s="153">
        <v>82.5</v>
      </c>
      <c r="C54" s="153">
        <v>83.2</v>
      </c>
      <c r="D54" s="153">
        <v>81.599999999999994</v>
      </c>
      <c r="E54" s="153">
        <v>82.2</v>
      </c>
      <c r="F54" s="154">
        <v>44765</v>
      </c>
      <c r="G54" s="155">
        <v>3686274.9</v>
      </c>
      <c r="H54" s="153">
        <v>65</v>
      </c>
      <c r="I54" s="155"/>
      <c r="J54" s="155"/>
      <c r="K54" s="155"/>
      <c r="L54" s="155"/>
      <c r="M54" s="155"/>
      <c r="N54" s="155"/>
      <c r="O54" s="148">
        <v>45230</v>
      </c>
      <c r="P54" s="149">
        <v>72.099999999999994</v>
      </c>
      <c r="Q54" s="149">
        <v>72.099999999999994</v>
      </c>
      <c r="R54" s="149">
        <v>71.900000000000006</v>
      </c>
      <c r="S54" s="149">
        <v>72.099999999999994</v>
      </c>
      <c r="T54" s="150">
        <v>1768</v>
      </c>
      <c r="U54" s="151">
        <v>127288.6</v>
      </c>
      <c r="V54" s="149">
        <v>17</v>
      </c>
      <c r="Z54" s="1">
        <v>45112</v>
      </c>
      <c r="AA54">
        <v>66.099999999999994</v>
      </c>
      <c r="AB54">
        <v>314065</v>
      </c>
      <c r="AC54">
        <v>138032</v>
      </c>
      <c r="AF54" s="1">
        <v>45112</v>
      </c>
      <c r="AG54">
        <v>81.3</v>
      </c>
      <c r="AJ54" s="156">
        <f t="shared" si="0"/>
        <v>0.18696186961869624</v>
      </c>
    </row>
    <row r="55" spans="1:36" x14ac:dyDescent="0.3">
      <c r="A55" s="152">
        <v>45229</v>
      </c>
      <c r="B55" s="153">
        <v>83.5</v>
      </c>
      <c r="C55" s="153">
        <v>83.5</v>
      </c>
      <c r="D55" s="153">
        <v>82</v>
      </c>
      <c r="E55" s="153">
        <v>82.9</v>
      </c>
      <c r="F55" s="154">
        <v>27140</v>
      </c>
      <c r="G55" s="155">
        <v>2249598.1</v>
      </c>
      <c r="H55" s="153">
        <v>63</v>
      </c>
      <c r="I55" s="155"/>
      <c r="J55" s="155"/>
      <c r="K55" s="155"/>
      <c r="L55" s="155"/>
      <c r="M55" s="155"/>
      <c r="N55" s="155"/>
      <c r="O55" s="148">
        <v>45229</v>
      </c>
      <c r="P55" s="149">
        <v>72</v>
      </c>
      <c r="Q55" s="149">
        <v>74</v>
      </c>
      <c r="R55" s="149">
        <v>72</v>
      </c>
      <c r="S55" s="149">
        <v>72.099999999999994</v>
      </c>
      <c r="T55" s="150">
        <v>5582</v>
      </c>
      <c r="U55" s="151">
        <v>404628.7</v>
      </c>
      <c r="V55" s="149">
        <v>16</v>
      </c>
      <c r="Z55" s="1">
        <v>45111</v>
      </c>
      <c r="AA55">
        <v>67.3</v>
      </c>
      <c r="AB55">
        <v>1422154</v>
      </c>
      <c r="AC55">
        <v>119381</v>
      </c>
      <c r="AF55" s="1">
        <v>45111</v>
      </c>
      <c r="AG55">
        <v>80.900000000000006</v>
      </c>
      <c r="AJ55" s="156">
        <f t="shared" si="0"/>
        <v>0.16810877626699638</v>
      </c>
    </row>
    <row r="56" spans="1:36" x14ac:dyDescent="0.3">
      <c r="A56" s="152">
        <v>45226</v>
      </c>
      <c r="B56" s="153">
        <v>81.5</v>
      </c>
      <c r="C56" s="153">
        <v>83.9</v>
      </c>
      <c r="D56" s="153">
        <v>81</v>
      </c>
      <c r="E56" s="153">
        <v>83.1</v>
      </c>
      <c r="F56" s="154">
        <v>140888</v>
      </c>
      <c r="G56" s="155">
        <v>11713597.800000001</v>
      </c>
      <c r="H56" s="153">
        <v>80</v>
      </c>
      <c r="I56" s="155"/>
      <c r="J56" s="155"/>
      <c r="K56" s="155"/>
      <c r="L56" s="155"/>
      <c r="M56" s="155"/>
      <c r="N56" s="155"/>
      <c r="O56" s="148">
        <v>45226</v>
      </c>
      <c r="P56" s="149">
        <v>71.8</v>
      </c>
      <c r="Q56" s="149">
        <v>72.8</v>
      </c>
      <c r="R56" s="149">
        <v>71.3</v>
      </c>
      <c r="S56" s="149">
        <v>71.8</v>
      </c>
      <c r="T56" s="150">
        <v>10799</v>
      </c>
      <c r="U56" s="151">
        <v>773159</v>
      </c>
      <c r="V56" s="149">
        <v>27</v>
      </c>
      <c r="Z56" s="1">
        <v>45105</v>
      </c>
      <c r="AA56">
        <v>54.1</v>
      </c>
      <c r="AB56">
        <v>68433</v>
      </c>
      <c r="AC56">
        <v>24607</v>
      </c>
      <c r="AF56" s="1">
        <v>45105</v>
      </c>
      <c r="AG56">
        <v>68.099999999999994</v>
      </c>
      <c r="AJ56" s="156">
        <f t="shared" si="0"/>
        <v>0.20558002936857553</v>
      </c>
    </row>
    <row r="57" spans="1:36" x14ac:dyDescent="0.3">
      <c r="A57" s="152">
        <v>45225</v>
      </c>
      <c r="B57" s="153">
        <v>82.5</v>
      </c>
      <c r="C57" s="153">
        <v>84</v>
      </c>
      <c r="D57" s="153">
        <v>81</v>
      </c>
      <c r="E57" s="153">
        <v>82.2</v>
      </c>
      <c r="F57" s="154">
        <v>44129</v>
      </c>
      <c r="G57" s="155">
        <v>3631269.8</v>
      </c>
      <c r="H57" s="153">
        <v>76</v>
      </c>
      <c r="I57" s="155"/>
      <c r="J57" s="155"/>
      <c r="K57" s="155"/>
      <c r="L57" s="155"/>
      <c r="M57" s="155"/>
      <c r="N57" s="155"/>
      <c r="O57" s="148">
        <v>45225</v>
      </c>
      <c r="P57" s="149">
        <v>72.5</v>
      </c>
      <c r="Q57" s="149">
        <v>72.5</v>
      </c>
      <c r="R57" s="149">
        <v>71.8</v>
      </c>
      <c r="S57" s="149">
        <v>71.900000000000006</v>
      </c>
      <c r="T57" s="150">
        <v>19608</v>
      </c>
      <c r="U57" s="151">
        <v>1413584.3</v>
      </c>
      <c r="V57" s="149">
        <v>21</v>
      </c>
      <c r="Z57" s="1">
        <v>45104</v>
      </c>
      <c r="AA57">
        <v>54</v>
      </c>
      <c r="AB57">
        <v>24111</v>
      </c>
      <c r="AC57">
        <v>20194</v>
      </c>
      <c r="AF57" s="1">
        <v>45104</v>
      </c>
      <c r="AG57">
        <v>67.7</v>
      </c>
      <c r="AJ57" s="156">
        <f t="shared" si="0"/>
        <v>0.20236336779911376</v>
      </c>
    </row>
    <row r="58" spans="1:36" x14ac:dyDescent="0.3">
      <c r="A58" s="152">
        <v>45224</v>
      </c>
      <c r="B58" s="153">
        <v>84.9</v>
      </c>
      <c r="C58" s="153">
        <v>84.9</v>
      </c>
      <c r="D58" s="153">
        <v>82.6</v>
      </c>
      <c r="E58" s="153">
        <v>82.9</v>
      </c>
      <c r="F58" s="154">
        <v>7095</v>
      </c>
      <c r="G58" s="155">
        <v>590361.19999999995</v>
      </c>
      <c r="H58" s="153">
        <v>48</v>
      </c>
      <c r="I58" s="155"/>
      <c r="J58" s="155"/>
      <c r="K58" s="155"/>
      <c r="L58" s="155"/>
      <c r="M58" s="155"/>
      <c r="N58" s="155"/>
      <c r="O58" s="148">
        <v>45224</v>
      </c>
      <c r="P58" s="149">
        <v>72.5</v>
      </c>
      <c r="Q58" s="149">
        <v>73.5</v>
      </c>
      <c r="R58" s="149">
        <v>71.3</v>
      </c>
      <c r="S58" s="149">
        <v>72.5</v>
      </c>
      <c r="T58" s="150">
        <v>3654</v>
      </c>
      <c r="U58" s="151">
        <v>264981.2</v>
      </c>
      <c r="V58" s="149">
        <v>11</v>
      </c>
      <c r="Z58" s="1">
        <v>45103</v>
      </c>
      <c r="AA58">
        <v>54.8</v>
      </c>
      <c r="AB58">
        <v>48451</v>
      </c>
      <c r="AC58">
        <v>18701</v>
      </c>
      <c r="AF58" s="1">
        <v>45103</v>
      </c>
      <c r="AG58">
        <v>68.3</v>
      </c>
      <c r="AJ58" s="156">
        <f t="shared" si="0"/>
        <v>0.19765739385065886</v>
      </c>
    </row>
    <row r="59" spans="1:36" x14ac:dyDescent="0.3">
      <c r="A59" s="152">
        <v>45223</v>
      </c>
      <c r="B59" s="153">
        <v>87.3</v>
      </c>
      <c r="C59" s="153">
        <v>87.5</v>
      </c>
      <c r="D59" s="153">
        <v>84.5</v>
      </c>
      <c r="E59" s="153">
        <v>84.9</v>
      </c>
      <c r="F59" s="154">
        <v>53452</v>
      </c>
      <c r="G59" s="155">
        <v>4554658.7</v>
      </c>
      <c r="H59" s="153">
        <v>88</v>
      </c>
      <c r="I59" s="155"/>
      <c r="J59" s="155"/>
      <c r="K59" s="155"/>
      <c r="L59" s="155"/>
      <c r="M59" s="155"/>
      <c r="N59" s="155"/>
      <c r="O59" s="148">
        <v>45223</v>
      </c>
      <c r="P59" s="149">
        <v>74</v>
      </c>
      <c r="Q59" s="149">
        <v>75</v>
      </c>
      <c r="R59" s="149">
        <v>72.5</v>
      </c>
      <c r="S59" s="149">
        <v>74.900000000000006</v>
      </c>
      <c r="T59" s="150">
        <v>9352</v>
      </c>
      <c r="U59" s="151">
        <v>685060.9</v>
      </c>
      <c r="V59" s="149">
        <v>17</v>
      </c>
      <c r="Z59" s="1">
        <v>45100</v>
      </c>
      <c r="AA59">
        <v>53.4</v>
      </c>
      <c r="AB59">
        <v>12728</v>
      </c>
      <c r="AC59">
        <v>16578</v>
      </c>
      <c r="AF59" s="1">
        <v>45100</v>
      </c>
      <c r="AG59">
        <v>66.099999999999994</v>
      </c>
      <c r="AJ59" s="156">
        <f t="shared" si="0"/>
        <v>0.19213313161875942</v>
      </c>
    </row>
    <row r="60" spans="1:36" x14ac:dyDescent="0.3">
      <c r="A60" s="152">
        <v>45222</v>
      </c>
      <c r="B60" s="153">
        <v>86.8</v>
      </c>
      <c r="C60" s="153">
        <v>88.8</v>
      </c>
      <c r="D60" s="153">
        <v>86.5</v>
      </c>
      <c r="E60" s="153">
        <v>86.8</v>
      </c>
      <c r="F60" s="154">
        <v>266261</v>
      </c>
      <c r="G60" s="155">
        <v>23308789.199999999</v>
      </c>
      <c r="H60" s="153">
        <v>167</v>
      </c>
      <c r="I60" s="155"/>
      <c r="J60" s="155"/>
      <c r="K60" s="155"/>
      <c r="L60" s="155"/>
      <c r="M60" s="155"/>
      <c r="N60" s="155"/>
      <c r="O60" s="148">
        <v>45222</v>
      </c>
      <c r="P60" s="149">
        <v>77</v>
      </c>
      <c r="Q60" s="149">
        <v>79.8</v>
      </c>
      <c r="R60" s="149">
        <v>73</v>
      </c>
      <c r="S60" s="149">
        <v>73.400000000000006</v>
      </c>
      <c r="T60" s="150">
        <v>30771</v>
      </c>
      <c r="U60" s="151">
        <v>2313004.9</v>
      </c>
      <c r="V60" s="149">
        <v>60</v>
      </c>
      <c r="Z60" s="1">
        <v>45099</v>
      </c>
      <c r="AA60">
        <v>53.1</v>
      </c>
      <c r="AB60">
        <v>8000</v>
      </c>
      <c r="AC60">
        <v>15760</v>
      </c>
      <c r="AF60" s="1">
        <v>45099</v>
      </c>
      <c r="AG60">
        <v>66.099999999999994</v>
      </c>
      <c r="AJ60" s="156">
        <f t="shared" si="0"/>
        <v>0.19667170953101354</v>
      </c>
    </row>
    <row r="61" spans="1:36" x14ac:dyDescent="0.3">
      <c r="A61" s="152">
        <v>45219</v>
      </c>
      <c r="B61" s="153">
        <v>81.7</v>
      </c>
      <c r="C61" s="153">
        <v>87.3</v>
      </c>
      <c r="D61" s="153">
        <v>81.7</v>
      </c>
      <c r="E61" s="153">
        <v>86.8</v>
      </c>
      <c r="F61" s="154">
        <v>162190</v>
      </c>
      <c r="G61" s="155">
        <v>13813602.4</v>
      </c>
      <c r="H61" s="153">
        <v>265</v>
      </c>
      <c r="I61" s="155"/>
      <c r="J61" s="155"/>
      <c r="K61" s="155"/>
      <c r="L61" s="155"/>
      <c r="M61" s="155"/>
      <c r="N61" s="155"/>
      <c r="O61" s="148">
        <v>45219</v>
      </c>
      <c r="P61" s="149">
        <v>71.2</v>
      </c>
      <c r="Q61" s="149">
        <v>79</v>
      </c>
      <c r="R61" s="149">
        <v>71</v>
      </c>
      <c r="S61" s="149">
        <v>74.8</v>
      </c>
      <c r="T61" s="150">
        <v>49151</v>
      </c>
      <c r="U61" s="151">
        <v>3602423.7</v>
      </c>
      <c r="V61" s="149">
        <v>86</v>
      </c>
      <c r="Z61" s="1">
        <v>45098</v>
      </c>
      <c r="AA61">
        <v>53.2</v>
      </c>
      <c r="AB61">
        <v>27934</v>
      </c>
      <c r="AC61">
        <v>16109</v>
      </c>
      <c r="AF61" s="1">
        <v>45098</v>
      </c>
      <c r="AG61">
        <v>66.2</v>
      </c>
      <c r="AJ61" s="156">
        <f t="shared" si="0"/>
        <v>0.19637462235649547</v>
      </c>
    </row>
    <row r="62" spans="1:36" x14ac:dyDescent="0.3">
      <c r="A62" s="152">
        <v>45218</v>
      </c>
      <c r="B62" s="153">
        <v>80.099999999999994</v>
      </c>
      <c r="C62" s="153">
        <v>82.5</v>
      </c>
      <c r="D62" s="153">
        <v>80</v>
      </c>
      <c r="E62" s="153">
        <v>81.7</v>
      </c>
      <c r="F62" s="154">
        <v>271914</v>
      </c>
      <c r="G62" s="155">
        <v>22152826.800000001</v>
      </c>
      <c r="H62" s="153">
        <v>117</v>
      </c>
      <c r="I62" s="155"/>
      <c r="J62" s="155"/>
      <c r="K62" s="155"/>
      <c r="L62" s="155"/>
      <c r="M62" s="155"/>
      <c r="N62" s="155"/>
      <c r="O62" s="148">
        <v>45218</v>
      </c>
      <c r="P62" s="149">
        <v>69.2</v>
      </c>
      <c r="Q62" s="149">
        <v>70.900000000000006</v>
      </c>
      <c r="R62" s="149">
        <v>69.2</v>
      </c>
      <c r="S62" s="149">
        <v>70</v>
      </c>
      <c r="T62" s="150">
        <v>4512</v>
      </c>
      <c r="U62" s="151">
        <v>315509.59999999998</v>
      </c>
      <c r="V62" s="149">
        <v>19</v>
      </c>
      <c r="Z62" s="1">
        <v>45097</v>
      </c>
      <c r="AA62">
        <v>51.5</v>
      </c>
      <c r="AB62">
        <v>4293</v>
      </c>
      <c r="AC62">
        <v>14523</v>
      </c>
      <c r="AF62" s="1">
        <v>45097</v>
      </c>
      <c r="AG62">
        <v>64</v>
      </c>
      <c r="AJ62" s="156">
        <f t="shared" si="0"/>
        <v>0.1953125</v>
      </c>
    </row>
    <row r="63" spans="1:36" x14ac:dyDescent="0.3">
      <c r="A63" s="152">
        <v>45217</v>
      </c>
      <c r="B63" s="153">
        <v>80</v>
      </c>
      <c r="C63" s="153">
        <v>80.8</v>
      </c>
      <c r="D63" s="153">
        <v>80</v>
      </c>
      <c r="E63" s="153">
        <v>80.5</v>
      </c>
      <c r="F63" s="154">
        <v>186428</v>
      </c>
      <c r="G63" s="155">
        <v>14988828.199999999</v>
      </c>
      <c r="H63" s="153">
        <v>140</v>
      </c>
      <c r="I63" s="155"/>
      <c r="J63" s="155"/>
      <c r="K63" s="155"/>
      <c r="L63" s="155"/>
      <c r="M63" s="155"/>
      <c r="N63" s="155"/>
      <c r="O63" s="148">
        <v>45217</v>
      </c>
      <c r="P63" s="149">
        <v>71.5</v>
      </c>
      <c r="Q63" s="149">
        <v>71.599999999999994</v>
      </c>
      <c r="R63" s="149">
        <v>70</v>
      </c>
      <c r="S63" s="149">
        <v>70.5</v>
      </c>
      <c r="T63" s="150">
        <v>11751</v>
      </c>
      <c r="U63" s="151">
        <v>829008.3</v>
      </c>
      <c r="V63" s="149">
        <v>55</v>
      </c>
      <c r="Z63" s="1">
        <v>45096</v>
      </c>
      <c r="AA63">
        <v>52.5</v>
      </c>
      <c r="AB63">
        <v>14163</v>
      </c>
      <c r="AC63">
        <v>14940</v>
      </c>
      <c r="AF63" s="1">
        <v>45096</v>
      </c>
      <c r="AG63">
        <v>65</v>
      </c>
      <c r="AJ63" s="156">
        <f t="shared" si="0"/>
        <v>0.19230769230769232</v>
      </c>
    </row>
    <row r="64" spans="1:36" x14ac:dyDescent="0.3">
      <c r="A64" s="152">
        <v>45216</v>
      </c>
      <c r="B64" s="153">
        <v>80.3</v>
      </c>
      <c r="C64" s="153">
        <v>82.9</v>
      </c>
      <c r="D64" s="153">
        <v>80.3</v>
      </c>
      <c r="E64" s="153">
        <v>80.8</v>
      </c>
      <c r="F64" s="154">
        <v>249131</v>
      </c>
      <c r="G64" s="155">
        <v>20161918.399999999</v>
      </c>
      <c r="H64" s="153">
        <v>109</v>
      </c>
      <c r="I64" s="155"/>
      <c r="J64" s="155"/>
      <c r="K64" s="155"/>
      <c r="L64" s="155"/>
      <c r="M64" s="155"/>
      <c r="N64" s="155"/>
      <c r="O64" s="148">
        <v>45216</v>
      </c>
      <c r="P64" s="149">
        <v>71.5</v>
      </c>
      <c r="Q64" s="149">
        <v>72</v>
      </c>
      <c r="R64" s="149">
        <v>71.3</v>
      </c>
      <c r="S64" s="149">
        <v>71.5</v>
      </c>
      <c r="T64" s="150">
        <v>2331</v>
      </c>
      <c r="U64" s="151">
        <v>166571.5</v>
      </c>
      <c r="V64" s="149">
        <v>11</v>
      </c>
      <c r="Z64" s="1">
        <v>45093</v>
      </c>
      <c r="AA64">
        <v>52.9</v>
      </c>
      <c r="AB64">
        <v>34094</v>
      </c>
      <c r="AC64">
        <v>14767</v>
      </c>
      <c r="AF64" s="1">
        <v>45093</v>
      </c>
      <c r="AG64">
        <v>66</v>
      </c>
      <c r="AJ64" s="156">
        <f t="shared" si="0"/>
        <v>0.19848484848484851</v>
      </c>
    </row>
    <row r="65" spans="1:36" x14ac:dyDescent="0.3">
      <c r="A65" s="152">
        <v>45215</v>
      </c>
      <c r="B65" s="153">
        <v>84</v>
      </c>
      <c r="C65" s="153">
        <v>84</v>
      </c>
      <c r="D65" s="153">
        <v>80.3</v>
      </c>
      <c r="E65" s="153">
        <v>80.400000000000006</v>
      </c>
      <c r="F65" s="154">
        <v>291608</v>
      </c>
      <c r="G65" s="155">
        <v>23598983.300000001</v>
      </c>
      <c r="H65" s="153">
        <v>226</v>
      </c>
      <c r="I65" s="155"/>
      <c r="J65" s="155"/>
      <c r="K65" s="155"/>
      <c r="L65" s="155"/>
      <c r="M65" s="155"/>
      <c r="N65" s="155"/>
      <c r="O65" s="148">
        <v>45215</v>
      </c>
      <c r="P65" s="149">
        <v>73.099999999999994</v>
      </c>
      <c r="Q65" s="149">
        <v>73.099999999999994</v>
      </c>
      <c r="R65" s="149">
        <v>71.2</v>
      </c>
      <c r="S65" s="149">
        <v>71.5</v>
      </c>
      <c r="T65" s="150">
        <v>16597</v>
      </c>
      <c r="U65" s="151">
        <v>1196756.6000000001</v>
      </c>
      <c r="V65" s="149">
        <v>30</v>
      </c>
      <c r="Z65" s="1">
        <v>45092</v>
      </c>
      <c r="AA65">
        <v>53</v>
      </c>
      <c r="AB65">
        <v>46598</v>
      </c>
      <c r="AC65">
        <v>14321</v>
      </c>
      <c r="AF65" s="1">
        <v>45092</v>
      </c>
      <c r="AG65">
        <v>66.3</v>
      </c>
      <c r="AJ65" s="156">
        <f t="shared" si="0"/>
        <v>0.20060331825037703</v>
      </c>
    </row>
    <row r="66" spans="1:36" x14ac:dyDescent="0.3">
      <c r="A66" s="152">
        <v>45212</v>
      </c>
      <c r="B66" s="153">
        <v>84.5</v>
      </c>
      <c r="C66" s="153">
        <v>85</v>
      </c>
      <c r="D66" s="153">
        <v>84</v>
      </c>
      <c r="E66" s="153">
        <v>84</v>
      </c>
      <c r="F66" s="154">
        <v>47238</v>
      </c>
      <c r="G66" s="155">
        <v>3988976.1</v>
      </c>
      <c r="H66" s="153">
        <v>67</v>
      </c>
      <c r="I66" s="155"/>
      <c r="J66" s="155"/>
      <c r="K66" s="155"/>
      <c r="L66" s="155"/>
      <c r="M66" s="155"/>
      <c r="N66" s="155"/>
      <c r="O66" s="148">
        <v>45212</v>
      </c>
      <c r="P66" s="149">
        <v>73</v>
      </c>
      <c r="Q66" s="149">
        <v>73.900000000000006</v>
      </c>
      <c r="R66" s="149">
        <v>72.5</v>
      </c>
      <c r="S66" s="149">
        <v>73</v>
      </c>
      <c r="T66" s="150">
        <v>27395</v>
      </c>
      <c r="U66" s="151">
        <v>1998894</v>
      </c>
      <c r="V66" s="149">
        <v>28</v>
      </c>
      <c r="Z66" s="1">
        <v>45091</v>
      </c>
      <c r="AA66">
        <v>53.3</v>
      </c>
      <c r="AB66">
        <v>22882</v>
      </c>
      <c r="AC66">
        <v>13092</v>
      </c>
      <c r="AF66" s="1">
        <v>45091</v>
      </c>
      <c r="AG66">
        <v>65</v>
      </c>
      <c r="AJ66" s="156">
        <f t="shared" si="0"/>
        <v>0.18000000000000005</v>
      </c>
    </row>
    <row r="67" spans="1:36" x14ac:dyDescent="0.3">
      <c r="A67" s="152">
        <v>45211</v>
      </c>
      <c r="B67" s="153">
        <v>83.5</v>
      </c>
      <c r="C67" s="153">
        <v>85</v>
      </c>
      <c r="D67" s="153">
        <v>82.6</v>
      </c>
      <c r="E67" s="153">
        <v>84.3</v>
      </c>
      <c r="F67" s="154">
        <v>63818</v>
      </c>
      <c r="G67" s="155">
        <v>5352708.9000000004</v>
      </c>
      <c r="H67" s="153">
        <v>87</v>
      </c>
      <c r="I67" s="155"/>
      <c r="J67" s="155"/>
      <c r="K67" s="155"/>
      <c r="L67" s="155"/>
      <c r="M67" s="155"/>
      <c r="N67" s="155"/>
      <c r="O67" s="148">
        <v>45211</v>
      </c>
      <c r="P67" s="149">
        <v>72</v>
      </c>
      <c r="Q67" s="149">
        <v>73.099999999999994</v>
      </c>
      <c r="R67" s="149">
        <v>71.099999999999994</v>
      </c>
      <c r="S67" s="149">
        <v>73</v>
      </c>
      <c r="T67" s="150">
        <v>94706</v>
      </c>
      <c r="U67" s="151">
        <v>6907505</v>
      </c>
      <c r="V67" s="149">
        <v>49</v>
      </c>
      <c r="Z67" s="1">
        <v>45090</v>
      </c>
      <c r="AA67">
        <v>53</v>
      </c>
      <c r="AB67">
        <v>8453</v>
      </c>
      <c r="AC67">
        <v>32475</v>
      </c>
      <c r="AF67" s="1">
        <v>45090</v>
      </c>
      <c r="AG67">
        <v>61.1</v>
      </c>
      <c r="AJ67" s="156">
        <f t="shared" si="0"/>
        <v>0.13256955810147303</v>
      </c>
    </row>
    <row r="68" spans="1:36" x14ac:dyDescent="0.3">
      <c r="A68" s="152">
        <v>45210</v>
      </c>
      <c r="B68" s="153">
        <v>84.9</v>
      </c>
      <c r="C68" s="153">
        <v>85.9</v>
      </c>
      <c r="D68" s="153">
        <v>83</v>
      </c>
      <c r="E68" s="153">
        <v>83.5</v>
      </c>
      <c r="F68" s="154">
        <v>270137</v>
      </c>
      <c r="G68" s="155">
        <v>22728857.199999999</v>
      </c>
      <c r="H68" s="153">
        <v>138</v>
      </c>
      <c r="I68" s="155"/>
      <c r="J68" s="155"/>
      <c r="K68" s="155"/>
      <c r="L68" s="155"/>
      <c r="M68" s="155"/>
      <c r="N68" s="155"/>
      <c r="O68" s="148">
        <v>45210</v>
      </c>
      <c r="P68" s="149">
        <v>74</v>
      </c>
      <c r="Q68" s="149">
        <v>74</v>
      </c>
      <c r="R68" s="149">
        <v>72.8</v>
      </c>
      <c r="S68" s="149">
        <v>72.8</v>
      </c>
      <c r="T68" s="150">
        <v>4415</v>
      </c>
      <c r="U68" s="151">
        <v>323888.3</v>
      </c>
      <c r="V68" s="149">
        <v>22</v>
      </c>
      <c r="Z68" s="1">
        <v>45089</v>
      </c>
      <c r="AA68">
        <v>53</v>
      </c>
      <c r="AB68">
        <v>14115</v>
      </c>
      <c r="AC68">
        <v>32215</v>
      </c>
      <c r="AF68" s="1">
        <v>45089</v>
      </c>
      <c r="AG68">
        <v>61.8</v>
      </c>
      <c r="AJ68" s="156">
        <f t="shared" si="0"/>
        <v>0.14239482200647247</v>
      </c>
    </row>
    <row r="69" spans="1:36" x14ac:dyDescent="0.3">
      <c r="A69" s="152">
        <v>45209</v>
      </c>
      <c r="B69" s="153">
        <v>85</v>
      </c>
      <c r="C69" s="153">
        <v>86.9</v>
      </c>
      <c r="D69" s="153">
        <v>84</v>
      </c>
      <c r="E69" s="153">
        <v>84.5</v>
      </c>
      <c r="F69" s="154">
        <v>252894</v>
      </c>
      <c r="G69" s="155">
        <v>21384872.899999999</v>
      </c>
      <c r="H69" s="153">
        <v>135</v>
      </c>
      <c r="I69" s="155"/>
      <c r="J69" s="155"/>
      <c r="K69" s="155"/>
      <c r="L69" s="155"/>
      <c r="M69" s="155"/>
      <c r="N69" s="155"/>
      <c r="O69" s="148">
        <v>45209</v>
      </c>
      <c r="P69" s="149">
        <v>74</v>
      </c>
      <c r="Q69" s="149">
        <v>74</v>
      </c>
      <c r="R69" s="149">
        <v>73.8</v>
      </c>
      <c r="S69" s="149">
        <v>73.900000000000006</v>
      </c>
      <c r="T69" s="150">
        <v>3084</v>
      </c>
      <c r="U69" s="151">
        <v>228024.6</v>
      </c>
      <c r="V69" s="149">
        <v>12</v>
      </c>
      <c r="Z69" s="1">
        <v>45086</v>
      </c>
      <c r="AA69">
        <v>50</v>
      </c>
      <c r="AB69">
        <v>34300</v>
      </c>
      <c r="AC69">
        <v>31715</v>
      </c>
      <c r="AF69" s="1">
        <v>45086</v>
      </c>
      <c r="AG69">
        <v>60</v>
      </c>
      <c r="AJ69" s="156">
        <f t="shared" si="0"/>
        <v>0.16666666666666666</v>
      </c>
    </row>
    <row r="70" spans="1:36" x14ac:dyDescent="0.3">
      <c r="A70" s="152">
        <v>45208</v>
      </c>
      <c r="B70" s="153">
        <v>86.3</v>
      </c>
      <c r="C70" s="153">
        <v>87</v>
      </c>
      <c r="D70" s="153">
        <v>83.5</v>
      </c>
      <c r="E70" s="153">
        <v>84.6</v>
      </c>
      <c r="F70" s="154">
        <v>341682</v>
      </c>
      <c r="G70" s="155">
        <v>28971855.5</v>
      </c>
      <c r="H70" s="153">
        <v>198</v>
      </c>
      <c r="I70" s="155"/>
      <c r="J70" s="155"/>
      <c r="K70" s="155"/>
      <c r="L70" s="155"/>
      <c r="M70" s="155"/>
      <c r="N70" s="155"/>
      <c r="O70" s="148">
        <v>45208</v>
      </c>
      <c r="P70" s="149">
        <v>76</v>
      </c>
      <c r="Q70" s="149">
        <v>76</v>
      </c>
      <c r="R70" s="149">
        <v>73.400000000000006</v>
      </c>
      <c r="S70" s="149">
        <v>74</v>
      </c>
      <c r="T70" s="150">
        <v>11324</v>
      </c>
      <c r="U70" s="151">
        <v>838223</v>
      </c>
      <c r="V70" s="149">
        <v>60</v>
      </c>
      <c r="Z70" s="1">
        <v>45085</v>
      </c>
      <c r="AA70">
        <v>49</v>
      </c>
      <c r="AB70">
        <v>557</v>
      </c>
      <c r="AC70">
        <v>31131</v>
      </c>
      <c r="AF70" s="1">
        <v>45085</v>
      </c>
      <c r="AG70">
        <v>58.9</v>
      </c>
      <c r="AJ70" s="156">
        <f t="shared" ref="AJ70:AJ133" si="1">(AG70-AA70)/AG70</f>
        <v>0.16808149405772493</v>
      </c>
    </row>
    <row r="71" spans="1:36" x14ac:dyDescent="0.3">
      <c r="A71" s="152">
        <v>45205</v>
      </c>
      <c r="B71" s="153">
        <v>88</v>
      </c>
      <c r="C71" s="153">
        <v>88</v>
      </c>
      <c r="D71" s="153">
        <v>86.1</v>
      </c>
      <c r="E71" s="153">
        <v>86.8</v>
      </c>
      <c r="F71" s="154">
        <v>24331</v>
      </c>
      <c r="G71" s="155">
        <v>2113528.9</v>
      </c>
      <c r="H71" s="153">
        <v>77</v>
      </c>
      <c r="I71" s="155"/>
      <c r="J71" s="155"/>
      <c r="K71" s="155"/>
      <c r="L71" s="155"/>
      <c r="M71" s="155"/>
      <c r="N71" s="155"/>
      <c r="O71" s="148">
        <v>45205</v>
      </c>
      <c r="P71" s="149">
        <v>76</v>
      </c>
      <c r="Q71" s="149">
        <v>76</v>
      </c>
      <c r="R71" s="149">
        <v>76</v>
      </c>
      <c r="S71" s="149">
        <v>76</v>
      </c>
      <c r="T71" s="149">
        <v>160</v>
      </c>
      <c r="U71" s="151">
        <v>12160</v>
      </c>
      <c r="V71" s="149">
        <v>5</v>
      </c>
      <c r="Z71" s="1">
        <v>45084</v>
      </c>
      <c r="AA71">
        <v>47.4</v>
      </c>
      <c r="AB71">
        <v>2226</v>
      </c>
      <c r="AC71">
        <v>31599</v>
      </c>
      <c r="AF71" s="1">
        <v>45084</v>
      </c>
      <c r="AG71">
        <v>57.3</v>
      </c>
      <c r="AJ71" s="156">
        <f t="shared" si="1"/>
        <v>0.17277486910994763</v>
      </c>
    </row>
    <row r="72" spans="1:36" x14ac:dyDescent="0.3">
      <c r="A72" s="152">
        <v>45204</v>
      </c>
      <c r="B72" s="153">
        <v>87.8</v>
      </c>
      <c r="C72" s="153">
        <v>88.8</v>
      </c>
      <c r="D72" s="153">
        <v>86.5</v>
      </c>
      <c r="E72" s="153">
        <v>87.2</v>
      </c>
      <c r="F72" s="154">
        <v>69603</v>
      </c>
      <c r="G72" s="155">
        <v>6127523</v>
      </c>
      <c r="H72" s="153">
        <v>88</v>
      </c>
      <c r="I72" s="155"/>
      <c r="J72" s="155"/>
      <c r="K72" s="155"/>
      <c r="L72" s="155"/>
      <c r="M72" s="155"/>
      <c r="N72" s="155"/>
      <c r="O72" s="148">
        <v>45204</v>
      </c>
      <c r="P72" s="149">
        <v>75.599999999999994</v>
      </c>
      <c r="Q72" s="149">
        <v>76.900000000000006</v>
      </c>
      <c r="R72" s="149">
        <v>75.599999999999994</v>
      </c>
      <c r="S72" s="149">
        <v>76.8</v>
      </c>
      <c r="T72" s="150">
        <v>6687</v>
      </c>
      <c r="U72" s="151">
        <v>513319.3</v>
      </c>
      <c r="V72" s="149">
        <v>24</v>
      </c>
      <c r="Z72" s="1">
        <v>45083</v>
      </c>
      <c r="AA72">
        <v>49</v>
      </c>
      <c r="AB72">
        <v>1727</v>
      </c>
      <c r="AC72">
        <v>31527</v>
      </c>
      <c r="AF72" s="1">
        <v>45083</v>
      </c>
      <c r="AG72">
        <v>58</v>
      </c>
      <c r="AJ72" s="156">
        <f t="shared" si="1"/>
        <v>0.15517241379310345</v>
      </c>
    </row>
    <row r="73" spans="1:36" x14ac:dyDescent="0.3">
      <c r="A73" s="152">
        <v>45203</v>
      </c>
      <c r="B73" s="153">
        <v>87.1</v>
      </c>
      <c r="C73" s="153">
        <v>87.8</v>
      </c>
      <c r="D73" s="153">
        <v>86.1</v>
      </c>
      <c r="E73" s="153">
        <v>87.3</v>
      </c>
      <c r="F73" s="154">
        <v>96817</v>
      </c>
      <c r="G73" s="155">
        <v>8411426.0999999996</v>
      </c>
      <c r="H73" s="153">
        <v>135</v>
      </c>
      <c r="I73" s="155"/>
      <c r="J73" s="155"/>
      <c r="K73" s="155"/>
      <c r="L73" s="155"/>
      <c r="M73" s="155"/>
      <c r="N73" s="155"/>
      <c r="O73" s="148">
        <v>45203</v>
      </c>
      <c r="P73" s="149">
        <v>75.099999999999994</v>
      </c>
      <c r="Q73" s="149">
        <v>76.5</v>
      </c>
      <c r="R73" s="149">
        <v>74</v>
      </c>
      <c r="S73" s="149">
        <v>75.599999999999994</v>
      </c>
      <c r="T73" s="150">
        <v>20462</v>
      </c>
      <c r="U73" s="151">
        <v>1542251.3</v>
      </c>
      <c r="V73" s="149">
        <v>73</v>
      </c>
      <c r="Z73" s="1">
        <v>45082</v>
      </c>
      <c r="AA73">
        <v>49.5</v>
      </c>
      <c r="AB73">
        <v>16602</v>
      </c>
      <c r="AC73">
        <v>35759</v>
      </c>
      <c r="AF73" s="1">
        <v>45082</v>
      </c>
      <c r="AG73">
        <v>58.1</v>
      </c>
      <c r="AJ73" s="156">
        <f t="shared" si="1"/>
        <v>0.14802065404475045</v>
      </c>
    </row>
    <row r="74" spans="1:36" x14ac:dyDescent="0.3">
      <c r="A74" s="152">
        <v>45202</v>
      </c>
      <c r="B74" s="153">
        <v>88</v>
      </c>
      <c r="C74" s="153">
        <v>89.9</v>
      </c>
      <c r="D74" s="153">
        <v>87.2</v>
      </c>
      <c r="E74" s="153">
        <v>87.6</v>
      </c>
      <c r="F74" s="154">
        <v>59184</v>
      </c>
      <c r="G74" s="155">
        <v>5200368.4000000004</v>
      </c>
      <c r="H74" s="153">
        <v>100</v>
      </c>
      <c r="I74" s="155"/>
      <c r="J74" s="155"/>
      <c r="K74" s="155"/>
      <c r="L74" s="155"/>
      <c r="M74" s="155"/>
      <c r="N74" s="155"/>
      <c r="O74" s="148">
        <v>45202</v>
      </c>
      <c r="P74" s="149">
        <v>77.400000000000006</v>
      </c>
      <c r="Q74" s="149">
        <v>78</v>
      </c>
      <c r="R74" s="149">
        <v>75.099999999999994</v>
      </c>
      <c r="S74" s="149">
        <v>75.3</v>
      </c>
      <c r="T74" s="150">
        <v>8145</v>
      </c>
      <c r="U74" s="151">
        <v>622474.80000000005</v>
      </c>
      <c r="V74" s="149">
        <v>45</v>
      </c>
      <c r="Z74" s="1">
        <v>45079</v>
      </c>
      <c r="AA74">
        <v>49.4</v>
      </c>
      <c r="AB74">
        <v>463</v>
      </c>
      <c r="AC74">
        <v>34890</v>
      </c>
      <c r="AF74" s="1">
        <v>45079</v>
      </c>
      <c r="AG74">
        <v>58.1</v>
      </c>
      <c r="AJ74" s="156">
        <f t="shared" si="1"/>
        <v>0.14974182444061968</v>
      </c>
    </row>
    <row r="75" spans="1:36" x14ac:dyDescent="0.3">
      <c r="A75" s="152">
        <v>45201</v>
      </c>
      <c r="B75" s="153">
        <v>90</v>
      </c>
      <c r="C75" s="153">
        <v>90</v>
      </c>
      <c r="D75" s="153">
        <v>87.8</v>
      </c>
      <c r="E75" s="153">
        <v>88</v>
      </c>
      <c r="F75" s="154">
        <v>100346</v>
      </c>
      <c r="G75" s="155">
        <v>8851558.1999999993</v>
      </c>
      <c r="H75" s="153">
        <v>119</v>
      </c>
      <c r="I75" s="155"/>
      <c r="J75" s="155"/>
      <c r="K75" s="155"/>
      <c r="L75" s="155"/>
      <c r="M75" s="155"/>
      <c r="N75" s="155"/>
      <c r="O75" s="148">
        <v>45201</v>
      </c>
      <c r="P75" s="149">
        <v>77</v>
      </c>
      <c r="Q75" s="149">
        <v>77.400000000000006</v>
      </c>
      <c r="R75" s="149">
        <v>76.5</v>
      </c>
      <c r="S75" s="149">
        <v>77.3</v>
      </c>
      <c r="T75" s="150">
        <v>28675</v>
      </c>
      <c r="U75" s="151">
        <v>2202493</v>
      </c>
      <c r="V75" s="149">
        <v>101</v>
      </c>
      <c r="Z75" s="1">
        <v>45078</v>
      </c>
      <c r="AA75">
        <v>49.1</v>
      </c>
      <c r="AB75">
        <v>13228</v>
      </c>
      <c r="AC75">
        <v>35216</v>
      </c>
      <c r="AF75" s="1">
        <v>45078</v>
      </c>
      <c r="AG75">
        <v>57.9</v>
      </c>
      <c r="AJ75" s="156">
        <f t="shared" si="1"/>
        <v>0.15198618307426592</v>
      </c>
    </row>
    <row r="76" spans="1:36" x14ac:dyDescent="0.3">
      <c r="A76" s="152">
        <v>45196</v>
      </c>
      <c r="B76" s="153">
        <v>89</v>
      </c>
      <c r="C76" s="153">
        <v>91.1</v>
      </c>
      <c r="D76" s="153">
        <v>88.9</v>
      </c>
      <c r="E76" s="153">
        <v>90.2</v>
      </c>
      <c r="F76" s="154">
        <v>141202</v>
      </c>
      <c r="G76" s="155">
        <v>12689870.800000001</v>
      </c>
      <c r="H76" s="153">
        <v>115</v>
      </c>
      <c r="I76" s="155"/>
      <c r="J76" s="155"/>
      <c r="K76" s="155"/>
      <c r="L76" s="155"/>
      <c r="M76" s="155"/>
      <c r="N76" s="155"/>
      <c r="O76" s="148">
        <v>45196</v>
      </c>
      <c r="P76" s="149">
        <v>78.5</v>
      </c>
      <c r="Q76" s="149">
        <v>79.2</v>
      </c>
      <c r="R76" s="149">
        <v>78.3</v>
      </c>
      <c r="S76" s="149">
        <v>78.8</v>
      </c>
      <c r="T76" s="150">
        <v>13327</v>
      </c>
      <c r="U76" s="151">
        <v>1050598.2</v>
      </c>
      <c r="V76" s="149">
        <v>22</v>
      </c>
      <c r="Z76" s="1">
        <v>45077</v>
      </c>
      <c r="AA76">
        <v>47.5</v>
      </c>
      <c r="AB76">
        <v>4149</v>
      </c>
      <c r="AC76">
        <v>36260</v>
      </c>
      <c r="AF76" s="1">
        <v>45077</v>
      </c>
      <c r="AG76">
        <v>56.7</v>
      </c>
      <c r="AJ76" s="156">
        <f t="shared" si="1"/>
        <v>0.16225749559082897</v>
      </c>
    </row>
    <row r="77" spans="1:36" x14ac:dyDescent="0.3">
      <c r="A77" s="152">
        <v>45195</v>
      </c>
      <c r="B77" s="153">
        <v>88.5</v>
      </c>
      <c r="C77" s="153">
        <v>89</v>
      </c>
      <c r="D77" s="153">
        <v>87.8</v>
      </c>
      <c r="E77" s="153">
        <v>88.1</v>
      </c>
      <c r="F77" s="154">
        <v>135264</v>
      </c>
      <c r="G77" s="155">
        <v>11913638.4</v>
      </c>
      <c r="H77" s="153">
        <v>88</v>
      </c>
      <c r="I77" s="155"/>
      <c r="J77" s="155"/>
      <c r="K77" s="155"/>
      <c r="L77" s="155"/>
      <c r="M77" s="155"/>
      <c r="N77" s="155"/>
      <c r="O77" s="148">
        <v>45195</v>
      </c>
      <c r="P77" s="149">
        <v>78.099999999999994</v>
      </c>
      <c r="Q77" s="149">
        <v>79.900000000000006</v>
      </c>
      <c r="R77" s="149">
        <v>78</v>
      </c>
      <c r="S77" s="149">
        <v>79.900000000000006</v>
      </c>
      <c r="T77" s="150">
        <v>22907</v>
      </c>
      <c r="U77" s="151">
        <v>1800350.8</v>
      </c>
      <c r="V77" s="149">
        <v>32</v>
      </c>
      <c r="Z77" s="1">
        <v>45076</v>
      </c>
      <c r="AA77">
        <v>46.8</v>
      </c>
      <c r="AB77">
        <v>10550</v>
      </c>
      <c r="AC77">
        <v>37747</v>
      </c>
      <c r="AF77" s="1">
        <v>45076</v>
      </c>
      <c r="AG77">
        <v>56.9</v>
      </c>
      <c r="AJ77" s="156">
        <f t="shared" si="1"/>
        <v>0.17750439367311074</v>
      </c>
    </row>
    <row r="78" spans="1:36" x14ac:dyDescent="0.3">
      <c r="A78" s="152">
        <v>45194</v>
      </c>
      <c r="B78" s="153">
        <v>89.5</v>
      </c>
      <c r="C78" s="153">
        <v>90</v>
      </c>
      <c r="D78" s="153">
        <v>88</v>
      </c>
      <c r="E78" s="153">
        <v>88.1</v>
      </c>
      <c r="F78" s="154">
        <v>45409</v>
      </c>
      <c r="G78" s="155">
        <v>4041786.4</v>
      </c>
      <c r="H78" s="153">
        <v>99</v>
      </c>
      <c r="I78" s="155"/>
      <c r="J78" s="155"/>
      <c r="K78" s="155"/>
      <c r="L78" s="155"/>
      <c r="M78" s="155"/>
      <c r="N78" s="155"/>
      <c r="O78" s="148">
        <v>45194</v>
      </c>
      <c r="P78" s="149">
        <v>78.099999999999994</v>
      </c>
      <c r="Q78" s="149">
        <v>80</v>
      </c>
      <c r="R78" s="149">
        <v>78</v>
      </c>
      <c r="S78" s="149">
        <v>78.400000000000006</v>
      </c>
      <c r="T78" s="150">
        <v>11105</v>
      </c>
      <c r="U78" s="151">
        <v>874963.7</v>
      </c>
      <c r="V78" s="149">
        <v>36</v>
      </c>
      <c r="Z78" s="1">
        <v>45075</v>
      </c>
      <c r="AA78">
        <v>47.2</v>
      </c>
      <c r="AB78">
        <v>11568</v>
      </c>
      <c r="AC78">
        <v>37721</v>
      </c>
      <c r="AF78" s="1">
        <v>45075</v>
      </c>
      <c r="AG78">
        <v>57</v>
      </c>
      <c r="AJ78" s="156">
        <f t="shared" si="1"/>
        <v>0.17192982456140346</v>
      </c>
    </row>
    <row r="79" spans="1:36" x14ac:dyDescent="0.3">
      <c r="A79" s="152">
        <v>45191</v>
      </c>
      <c r="B79" s="153">
        <v>88</v>
      </c>
      <c r="C79" s="153">
        <v>90.2</v>
      </c>
      <c r="D79" s="153">
        <v>87.6</v>
      </c>
      <c r="E79" s="153">
        <v>89.8</v>
      </c>
      <c r="F79" s="154">
        <v>66034</v>
      </c>
      <c r="G79" s="155">
        <v>5853582.7999999998</v>
      </c>
      <c r="H79" s="153">
        <v>78</v>
      </c>
      <c r="I79" s="155"/>
      <c r="J79" s="155"/>
      <c r="K79" s="155"/>
      <c r="L79" s="155"/>
      <c r="M79" s="155"/>
      <c r="N79" s="155"/>
      <c r="O79" s="148">
        <v>45191</v>
      </c>
      <c r="P79" s="149">
        <v>78</v>
      </c>
      <c r="Q79" s="149">
        <v>79</v>
      </c>
      <c r="R79" s="149">
        <v>77.099999999999994</v>
      </c>
      <c r="S79" s="149">
        <v>78.3</v>
      </c>
      <c r="T79" s="150">
        <v>10650</v>
      </c>
      <c r="U79" s="151">
        <v>830281.4</v>
      </c>
      <c r="V79" s="149">
        <v>20</v>
      </c>
      <c r="Z79" s="1">
        <v>45072</v>
      </c>
      <c r="AA79">
        <v>49.9</v>
      </c>
      <c r="AB79">
        <v>27404</v>
      </c>
      <c r="AC79">
        <v>40476</v>
      </c>
      <c r="AF79" s="1">
        <v>45072</v>
      </c>
      <c r="AG79">
        <v>58.9</v>
      </c>
      <c r="AJ79" s="156">
        <f t="shared" si="1"/>
        <v>0.15280135823429541</v>
      </c>
    </row>
    <row r="80" spans="1:36" x14ac:dyDescent="0.3">
      <c r="A80" s="152">
        <v>45190</v>
      </c>
      <c r="B80" s="153">
        <v>89.9</v>
      </c>
      <c r="C80" s="153">
        <v>89.9</v>
      </c>
      <c r="D80" s="153">
        <v>87.6</v>
      </c>
      <c r="E80" s="153">
        <v>88</v>
      </c>
      <c r="F80" s="154">
        <v>52475</v>
      </c>
      <c r="G80" s="155">
        <v>4653505.3</v>
      </c>
      <c r="H80" s="153">
        <v>89</v>
      </c>
      <c r="I80" s="155"/>
      <c r="J80" s="155"/>
      <c r="K80" s="155"/>
      <c r="L80" s="155"/>
      <c r="M80" s="155"/>
      <c r="N80" s="155"/>
      <c r="O80" s="148">
        <v>45190</v>
      </c>
      <c r="P80" s="149">
        <v>79</v>
      </c>
      <c r="Q80" s="149">
        <v>79.099999999999994</v>
      </c>
      <c r="R80" s="149">
        <v>77.099999999999994</v>
      </c>
      <c r="S80" s="149">
        <v>78.5</v>
      </c>
      <c r="T80" s="150">
        <v>28041</v>
      </c>
      <c r="U80" s="151">
        <v>2203656.7999999998</v>
      </c>
      <c r="V80" s="149">
        <v>54</v>
      </c>
      <c r="Z80" s="1">
        <v>45071</v>
      </c>
      <c r="AA80">
        <v>49.5</v>
      </c>
      <c r="AB80">
        <v>28150</v>
      </c>
      <c r="AC80">
        <v>39006</v>
      </c>
      <c r="AF80" s="1">
        <v>45071</v>
      </c>
      <c r="AG80">
        <v>58.2</v>
      </c>
      <c r="AJ80" s="156">
        <f t="shared" si="1"/>
        <v>0.14948453608247428</v>
      </c>
    </row>
    <row r="81" spans="1:36" x14ac:dyDescent="0.3">
      <c r="A81" s="152">
        <v>45189</v>
      </c>
      <c r="B81" s="153">
        <v>88.5</v>
      </c>
      <c r="C81" s="153">
        <v>89.5</v>
      </c>
      <c r="D81" s="153">
        <v>88</v>
      </c>
      <c r="E81" s="153">
        <v>89</v>
      </c>
      <c r="F81" s="154">
        <v>643824</v>
      </c>
      <c r="G81" s="155">
        <v>57188177.100000001</v>
      </c>
      <c r="H81" s="153">
        <v>101</v>
      </c>
      <c r="I81" s="155"/>
      <c r="J81" s="155"/>
      <c r="K81" s="155"/>
      <c r="L81" s="155"/>
      <c r="M81" s="155"/>
      <c r="N81" s="155"/>
      <c r="O81" s="148">
        <v>45189</v>
      </c>
      <c r="P81" s="149">
        <v>79</v>
      </c>
      <c r="Q81" s="149">
        <v>79</v>
      </c>
      <c r="R81" s="149">
        <v>78.5</v>
      </c>
      <c r="S81" s="149">
        <v>78.599999999999994</v>
      </c>
      <c r="T81" s="150">
        <v>11723</v>
      </c>
      <c r="U81" s="151">
        <v>925781.2</v>
      </c>
      <c r="V81" s="149">
        <v>22</v>
      </c>
      <c r="Z81" s="1">
        <v>45070</v>
      </c>
      <c r="AA81">
        <v>47.5</v>
      </c>
      <c r="AB81">
        <v>313629</v>
      </c>
      <c r="AC81">
        <v>39751</v>
      </c>
      <c r="AF81" s="1">
        <v>45070</v>
      </c>
      <c r="AG81">
        <v>58.5</v>
      </c>
      <c r="AJ81" s="156">
        <f t="shared" si="1"/>
        <v>0.18803418803418803</v>
      </c>
    </row>
    <row r="82" spans="1:36" x14ac:dyDescent="0.3">
      <c r="A82" s="152">
        <v>45188</v>
      </c>
      <c r="B82" s="153">
        <v>90</v>
      </c>
      <c r="C82" s="153">
        <v>90</v>
      </c>
      <c r="D82" s="153">
        <v>87</v>
      </c>
      <c r="E82" s="153">
        <v>87.3</v>
      </c>
      <c r="F82" s="154">
        <v>197486</v>
      </c>
      <c r="G82" s="155">
        <v>17410894.100000001</v>
      </c>
      <c r="H82" s="153">
        <v>261</v>
      </c>
      <c r="I82" s="155"/>
      <c r="J82" s="155"/>
      <c r="K82" s="155"/>
      <c r="L82" s="155"/>
      <c r="M82" s="155"/>
      <c r="N82" s="155"/>
      <c r="O82" s="148">
        <v>45188</v>
      </c>
      <c r="P82" s="149">
        <v>79.5</v>
      </c>
      <c r="Q82" s="149">
        <v>79.5</v>
      </c>
      <c r="R82" s="149">
        <v>77.8</v>
      </c>
      <c r="S82" s="149">
        <v>78</v>
      </c>
      <c r="T82" s="150">
        <v>39328</v>
      </c>
      <c r="U82" s="151">
        <v>3084580.9</v>
      </c>
      <c r="V82" s="149">
        <v>55</v>
      </c>
      <c r="Z82" s="1">
        <v>45069</v>
      </c>
      <c r="AA82">
        <v>44.7</v>
      </c>
      <c r="AB82">
        <v>4561</v>
      </c>
      <c r="AC82">
        <v>20656</v>
      </c>
      <c r="AF82" s="1">
        <v>45069</v>
      </c>
      <c r="AG82">
        <v>56.9</v>
      </c>
      <c r="AJ82" s="156">
        <f t="shared" si="1"/>
        <v>0.21441124780316337</v>
      </c>
    </row>
    <row r="83" spans="1:36" x14ac:dyDescent="0.3">
      <c r="A83" s="152">
        <v>45187</v>
      </c>
      <c r="B83" s="153">
        <v>92.5</v>
      </c>
      <c r="C83" s="153">
        <v>92.5</v>
      </c>
      <c r="D83" s="153">
        <v>89.5</v>
      </c>
      <c r="E83" s="153">
        <v>90</v>
      </c>
      <c r="F83" s="154">
        <v>183641</v>
      </c>
      <c r="G83" s="155">
        <v>16599368.800000001</v>
      </c>
      <c r="H83" s="153">
        <v>137</v>
      </c>
      <c r="I83" s="155"/>
      <c r="J83" s="155"/>
      <c r="K83" s="155"/>
      <c r="L83" s="155"/>
      <c r="M83" s="155"/>
      <c r="N83" s="155"/>
      <c r="O83" s="148">
        <v>45187</v>
      </c>
      <c r="P83" s="149">
        <v>80.5</v>
      </c>
      <c r="Q83" s="149">
        <v>80.5</v>
      </c>
      <c r="R83" s="149">
        <v>79.5</v>
      </c>
      <c r="S83" s="149">
        <v>79.599999999999994</v>
      </c>
      <c r="T83" s="150">
        <v>5635</v>
      </c>
      <c r="U83" s="151">
        <v>448805.7</v>
      </c>
      <c r="V83" s="149">
        <v>31</v>
      </c>
      <c r="Z83" s="1">
        <v>45068</v>
      </c>
      <c r="AA83">
        <v>45.1</v>
      </c>
      <c r="AB83">
        <v>6607</v>
      </c>
      <c r="AC83">
        <v>24974</v>
      </c>
      <c r="AF83" s="1">
        <v>45068</v>
      </c>
      <c r="AG83">
        <v>55</v>
      </c>
      <c r="AJ83" s="156">
        <f t="shared" si="1"/>
        <v>0.17999999999999997</v>
      </c>
    </row>
    <row r="84" spans="1:36" x14ac:dyDescent="0.3">
      <c r="A84" s="152">
        <v>45184</v>
      </c>
      <c r="B84" s="153">
        <v>93</v>
      </c>
      <c r="C84" s="153">
        <v>93</v>
      </c>
      <c r="D84" s="153">
        <v>91</v>
      </c>
      <c r="E84" s="153">
        <v>91.2</v>
      </c>
      <c r="F84" s="154">
        <v>130682</v>
      </c>
      <c r="G84" s="155">
        <v>12033569.6</v>
      </c>
      <c r="H84" s="153">
        <v>102</v>
      </c>
      <c r="I84" s="155"/>
      <c r="J84" s="155"/>
      <c r="K84" s="155"/>
      <c r="L84" s="155"/>
      <c r="M84" s="155"/>
      <c r="N84" s="155"/>
      <c r="O84" s="148">
        <v>45184</v>
      </c>
      <c r="P84" s="149">
        <v>80.900000000000006</v>
      </c>
      <c r="Q84" s="149">
        <v>80.900000000000006</v>
      </c>
      <c r="R84" s="149">
        <v>79.599999999999994</v>
      </c>
      <c r="S84" s="149">
        <v>80</v>
      </c>
      <c r="T84" s="150">
        <v>19618</v>
      </c>
      <c r="U84" s="151">
        <v>1574338.5</v>
      </c>
      <c r="V84" s="149">
        <v>48</v>
      </c>
      <c r="Z84" s="1">
        <v>45065</v>
      </c>
      <c r="AA84">
        <v>46.5</v>
      </c>
      <c r="AB84">
        <v>25550</v>
      </c>
      <c r="AC84">
        <v>26495</v>
      </c>
      <c r="AF84" s="1">
        <v>45065</v>
      </c>
      <c r="AG84">
        <v>56.4</v>
      </c>
      <c r="AJ84" s="156">
        <f t="shared" si="1"/>
        <v>0.175531914893617</v>
      </c>
    </row>
    <row r="85" spans="1:36" x14ac:dyDescent="0.3">
      <c r="A85" s="152">
        <v>45183</v>
      </c>
      <c r="B85" s="153">
        <v>91</v>
      </c>
      <c r="C85" s="153">
        <v>93</v>
      </c>
      <c r="D85" s="153">
        <v>91</v>
      </c>
      <c r="E85" s="153">
        <v>92</v>
      </c>
      <c r="F85" s="154">
        <v>73643</v>
      </c>
      <c r="G85" s="155">
        <v>6772640.0999999996</v>
      </c>
      <c r="H85" s="153">
        <v>91</v>
      </c>
      <c r="I85" s="155"/>
      <c r="J85" s="155"/>
      <c r="K85" s="155"/>
      <c r="L85" s="155"/>
      <c r="M85" s="155"/>
      <c r="N85" s="155"/>
      <c r="O85" s="148">
        <v>45183</v>
      </c>
      <c r="P85" s="149">
        <v>80.5</v>
      </c>
      <c r="Q85" s="149">
        <v>81.3</v>
      </c>
      <c r="R85" s="149">
        <v>80.3</v>
      </c>
      <c r="S85" s="149">
        <v>81.099999999999994</v>
      </c>
      <c r="T85" s="150">
        <v>13932</v>
      </c>
      <c r="U85" s="151">
        <v>1126420.6000000001</v>
      </c>
      <c r="V85" s="149">
        <v>42</v>
      </c>
      <c r="Z85" s="1">
        <v>45064</v>
      </c>
      <c r="AA85">
        <v>47.3</v>
      </c>
      <c r="AB85">
        <v>7576</v>
      </c>
      <c r="AC85">
        <v>26527</v>
      </c>
      <c r="AF85" s="1">
        <v>45064</v>
      </c>
      <c r="AG85">
        <v>57.9</v>
      </c>
      <c r="AJ85" s="156">
        <f t="shared" si="1"/>
        <v>0.18307426597582041</v>
      </c>
    </row>
    <row r="86" spans="1:36" x14ac:dyDescent="0.3">
      <c r="A86" s="152">
        <v>45182</v>
      </c>
      <c r="B86" s="153">
        <v>91</v>
      </c>
      <c r="C86" s="153">
        <v>92</v>
      </c>
      <c r="D86" s="153">
        <v>90.1</v>
      </c>
      <c r="E86" s="153">
        <v>91.5</v>
      </c>
      <c r="F86" s="154">
        <v>547373</v>
      </c>
      <c r="G86" s="155">
        <v>49793073</v>
      </c>
      <c r="H86" s="153">
        <v>137</v>
      </c>
      <c r="I86" s="155"/>
      <c r="J86" s="155"/>
      <c r="K86" s="155"/>
      <c r="L86" s="155"/>
      <c r="M86" s="155"/>
      <c r="N86" s="155"/>
      <c r="O86" s="148">
        <v>45182</v>
      </c>
      <c r="P86" s="149">
        <v>80</v>
      </c>
      <c r="Q86" s="149">
        <v>80.5</v>
      </c>
      <c r="R86" s="149">
        <v>80</v>
      </c>
      <c r="S86" s="149">
        <v>80</v>
      </c>
      <c r="T86" s="150">
        <v>15732</v>
      </c>
      <c r="U86" s="151">
        <v>1258568.8</v>
      </c>
      <c r="V86" s="149">
        <v>35</v>
      </c>
      <c r="Z86" s="1">
        <v>45063</v>
      </c>
      <c r="AA86">
        <v>48.8</v>
      </c>
      <c r="AB86">
        <v>1136</v>
      </c>
      <c r="AC86">
        <v>27123</v>
      </c>
      <c r="AF86" s="1">
        <v>45063</v>
      </c>
      <c r="AG86">
        <v>58</v>
      </c>
      <c r="AJ86" s="156">
        <f t="shared" si="1"/>
        <v>0.15862068965517245</v>
      </c>
    </row>
    <row r="87" spans="1:36" x14ac:dyDescent="0.3">
      <c r="A87" s="152">
        <v>45181</v>
      </c>
      <c r="B87" s="153">
        <v>92</v>
      </c>
      <c r="C87" s="153">
        <v>92</v>
      </c>
      <c r="D87" s="153">
        <v>90</v>
      </c>
      <c r="E87" s="153">
        <v>90.4</v>
      </c>
      <c r="F87" s="154">
        <v>189696</v>
      </c>
      <c r="G87" s="155">
        <v>17132893.800000001</v>
      </c>
      <c r="H87" s="153">
        <v>124</v>
      </c>
      <c r="I87" s="155"/>
      <c r="J87" s="155"/>
      <c r="K87" s="155"/>
      <c r="L87" s="155"/>
      <c r="M87" s="155"/>
      <c r="N87" s="155"/>
      <c r="O87" s="148">
        <v>45181</v>
      </c>
      <c r="P87" s="149">
        <v>80.5</v>
      </c>
      <c r="Q87" s="149">
        <v>81</v>
      </c>
      <c r="R87" s="149">
        <v>80</v>
      </c>
      <c r="S87" s="149">
        <v>80.7</v>
      </c>
      <c r="T87" s="150">
        <v>10015</v>
      </c>
      <c r="U87" s="151">
        <v>803152.8</v>
      </c>
      <c r="V87" s="149">
        <v>39</v>
      </c>
      <c r="Z87" s="1">
        <v>45062</v>
      </c>
      <c r="AA87">
        <v>49.9</v>
      </c>
      <c r="AB87">
        <v>65215</v>
      </c>
      <c r="AC87">
        <v>28722</v>
      </c>
      <c r="AF87" s="1">
        <v>45062</v>
      </c>
      <c r="AG87">
        <v>58</v>
      </c>
      <c r="AJ87" s="156">
        <f t="shared" si="1"/>
        <v>0.13965517241379313</v>
      </c>
    </row>
    <row r="88" spans="1:36" x14ac:dyDescent="0.3">
      <c r="A88" s="152">
        <v>45180</v>
      </c>
      <c r="B88" s="153">
        <v>92.8</v>
      </c>
      <c r="C88" s="153">
        <v>92.9</v>
      </c>
      <c r="D88" s="153">
        <v>90.4</v>
      </c>
      <c r="E88" s="153">
        <v>90.5</v>
      </c>
      <c r="F88" s="154">
        <v>61359</v>
      </c>
      <c r="G88" s="155">
        <v>5639551.2999999998</v>
      </c>
      <c r="H88" s="153">
        <v>95</v>
      </c>
      <c r="I88" s="155"/>
      <c r="J88" s="155"/>
      <c r="K88" s="155"/>
      <c r="L88" s="155"/>
      <c r="M88" s="155"/>
      <c r="N88" s="155"/>
      <c r="O88" s="148">
        <v>45180</v>
      </c>
      <c r="P88" s="149">
        <v>80.5</v>
      </c>
      <c r="Q88" s="149">
        <v>80.8</v>
      </c>
      <c r="R88" s="149">
        <v>80</v>
      </c>
      <c r="S88" s="149">
        <v>80.2</v>
      </c>
      <c r="T88" s="150">
        <v>7177</v>
      </c>
      <c r="U88" s="151">
        <v>574971.4</v>
      </c>
      <c r="V88" s="149">
        <v>26</v>
      </c>
      <c r="Z88" s="1">
        <v>45061</v>
      </c>
      <c r="AA88">
        <v>49.3</v>
      </c>
      <c r="AB88">
        <v>3561</v>
      </c>
      <c r="AC88">
        <v>24794</v>
      </c>
      <c r="AF88" s="1">
        <v>45061</v>
      </c>
      <c r="AG88">
        <v>58.2</v>
      </c>
      <c r="AJ88" s="156">
        <f t="shared" si="1"/>
        <v>0.15292096219931281</v>
      </c>
    </row>
    <row r="89" spans="1:36" x14ac:dyDescent="0.3">
      <c r="A89" s="152">
        <v>45177</v>
      </c>
      <c r="B89" s="153">
        <v>92.1</v>
      </c>
      <c r="C89" s="153">
        <v>93</v>
      </c>
      <c r="D89" s="153">
        <v>92.1</v>
      </c>
      <c r="E89" s="153">
        <v>92.8</v>
      </c>
      <c r="F89" s="154">
        <v>132256</v>
      </c>
      <c r="G89" s="155">
        <v>12272283.699999999</v>
      </c>
      <c r="H89" s="153">
        <v>88</v>
      </c>
      <c r="I89" s="155"/>
      <c r="J89" s="155"/>
      <c r="K89" s="155"/>
      <c r="L89" s="155"/>
      <c r="M89" s="155"/>
      <c r="N89" s="155"/>
      <c r="O89" s="148">
        <v>45177</v>
      </c>
      <c r="P89" s="149">
        <v>80</v>
      </c>
      <c r="Q89" s="149">
        <v>81</v>
      </c>
      <c r="R89" s="149">
        <v>79</v>
      </c>
      <c r="S89" s="149">
        <v>80.099999999999994</v>
      </c>
      <c r="T89" s="150">
        <v>59258</v>
      </c>
      <c r="U89" s="151">
        <v>4741899.5</v>
      </c>
      <c r="V89" s="149">
        <v>50</v>
      </c>
      <c r="Z89" s="1">
        <v>45058</v>
      </c>
      <c r="AA89">
        <v>47.1</v>
      </c>
      <c r="AB89">
        <v>5362</v>
      </c>
      <c r="AC89">
        <v>27583</v>
      </c>
      <c r="AF89" s="1">
        <v>45058</v>
      </c>
      <c r="AG89">
        <v>59.2</v>
      </c>
      <c r="AJ89" s="156">
        <f t="shared" si="1"/>
        <v>0.20439189189189191</v>
      </c>
    </row>
    <row r="90" spans="1:36" x14ac:dyDescent="0.3">
      <c r="A90" s="152">
        <v>45176</v>
      </c>
      <c r="B90" s="153">
        <v>93</v>
      </c>
      <c r="C90" s="153">
        <v>93</v>
      </c>
      <c r="D90" s="153">
        <v>90.1</v>
      </c>
      <c r="E90" s="153">
        <v>92.1</v>
      </c>
      <c r="F90" s="154">
        <v>135448</v>
      </c>
      <c r="G90" s="155">
        <v>12462854.699999999</v>
      </c>
      <c r="H90" s="153">
        <v>115</v>
      </c>
      <c r="I90" s="155"/>
      <c r="J90" s="155"/>
      <c r="K90" s="155"/>
      <c r="L90" s="155"/>
      <c r="M90" s="155"/>
      <c r="N90" s="155"/>
      <c r="O90" s="148">
        <v>45176</v>
      </c>
      <c r="P90" s="149">
        <v>80.5</v>
      </c>
      <c r="Q90" s="149">
        <v>82</v>
      </c>
      <c r="R90" s="149">
        <v>80</v>
      </c>
      <c r="S90" s="149">
        <v>80.400000000000006</v>
      </c>
      <c r="T90" s="150">
        <v>13061</v>
      </c>
      <c r="U90" s="151">
        <v>1047494.2</v>
      </c>
      <c r="V90" s="149">
        <v>27</v>
      </c>
      <c r="Z90" s="1">
        <v>45057</v>
      </c>
      <c r="AA90">
        <v>48.8</v>
      </c>
      <c r="AB90">
        <v>28878</v>
      </c>
      <c r="AC90">
        <v>34672</v>
      </c>
      <c r="AF90" s="1">
        <v>45057</v>
      </c>
      <c r="AG90">
        <v>60.2</v>
      </c>
      <c r="AJ90" s="156">
        <f t="shared" si="1"/>
        <v>0.18936877076411968</v>
      </c>
    </row>
    <row r="91" spans="1:36" x14ac:dyDescent="0.3">
      <c r="A91" s="152">
        <v>45175</v>
      </c>
      <c r="B91" s="153">
        <v>95</v>
      </c>
      <c r="C91" s="153">
        <v>95.4</v>
      </c>
      <c r="D91" s="153">
        <v>92</v>
      </c>
      <c r="E91" s="153">
        <v>92.2</v>
      </c>
      <c r="F91" s="154">
        <v>283191</v>
      </c>
      <c r="G91" s="155">
        <v>26731861.800000001</v>
      </c>
      <c r="H91" s="153">
        <v>211</v>
      </c>
      <c r="I91" s="155"/>
      <c r="J91" s="155"/>
      <c r="K91" s="155"/>
      <c r="L91" s="155"/>
      <c r="M91" s="155"/>
      <c r="N91" s="155"/>
      <c r="O91" s="148">
        <v>45175</v>
      </c>
      <c r="P91" s="149">
        <v>84.4</v>
      </c>
      <c r="Q91" s="149">
        <v>84.4</v>
      </c>
      <c r="R91" s="149">
        <v>80</v>
      </c>
      <c r="S91" s="149">
        <v>80.2</v>
      </c>
      <c r="T91" s="150">
        <v>33515</v>
      </c>
      <c r="U91" s="151">
        <v>2726526</v>
      </c>
      <c r="V91" s="149">
        <v>53</v>
      </c>
      <c r="Z91" s="1">
        <v>45056</v>
      </c>
      <c r="AA91">
        <v>46.5</v>
      </c>
      <c r="AB91">
        <v>26458</v>
      </c>
      <c r="AC91">
        <v>32946</v>
      </c>
      <c r="AF91" s="1">
        <v>45056</v>
      </c>
      <c r="AG91">
        <v>57</v>
      </c>
      <c r="AJ91" s="156">
        <f t="shared" si="1"/>
        <v>0.18421052631578946</v>
      </c>
    </row>
    <row r="92" spans="1:36" x14ac:dyDescent="0.3">
      <c r="A92" s="152">
        <v>45174</v>
      </c>
      <c r="B92" s="153">
        <v>93.5</v>
      </c>
      <c r="C92" s="153">
        <v>96</v>
      </c>
      <c r="D92" s="153">
        <v>93.3</v>
      </c>
      <c r="E92" s="153">
        <v>95</v>
      </c>
      <c r="F92" s="154">
        <v>1447012</v>
      </c>
      <c r="G92" s="155">
        <v>137533185.09999999</v>
      </c>
      <c r="H92" s="153">
        <v>366</v>
      </c>
      <c r="I92" s="155"/>
      <c r="J92" s="155"/>
      <c r="K92" s="155"/>
      <c r="L92" s="155"/>
      <c r="M92" s="155"/>
      <c r="N92" s="155"/>
      <c r="O92" s="148">
        <v>45174</v>
      </c>
      <c r="P92" s="149">
        <v>81.5</v>
      </c>
      <c r="Q92" s="149">
        <v>85.5</v>
      </c>
      <c r="R92" s="149">
        <v>81.5</v>
      </c>
      <c r="S92" s="149">
        <v>83.5</v>
      </c>
      <c r="T92" s="150">
        <v>88078</v>
      </c>
      <c r="U92" s="151">
        <v>7375703</v>
      </c>
      <c r="V92" s="149">
        <v>85</v>
      </c>
      <c r="Z92" s="1">
        <v>45055</v>
      </c>
      <c r="AA92">
        <v>46.7</v>
      </c>
      <c r="AB92">
        <v>10161</v>
      </c>
      <c r="AC92">
        <v>32740</v>
      </c>
      <c r="AF92" s="1">
        <v>45055</v>
      </c>
      <c r="AG92">
        <v>57.2</v>
      </c>
      <c r="AJ92" s="156">
        <f t="shared" si="1"/>
        <v>0.18356643356643357</v>
      </c>
    </row>
    <row r="93" spans="1:36" x14ac:dyDescent="0.3">
      <c r="A93" s="152">
        <v>45173</v>
      </c>
      <c r="B93" s="153">
        <v>90</v>
      </c>
      <c r="C93" s="153">
        <v>93.9</v>
      </c>
      <c r="D93" s="153">
        <v>89.9</v>
      </c>
      <c r="E93" s="153">
        <v>93.3</v>
      </c>
      <c r="F93" s="154">
        <v>583695</v>
      </c>
      <c r="G93" s="155">
        <v>54088714.299999997</v>
      </c>
      <c r="H93" s="153">
        <v>328</v>
      </c>
      <c r="I93" s="155"/>
      <c r="J93" s="155"/>
      <c r="K93" s="155"/>
      <c r="L93" s="155"/>
      <c r="M93" s="155"/>
      <c r="N93" s="155"/>
      <c r="O93" s="148">
        <v>45173</v>
      </c>
      <c r="P93" s="149">
        <v>80</v>
      </c>
      <c r="Q93" s="149">
        <v>82</v>
      </c>
      <c r="R93" s="149">
        <v>80</v>
      </c>
      <c r="S93" s="149">
        <v>81.599999999999994</v>
      </c>
      <c r="T93" s="150">
        <v>21898</v>
      </c>
      <c r="U93" s="151">
        <v>1772303.2</v>
      </c>
      <c r="V93" s="149">
        <v>71</v>
      </c>
      <c r="Z93" s="1">
        <v>45054</v>
      </c>
      <c r="AA93">
        <v>46.6</v>
      </c>
      <c r="AB93">
        <v>52895</v>
      </c>
      <c r="AC93">
        <v>32238</v>
      </c>
      <c r="AF93" s="1">
        <v>45054</v>
      </c>
      <c r="AG93">
        <v>56.4</v>
      </c>
      <c r="AJ93" s="156">
        <f t="shared" si="1"/>
        <v>0.1737588652482269</v>
      </c>
    </row>
    <row r="94" spans="1:36" x14ac:dyDescent="0.3">
      <c r="A94" s="152">
        <v>45170</v>
      </c>
      <c r="B94" s="153">
        <v>86.5</v>
      </c>
      <c r="C94" s="153">
        <v>90</v>
      </c>
      <c r="D94" s="153">
        <v>86.5</v>
      </c>
      <c r="E94" s="153">
        <v>88.4</v>
      </c>
      <c r="F94" s="154">
        <v>277325</v>
      </c>
      <c r="G94" s="155">
        <v>24442154.5</v>
      </c>
      <c r="H94" s="153">
        <v>165</v>
      </c>
      <c r="I94" s="155"/>
      <c r="J94" s="155"/>
      <c r="K94" s="155"/>
      <c r="L94" s="155"/>
      <c r="M94" s="155"/>
      <c r="N94" s="155"/>
      <c r="O94" s="148">
        <v>45170</v>
      </c>
      <c r="P94" s="149">
        <v>77.5</v>
      </c>
      <c r="Q94" s="149">
        <v>80.5</v>
      </c>
      <c r="R94" s="149">
        <v>77</v>
      </c>
      <c r="S94" s="149">
        <v>79.5</v>
      </c>
      <c r="T94" s="150">
        <v>37093</v>
      </c>
      <c r="U94" s="151">
        <v>2920149.1</v>
      </c>
      <c r="V94" s="149">
        <v>76</v>
      </c>
      <c r="Z94" s="1">
        <v>45050</v>
      </c>
      <c r="AA94">
        <v>45</v>
      </c>
      <c r="AB94">
        <v>5346</v>
      </c>
      <c r="AC94">
        <v>29482</v>
      </c>
      <c r="AF94" s="1">
        <v>45050</v>
      </c>
      <c r="AG94">
        <v>54.4</v>
      </c>
      <c r="AJ94" s="156">
        <f t="shared" si="1"/>
        <v>0.17279411764705879</v>
      </c>
    </row>
    <row r="95" spans="1:36" x14ac:dyDescent="0.3">
      <c r="A95" s="152">
        <v>45169</v>
      </c>
      <c r="B95" s="153">
        <v>87.4</v>
      </c>
      <c r="C95" s="153">
        <v>87.9</v>
      </c>
      <c r="D95" s="153">
        <v>86.5</v>
      </c>
      <c r="E95" s="153">
        <v>86.6</v>
      </c>
      <c r="F95" s="154">
        <v>47446</v>
      </c>
      <c r="G95" s="155">
        <v>4124727.9</v>
      </c>
      <c r="H95" s="153">
        <v>83</v>
      </c>
      <c r="I95" s="155"/>
      <c r="J95" s="155"/>
      <c r="K95" s="155"/>
      <c r="L95" s="155"/>
      <c r="M95" s="155"/>
      <c r="N95" s="155"/>
      <c r="O95" s="148">
        <v>45169</v>
      </c>
      <c r="P95" s="149">
        <v>77.5</v>
      </c>
      <c r="Q95" s="149">
        <v>77.8</v>
      </c>
      <c r="R95" s="149">
        <v>77.3</v>
      </c>
      <c r="S95" s="149">
        <v>77.3</v>
      </c>
      <c r="T95" s="150">
        <v>18188</v>
      </c>
      <c r="U95" s="151">
        <v>1408856.8</v>
      </c>
      <c r="V95" s="149">
        <v>40</v>
      </c>
      <c r="Z95" s="1">
        <v>45049</v>
      </c>
      <c r="AA95">
        <v>43.8</v>
      </c>
      <c r="AB95">
        <v>39330</v>
      </c>
      <c r="AC95">
        <v>29324</v>
      </c>
      <c r="AF95" s="1">
        <v>45049</v>
      </c>
      <c r="AG95">
        <v>53</v>
      </c>
      <c r="AJ95" s="156">
        <f t="shared" si="1"/>
        <v>0.1735849056603774</v>
      </c>
    </row>
    <row r="96" spans="1:36" x14ac:dyDescent="0.3">
      <c r="A96" s="152">
        <v>45167</v>
      </c>
      <c r="B96" s="153">
        <v>87</v>
      </c>
      <c r="C96" s="153">
        <v>87.1</v>
      </c>
      <c r="D96" s="153">
        <v>86.4</v>
      </c>
      <c r="E96" s="153">
        <v>87</v>
      </c>
      <c r="F96" s="154">
        <v>200701</v>
      </c>
      <c r="G96" s="155">
        <v>17433845.800000001</v>
      </c>
      <c r="H96" s="153">
        <v>123</v>
      </c>
      <c r="I96" s="155"/>
      <c r="J96" s="155"/>
      <c r="K96" s="155"/>
      <c r="L96" s="155"/>
      <c r="M96" s="155"/>
      <c r="N96" s="155"/>
      <c r="O96" s="148">
        <v>45167</v>
      </c>
      <c r="P96" s="149">
        <v>78.099999999999994</v>
      </c>
      <c r="Q96" s="149">
        <v>78.7</v>
      </c>
      <c r="R96" s="149">
        <v>77.5</v>
      </c>
      <c r="S96" s="149">
        <v>77.7</v>
      </c>
      <c r="T96" s="150">
        <v>3645</v>
      </c>
      <c r="U96" s="151">
        <v>283966.59999999998</v>
      </c>
      <c r="V96" s="149">
        <v>30</v>
      </c>
      <c r="Z96" s="1">
        <v>45048</v>
      </c>
      <c r="AA96">
        <v>44.8</v>
      </c>
      <c r="AB96">
        <v>27209</v>
      </c>
      <c r="AC96">
        <v>26817</v>
      </c>
      <c r="AF96" s="1">
        <v>45048</v>
      </c>
      <c r="AG96">
        <v>54.2</v>
      </c>
      <c r="AJ96" s="156">
        <f t="shared" si="1"/>
        <v>0.17343173431734327</v>
      </c>
    </row>
    <row r="97" spans="1:36" x14ac:dyDescent="0.3">
      <c r="A97" s="152">
        <v>45166</v>
      </c>
      <c r="B97" s="153">
        <v>87.3</v>
      </c>
      <c r="C97" s="153">
        <v>87.5</v>
      </c>
      <c r="D97" s="153">
        <v>86.5</v>
      </c>
      <c r="E97" s="153">
        <v>87</v>
      </c>
      <c r="F97" s="154">
        <v>844341</v>
      </c>
      <c r="G97" s="155">
        <v>73452136.400000006</v>
      </c>
      <c r="H97" s="153">
        <v>239</v>
      </c>
      <c r="I97" s="155"/>
      <c r="J97" s="155"/>
      <c r="K97" s="155"/>
      <c r="L97" s="155"/>
      <c r="M97" s="155"/>
      <c r="N97" s="155"/>
      <c r="O97" s="148">
        <v>45166</v>
      </c>
      <c r="P97" s="149">
        <v>80</v>
      </c>
      <c r="Q97" s="149">
        <v>81</v>
      </c>
      <c r="R97" s="149">
        <v>77.8</v>
      </c>
      <c r="S97" s="149">
        <v>77.900000000000006</v>
      </c>
      <c r="T97" s="150">
        <v>49578</v>
      </c>
      <c r="U97" s="151">
        <v>3945631.1</v>
      </c>
      <c r="V97" s="149">
        <v>62</v>
      </c>
      <c r="Z97" s="1">
        <v>45044</v>
      </c>
      <c r="AA97">
        <v>46</v>
      </c>
      <c r="AB97">
        <v>69329</v>
      </c>
      <c r="AC97">
        <v>25354</v>
      </c>
      <c r="AF97" s="1">
        <v>45044</v>
      </c>
      <c r="AG97">
        <v>56.7</v>
      </c>
      <c r="AJ97" s="156">
        <f t="shared" si="1"/>
        <v>0.18871252204585542</v>
      </c>
    </row>
    <row r="98" spans="1:36" x14ac:dyDescent="0.3">
      <c r="A98" s="152">
        <v>45163</v>
      </c>
      <c r="B98" s="153">
        <v>89.6</v>
      </c>
      <c r="C98" s="153">
        <v>89.6</v>
      </c>
      <c r="D98" s="153">
        <v>80</v>
      </c>
      <c r="E98" s="153">
        <v>87</v>
      </c>
      <c r="F98" s="154">
        <v>294307</v>
      </c>
      <c r="G98" s="155">
        <v>25588736.699999999</v>
      </c>
      <c r="H98" s="153">
        <v>308</v>
      </c>
      <c r="I98" s="155"/>
      <c r="J98" s="155"/>
      <c r="K98" s="155"/>
      <c r="L98" s="155"/>
      <c r="M98" s="155"/>
      <c r="N98" s="155"/>
      <c r="O98" s="148">
        <v>45163</v>
      </c>
      <c r="P98" s="149">
        <v>81</v>
      </c>
      <c r="Q98" s="149">
        <v>81</v>
      </c>
      <c r="R98" s="149">
        <v>80</v>
      </c>
      <c r="S98" s="149">
        <v>81</v>
      </c>
      <c r="T98" s="150">
        <v>137426</v>
      </c>
      <c r="U98" s="151">
        <v>11106484.800000001</v>
      </c>
      <c r="V98" s="149">
        <v>63</v>
      </c>
      <c r="Z98" s="1">
        <v>45043</v>
      </c>
      <c r="AA98">
        <v>46.2</v>
      </c>
      <c r="AB98">
        <v>29425</v>
      </c>
      <c r="AC98">
        <v>21617</v>
      </c>
      <c r="AF98" s="1">
        <v>45043</v>
      </c>
      <c r="AG98">
        <v>57.1</v>
      </c>
      <c r="AJ98" s="156">
        <f t="shared" si="1"/>
        <v>0.19089316987740804</v>
      </c>
    </row>
    <row r="99" spans="1:36" x14ac:dyDescent="0.3">
      <c r="A99" s="152">
        <v>45162</v>
      </c>
      <c r="B99" s="153">
        <v>93.5</v>
      </c>
      <c r="C99" s="153">
        <v>93.5</v>
      </c>
      <c r="D99" s="153">
        <v>89.5</v>
      </c>
      <c r="E99" s="153">
        <v>90.2</v>
      </c>
      <c r="F99" s="154">
        <v>914560</v>
      </c>
      <c r="G99" s="155">
        <v>83025650.799999997</v>
      </c>
      <c r="H99" s="153">
        <v>242</v>
      </c>
      <c r="I99" s="155"/>
      <c r="J99" s="155"/>
      <c r="K99" s="155"/>
      <c r="L99" s="155"/>
      <c r="M99" s="155"/>
      <c r="N99" s="155"/>
      <c r="O99" s="148">
        <v>45162</v>
      </c>
      <c r="P99" s="149">
        <v>82.5</v>
      </c>
      <c r="Q99" s="149">
        <v>82.5</v>
      </c>
      <c r="R99" s="149">
        <v>81</v>
      </c>
      <c r="S99" s="149">
        <v>82.5</v>
      </c>
      <c r="T99" s="150">
        <v>267401</v>
      </c>
      <c r="U99" s="151">
        <v>22057759.600000001</v>
      </c>
      <c r="V99" s="149">
        <v>59</v>
      </c>
      <c r="Z99" s="1">
        <v>45042</v>
      </c>
      <c r="AA99">
        <v>47.9</v>
      </c>
      <c r="AB99">
        <v>26021</v>
      </c>
      <c r="AC99">
        <v>22027</v>
      </c>
      <c r="AF99" s="1">
        <v>45042</v>
      </c>
      <c r="AG99">
        <v>58</v>
      </c>
      <c r="AJ99" s="156">
        <f t="shared" si="1"/>
        <v>0.17413793103448277</v>
      </c>
    </row>
    <row r="100" spans="1:36" x14ac:dyDescent="0.3">
      <c r="A100" s="152">
        <v>45161</v>
      </c>
      <c r="B100" s="153">
        <v>90</v>
      </c>
      <c r="C100" s="153">
        <v>94</v>
      </c>
      <c r="D100" s="153">
        <v>89.5</v>
      </c>
      <c r="E100" s="153">
        <v>93.1</v>
      </c>
      <c r="F100" s="154">
        <v>1706011</v>
      </c>
      <c r="G100" s="155">
        <v>155227110</v>
      </c>
      <c r="H100" s="153">
        <v>366</v>
      </c>
      <c r="I100" s="155"/>
      <c r="J100" s="155"/>
      <c r="K100" s="155"/>
      <c r="L100" s="155"/>
      <c r="M100" s="155"/>
      <c r="N100" s="155"/>
      <c r="O100" s="148">
        <v>45161</v>
      </c>
      <c r="P100" s="149">
        <v>81</v>
      </c>
      <c r="Q100" s="149">
        <v>84.7</v>
      </c>
      <c r="R100" s="149">
        <v>80.900000000000006</v>
      </c>
      <c r="S100" s="149">
        <v>83</v>
      </c>
      <c r="T100" s="150">
        <v>217608</v>
      </c>
      <c r="U100" s="151">
        <v>17970016.800000001</v>
      </c>
      <c r="V100" s="149">
        <v>101</v>
      </c>
      <c r="Z100" s="1">
        <v>45041</v>
      </c>
      <c r="AA100">
        <v>48.3</v>
      </c>
      <c r="AB100">
        <v>16512</v>
      </c>
      <c r="AC100">
        <v>20963</v>
      </c>
      <c r="AF100" s="1">
        <v>45041</v>
      </c>
      <c r="AG100">
        <v>57.9</v>
      </c>
      <c r="AJ100" s="156">
        <f t="shared" si="1"/>
        <v>0.16580310880829019</v>
      </c>
    </row>
    <row r="101" spans="1:36" x14ac:dyDescent="0.3">
      <c r="A101" s="152">
        <v>45160</v>
      </c>
      <c r="B101" s="153">
        <v>91.1</v>
      </c>
      <c r="C101" s="153">
        <v>91.4</v>
      </c>
      <c r="D101" s="153">
        <v>89.3</v>
      </c>
      <c r="E101" s="153">
        <v>90</v>
      </c>
      <c r="F101" s="154">
        <v>383293</v>
      </c>
      <c r="G101" s="155">
        <v>34511657.299999997</v>
      </c>
      <c r="H101" s="153">
        <v>326</v>
      </c>
      <c r="I101" s="155"/>
      <c r="J101" s="155"/>
      <c r="K101" s="155"/>
      <c r="L101" s="155"/>
      <c r="M101" s="155"/>
      <c r="N101" s="155"/>
      <c r="O101" s="148">
        <v>45160</v>
      </c>
      <c r="P101" s="149">
        <v>80.400000000000006</v>
      </c>
      <c r="Q101" s="149">
        <v>81</v>
      </c>
      <c r="R101" s="149">
        <v>79.400000000000006</v>
      </c>
      <c r="S101" s="149">
        <v>80</v>
      </c>
      <c r="T101" s="150">
        <v>54432</v>
      </c>
      <c r="U101" s="151">
        <v>4353571.5</v>
      </c>
      <c r="V101" s="149">
        <v>94</v>
      </c>
      <c r="Z101" s="1">
        <v>45040</v>
      </c>
      <c r="AA101">
        <v>48.5</v>
      </c>
      <c r="AB101">
        <v>25121</v>
      </c>
      <c r="AC101">
        <v>19871</v>
      </c>
      <c r="AF101" s="1">
        <v>45040</v>
      </c>
      <c r="AG101">
        <v>58.1</v>
      </c>
      <c r="AJ101" s="156">
        <f t="shared" si="1"/>
        <v>0.16523235800344235</v>
      </c>
    </row>
    <row r="102" spans="1:36" x14ac:dyDescent="0.3">
      <c r="A102" s="152">
        <v>45159</v>
      </c>
      <c r="B102" s="153">
        <v>93.5</v>
      </c>
      <c r="C102" s="153">
        <v>95</v>
      </c>
      <c r="D102" s="153">
        <v>91.4</v>
      </c>
      <c r="E102" s="153">
        <v>92.2</v>
      </c>
      <c r="F102" s="154">
        <v>713074</v>
      </c>
      <c r="G102" s="155">
        <v>66474259.899999999</v>
      </c>
      <c r="H102" s="153">
        <v>255</v>
      </c>
      <c r="I102" s="155"/>
      <c r="J102" s="155"/>
      <c r="K102" s="155"/>
      <c r="L102" s="155"/>
      <c r="M102" s="155"/>
      <c r="N102" s="155"/>
      <c r="O102" s="148">
        <v>45159</v>
      </c>
      <c r="P102" s="149">
        <v>81.5</v>
      </c>
      <c r="Q102" s="149">
        <v>82</v>
      </c>
      <c r="R102" s="149">
        <v>80.400000000000006</v>
      </c>
      <c r="S102" s="149">
        <v>80.7</v>
      </c>
      <c r="T102" s="150">
        <v>244806</v>
      </c>
      <c r="U102" s="151">
        <v>19819884.699999999</v>
      </c>
      <c r="V102" s="149">
        <v>95</v>
      </c>
      <c r="Z102" s="1">
        <v>45037</v>
      </c>
      <c r="AA102">
        <v>49.3</v>
      </c>
      <c r="AB102">
        <v>6302</v>
      </c>
      <c r="AC102">
        <v>22862</v>
      </c>
      <c r="AF102" s="1">
        <v>45037</v>
      </c>
      <c r="AG102">
        <v>59.9</v>
      </c>
      <c r="AJ102" s="156">
        <f t="shared" si="1"/>
        <v>0.17696160267111855</v>
      </c>
    </row>
    <row r="103" spans="1:36" x14ac:dyDescent="0.3">
      <c r="A103" s="152">
        <v>45156</v>
      </c>
      <c r="B103" s="153">
        <v>96</v>
      </c>
      <c r="C103" s="153">
        <v>96</v>
      </c>
      <c r="D103" s="153">
        <v>93.1</v>
      </c>
      <c r="E103" s="153">
        <v>93.6</v>
      </c>
      <c r="F103" s="154">
        <v>258047</v>
      </c>
      <c r="G103" s="155">
        <v>24222225.300000001</v>
      </c>
      <c r="H103" s="153">
        <v>232</v>
      </c>
      <c r="I103" s="155"/>
      <c r="J103" s="155"/>
      <c r="K103" s="155"/>
      <c r="L103" s="155"/>
      <c r="M103" s="155"/>
      <c r="N103" s="155"/>
      <c r="O103" s="148">
        <v>45156</v>
      </c>
      <c r="P103" s="149">
        <v>83.5</v>
      </c>
      <c r="Q103" s="149">
        <v>84.1</v>
      </c>
      <c r="R103" s="149">
        <v>82.1</v>
      </c>
      <c r="S103" s="149">
        <v>82.8</v>
      </c>
      <c r="T103" s="150">
        <v>58814</v>
      </c>
      <c r="U103" s="151">
        <v>4877092.4000000004</v>
      </c>
      <c r="V103" s="149">
        <v>58</v>
      </c>
      <c r="Z103" s="1">
        <v>45036</v>
      </c>
      <c r="AA103">
        <v>50</v>
      </c>
      <c r="AB103">
        <v>45401</v>
      </c>
      <c r="AC103">
        <v>24304</v>
      </c>
      <c r="AF103" s="1">
        <v>45036</v>
      </c>
      <c r="AG103">
        <v>60.1</v>
      </c>
      <c r="AJ103" s="156">
        <f t="shared" si="1"/>
        <v>0.16805324459234611</v>
      </c>
    </row>
    <row r="104" spans="1:36" x14ac:dyDescent="0.3">
      <c r="A104" s="152">
        <v>45155</v>
      </c>
      <c r="B104" s="153">
        <v>97.3</v>
      </c>
      <c r="C104" s="153">
        <v>97.3</v>
      </c>
      <c r="D104" s="153">
        <v>95</v>
      </c>
      <c r="E104" s="153">
        <v>95.9</v>
      </c>
      <c r="F104" s="154">
        <v>378220</v>
      </c>
      <c r="G104" s="155">
        <v>36429553.700000003</v>
      </c>
      <c r="H104" s="153">
        <v>219</v>
      </c>
      <c r="I104" s="155"/>
      <c r="J104" s="155"/>
      <c r="K104" s="155"/>
      <c r="L104" s="155"/>
      <c r="M104" s="155"/>
      <c r="N104" s="155"/>
      <c r="O104" s="148">
        <v>45155</v>
      </c>
      <c r="P104" s="149">
        <v>83</v>
      </c>
      <c r="Q104" s="149">
        <v>84.9</v>
      </c>
      <c r="R104" s="149">
        <v>83</v>
      </c>
      <c r="S104" s="149">
        <v>83.7</v>
      </c>
      <c r="T104" s="150">
        <v>62749</v>
      </c>
      <c r="U104" s="151">
        <v>5277558.3</v>
      </c>
      <c r="V104" s="149">
        <v>77</v>
      </c>
      <c r="Z104" s="1">
        <v>45035</v>
      </c>
      <c r="AA104">
        <v>50.5</v>
      </c>
      <c r="AB104">
        <v>111689</v>
      </c>
      <c r="AC104">
        <v>22143</v>
      </c>
      <c r="AF104" s="1">
        <v>45035</v>
      </c>
      <c r="AG104">
        <v>60.3</v>
      </c>
      <c r="AJ104" s="156">
        <f t="shared" si="1"/>
        <v>0.16252072968490874</v>
      </c>
    </row>
    <row r="105" spans="1:36" x14ac:dyDescent="0.3">
      <c r="A105" s="152">
        <v>45154</v>
      </c>
      <c r="B105" s="153">
        <v>93</v>
      </c>
      <c r="C105" s="153">
        <v>97</v>
      </c>
      <c r="D105" s="153">
        <v>92.5</v>
      </c>
      <c r="E105" s="153">
        <v>96.7</v>
      </c>
      <c r="F105" s="154">
        <v>1959053</v>
      </c>
      <c r="G105" s="155">
        <v>186623191</v>
      </c>
      <c r="H105" s="153">
        <v>445</v>
      </c>
      <c r="I105" s="155"/>
      <c r="J105" s="155"/>
      <c r="K105" s="155"/>
      <c r="L105" s="155"/>
      <c r="M105" s="155"/>
      <c r="N105" s="155"/>
      <c r="O105" s="148">
        <v>45154</v>
      </c>
      <c r="P105" s="149">
        <v>80.900000000000006</v>
      </c>
      <c r="Q105" s="149">
        <v>85</v>
      </c>
      <c r="R105" s="149">
        <v>80</v>
      </c>
      <c r="S105" s="149">
        <v>82.7</v>
      </c>
      <c r="T105" s="150">
        <v>171505</v>
      </c>
      <c r="U105" s="151">
        <v>14266236.6</v>
      </c>
      <c r="V105" s="149">
        <v>160</v>
      </c>
      <c r="Z105" s="1">
        <v>45034</v>
      </c>
      <c r="AA105">
        <v>51.8</v>
      </c>
      <c r="AB105">
        <v>2992</v>
      </c>
      <c r="AC105">
        <v>16578</v>
      </c>
      <c r="AF105" s="1">
        <v>45034</v>
      </c>
      <c r="AG105">
        <v>60.1</v>
      </c>
      <c r="AJ105" s="156">
        <f t="shared" si="1"/>
        <v>0.13810316139767062</v>
      </c>
    </row>
    <row r="106" spans="1:36" x14ac:dyDescent="0.3">
      <c r="A106" s="152">
        <v>45153</v>
      </c>
      <c r="B106" s="153">
        <v>95</v>
      </c>
      <c r="C106" s="153">
        <v>96.9</v>
      </c>
      <c r="D106" s="153">
        <v>92.6</v>
      </c>
      <c r="E106" s="153">
        <v>93</v>
      </c>
      <c r="F106" s="154">
        <v>347080</v>
      </c>
      <c r="G106" s="155">
        <v>32565818.100000001</v>
      </c>
      <c r="H106" s="153">
        <v>462</v>
      </c>
      <c r="I106" s="155"/>
      <c r="J106" s="155"/>
      <c r="K106" s="155"/>
      <c r="L106" s="155"/>
      <c r="M106" s="155"/>
      <c r="N106" s="155"/>
      <c r="O106" s="148">
        <v>45153</v>
      </c>
      <c r="P106" s="149">
        <v>84.1</v>
      </c>
      <c r="Q106" s="149">
        <v>85</v>
      </c>
      <c r="R106" s="149">
        <v>80</v>
      </c>
      <c r="S106" s="149">
        <v>80.3</v>
      </c>
      <c r="T106" s="150">
        <v>255798</v>
      </c>
      <c r="U106" s="151">
        <v>21027825.300000001</v>
      </c>
      <c r="V106" s="149">
        <v>177</v>
      </c>
      <c r="Z106" s="1">
        <v>45033</v>
      </c>
      <c r="AA106">
        <v>52</v>
      </c>
      <c r="AB106">
        <v>23365</v>
      </c>
      <c r="AC106">
        <v>17670</v>
      </c>
      <c r="AF106" s="1">
        <v>45033</v>
      </c>
      <c r="AG106">
        <v>63</v>
      </c>
      <c r="AJ106" s="156">
        <f t="shared" si="1"/>
        <v>0.17460317460317459</v>
      </c>
    </row>
    <row r="107" spans="1:36" x14ac:dyDescent="0.3">
      <c r="A107" s="152">
        <v>45152</v>
      </c>
      <c r="B107" s="153">
        <v>102</v>
      </c>
      <c r="C107" s="153">
        <v>102</v>
      </c>
      <c r="D107" s="153">
        <v>95</v>
      </c>
      <c r="E107" s="153">
        <v>97.1</v>
      </c>
      <c r="F107" s="154">
        <v>424242</v>
      </c>
      <c r="G107" s="155">
        <v>41217706.799999997</v>
      </c>
      <c r="H107" s="153">
        <v>628</v>
      </c>
      <c r="I107" s="155"/>
      <c r="J107" s="155"/>
      <c r="K107" s="155"/>
      <c r="L107" s="155"/>
      <c r="M107" s="155"/>
      <c r="N107" s="155"/>
      <c r="O107" s="148">
        <v>45152</v>
      </c>
      <c r="P107" s="149">
        <v>87.2</v>
      </c>
      <c r="Q107" s="149">
        <v>87.2</v>
      </c>
      <c r="R107" s="149">
        <v>83.2</v>
      </c>
      <c r="S107" s="149">
        <v>84.8</v>
      </c>
      <c r="T107" s="150">
        <v>507412</v>
      </c>
      <c r="U107" s="151">
        <v>42842344.399999999</v>
      </c>
      <c r="V107" s="149">
        <v>288</v>
      </c>
      <c r="Z107" s="1">
        <v>45028</v>
      </c>
      <c r="AA107">
        <v>52.7</v>
      </c>
      <c r="AB107">
        <v>2637</v>
      </c>
      <c r="AC107">
        <v>16665</v>
      </c>
      <c r="AF107" s="1">
        <v>45028</v>
      </c>
      <c r="AG107">
        <v>63</v>
      </c>
      <c r="AJ107" s="156">
        <f t="shared" si="1"/>
        <v>0.16349206349206344</v>
      </c>
    </row>
    <row r="108" spans="1:36" x14ac:dyDescent="0.3">
      <c r="A108" s="152">
        <v>45149</v>
      </c>
      <c r="B108" s="153">
        <v>105.5</v>
      </c>
      <c r="C108" s="153">
        <v>105.5</v>
      </c>
      <c r="D108" s="153">
        <v>102.25</v>
      </c>
      <c r="E108" s="153">
        <v>103</v>
      </c>
      <c r="F108" s="154">
        <v>189379</v>
      </c>
      <c r="G108" s="155">
        <v>19562311.5</v>
      </c>
      <c r="H108" s="153">
        <v>218</v>
      </c>
      <c r="I108" s="155"/>
      <c r="J108" s="155"/>
      <c r="K108" s="155"/>
      <c r="L108" s="155"/>
      <c r="M108" s="155"/>
      <c r="N108" s="155"/>
      <c r="O108" s="148">
        <v>45149</v>
      </c>
      <c r="P108" s="149">
        <v>88.1</v>
      </c>
      <c r="Q108" s="149">
        <v>89</v>
      </c>
      <c r="R108" s="149">
        <v>87.1</v>
      </c>
      <c r="S108" s="149">
        <v>88.8</v>
      </c>
      <c r="T108" s="150">
        <v>134537</v>
      </c>
      <c r="U108" s="151">
        <v>11875975</v>
      </c>
      <c r="V108" s="149">
        <v>191</v>
      </c>
      <c r="Z108" s="1">
        <v>45027</v>
      </c>
      <c r="AA108">
        <v>52.1</v>
      </c>
      <c r="AB108">
        <v>11556</v>
      </c>
      <c r="AC108">
        <v>18686</v>
      </c>
      <c r="AF108" s="1">
        <v>45027</v>
      </c>
      <c r="AG108">
        <v>63</v>
      </c>
      <c r="AJ108" s="156">
        <f t="shared" si="1"/>
        <v>0.17301587301587298</v>
      </c>
    </row>
    <row r="109" spans="1:36" x14ac:dyDescent="0.3">
      <c r="A109" s="152">
        <v>45148</v>
      </c>
      <c r="B109" s="153">
        <v>105</v>
      </c>
      <c r="C109" s="153">
        <v>107.5</v>
      </c>
      <c r="D109" s="153">
        <v>104.5</v>
      </c>
      <c r="E109" s="153">
        <v>105</v>
      </c>
      <c r="F109" s="154">
        <v>511686</v>
      </c>
      <c r="G109" s="155">
        <v>54128766.75</v>
      </c>
      <c r="H109" s="153">
        <v>378</v>
      </c>
      <c r="I109" s="155"/>
      <c r="J109" s="155"/>
      <c r="K109" s="155"/>
      <c r="L109" s="155"/>
      <c r="M109" s="155"/>
      <c r="N109" s="155"/>
      <c r="O109" s="148">
        <v>45148</v>
      </c>
      <c r="P109" s="149">
        <v>86</v>
      </c>
      <c r="Q109" s="149">
        <v>88.5</v>
      </c>
      <c r="R109" s="149">
        <v>86</v>
      </c>
      <c r="S109" s="149">
        <v>87.2</v>
      </c>
      <c r="T109" s="150">
        <v>371615</v>
      </c>
      <c r="U109" s="151">
        <v>32497954.899999999</v>
      </c>
      <c r="V109" s="149">
        <v>247</v>
      </c>
      <c r="Z109" s="1">
        <v>45026</v>
      </c>
      <c r="AA109">
        <v>52.7</v>
      </c>
      <c r="AB109">
        <v>2973</v>
      </c>
      <c r="AC109">
        <v>18019</v>
      </c>
      <c r="AF109" s="1">
        <v>45026</v>
      </c>
      <c r="AG109">
        <v>62.5</v>
      </c>
      <c r="AJ109" s="156">
        <f t="shared" si="1"/>
        <v>0.15679999999999997</v>
      </c>
    </row>
    <row r="110" spans="1:36" x14ac:dyDescent="0.3">
      <c r="A110" s="152">
        <v>45147</v>
      </c>
      <c r="B110" s="153">
        <v>105</v>
      </c>
      <c r="C110" s="153">
        <v>105</v>
      </c>
      <c r="D110" s="153">
        <v>103.25</v>
      </c>
      <c r="E110" s="153">
        <v>104</v>
      </c>
      <c r="F110" s="154">
        <v>459283</v>
      </c>
      <c r="G110" s="155">
        <v>47772857.5</v>
      </c>
      <c r="H110" s="153">
        <v>264</v>
      </c>
      <c r="I110" s="155"/>
      <c r="J110" s="155"/>
      <c r="K110" s="155"/>
      <c r="L110" s="155"/>
      <c r="M110" s="155"/>
      <c r="N110" s="155"/>
      <c r="O110" s="148">
        <v>45147</v>
      </c>
      <c r="P110" s="149">
        <v>88</v>
      </c>
      <c r="Q110" s="149">
        <v>88.4</v>
      </c>
      <c r="R110" s="149">
        <v>83</v>
      </c>
      <c r="S110" s="149">
        <v>85</v>
      </c>
      <c r="T110" s="150">
        <v>70965</v>
      </c>
      <c r="U110" s="151">
        <v>6052864.7999999998</v>
      </c>
      <c r="V110" s="149">
        <v>113</v>
      </c>
      <c r="Z110" s="1">
        <v>45022</v>
      </c>
      <c r="AA110">
        <v>52.2</v>
      </c>
      <c r="AB110">
        <v>1723</v>
      </c>
      <c r="AC110">
        <v>19294</v>
      </c>
      <c r="AF110" s="1">
        <v>45022</v>
      </c>
      <c r="AG110">
        <v>62.1</v>
      </c>
      <c r="AJ110" s="156">
        <f t="shared" si="1"/>
        <v>0.15942028985507245</v>
      </c>
    </row>
    <row r="111" spans="1:36" x14ac:dyDescent="0.3">
      <c r="A111" s="152">
        <v>45146</v>
      </c>
      <c r="B111" s="153">
        <v>103.5</v>
      </c>
      <c r="C111" s="153">
        <v>106.75</v>
      </c>
      <c r="D111" s="153">
        <v>101</v>
      </c>
      <c r="E111" s="153">
        <v>105</v>
      </c>
      <c r="F111" s="154">
        <v>1730366</v>
      </c>
      <c r="G111" s="155">
        <v>179663961.25</v>
      </c>
      <c r="H111" s="153">
        <v>623</v>
      </c>
      <c r="I111" s="155"/>
      <c r="J111" s="155"/>
      <c r="K111" s="155"/>
      <c r="L111" s="155"/>
      <c r="M111" s="155"/>
      <c r="N111" s="155"/>
      <c r="O111" s="148">
        <v>45146</v>
      </c>
      <c r="P111" s="149">
        <v>84</v>
      </c>
      <c r="Q111" s="149">
        <v>88</v>
      </c>
      <c r="R111" s="149">
        <v>82.5</v>
      </c>
      <c r="S111" s="149">
        <v>87</v>
      </c>
      <c r="T111" s="150">
        <v>284813</v>
      </c>
      <c r="U111" s="151">
        <v>24491230.899999999</v>
      </c>
      <c r="V111" s="149">
        <v>207</v>
      </c>
      <c r="Z111" s="1">
        <v>45020</v>
      </c>
      <c r="AA111">
        <v>53.9</v>
      </c>
      <c r="AB111">
        <v>5261</v>
      </c>
      <c r="AC111">
        <v>19444</v>
      </c>
      <c r="AF111" s="1">
        <v>45020</v>
      </c>
      <c r="AG111">
        <v>62</v>
      </c>
      <c r="AJ111" s="156">
        <f t="shared" si="1"/>
        <v>0.13064516129032261</v>
      </c>
    </row>
    <row r="112" spans="1:36" x14ac:dyDescent="0.3">
      <c r="A112" s="152">
        <v>45145</v>
      </c>
      <c r="B112" s="153">
        <v>100</v>
      </c>
      <c r="C112" s="153">
        <v>105</v>
      </c>
      <c r="D112" s="153">
        <v>99</v>
      </c>
      <c r="E112" s="153">
        <v>103.5</v>
      </c>
      <c r="F112" s="154">
        <v>1488934</v>
      </c>
      <c r="G112" s="155">
        <v>153351129.25</v>
      </c>
      <c r="H112" s="153">
        <v>597</v>
      </c>
      <c r="I112" s="155"/>
      <c r="J112" s="155"/>
      <c r="K112" s="155"/>
      <c r="L112" s="155"/>
      <c r="M112" s="155"/>
      <c r="N112" s="155"/>
      <c r="O112" s="148">
        <v>45145</v>
      </c>
      <c r="P112" s="149">
        <v>84</v>
      </c>
      <c r="Q112" s="149">
        <v>88</v>
      </c>
      <c r="R112" s="149">
        <v>82.1</v>
      </c>
      <c r="S112" s="149">
        <v>84.8</v>
      </c>
      <c r="T112" s="150">
        <v>440231</v>
      </c>
      <c r="U112" s="151">
        <v>37934327.799999997</v>
      </c>
      <c r="V112" s="149">
        <v>289</v>
      </c>
      <c r="Z112" s="1">
        <v>45019</v>
      </c>
      <c r="AA112">
        <v>54.5</v>
      </c>
      <c r="AB112">
        <v>13280</v>
      </c>
      <c r="AC112">
        <v>20015</v>
      </c>
      <c r="AF112" s="1">
        <v>45019</v>
      </c>
      <c r="AG112">
        <v>61.1</v>
      </c>
      <c r="AJ112" s="156">
        <f t="shared" si="1"/>
        <v>0.10801963993453358</v>
      </c>
    </row>
    <row r="113" spans="1:36" x14ac:dyDescent="0.3">
      <c r="A113" s="152">
        <v>45142</v>
      </c>
      <c r="B113" s="153">
        <v>100</v>
      </c>
      <c r="C113" s="153">
        <v>101.75</v>
      </c>
      <c r="D113" s="153">
        <v>100</v>
      </c>
      <c r="E113" s="153">
        <v>101.25</v>
      </c>
      <c r="F113" s="154">
        <v>1625961</v>
      </c>
      <c r="G113" s="155">
        <v>164679901</v>
      </c>
      <c r="H113" s="153">
        <v>533</v>
      </c>
      <c r="I113" s="155"/>
      <c r="J113" s="155"/>
      <c r="K113" s="155"/>
      <c r="L113" s="155"/>
      <c r="M113" s="155"/>
      <c r="N113" s="155"/>
      <c r="O113" s="148">
        <v>45142</v>
      </c>
      <c r="P113" s="149">
        <v>81.7</v>
      </c>
      <c r="Q113" s="149">
        <v>84</v>
      </c>
      <c r="R113" s="149">
        <v>81.7</v>
      </c>
      <c r="S113" s="149">
        <v>83.6</v>
      </c>
      <c r="T113" s="150">
        <v>221372</v>
      </c>
      <c r="U113" s="151">
        <v>18378872</v>
      </c>
      <c r="V113" s="149">
        <v>197</v>
      </c>
      <c r="Z113" s="1">
        <v>45016</v>
      </c>
      <c r="AA113">
        <v>54.1</v>
      </c>
      <c r="AB113">
        <v>35565</v>
      </c>
      <c r="AC113">
        <v>24338</v>
      </c>
      <c r="AF113" s="1">
        <v>45016</v>
      </c>
      <c r="AG113">
        <v>63.6</v>
      </c>
      <c r="AJ113" s="156">
        <f t="shared" si="1"/>
        <v>0.14937106918238993</v>
      </c>
    </row>
    <row r="114" spans="1:36" x14ac:dyDescent="0.3">
      <c r="A114" s="152">
        <v>45141</v>
      </c>
      <c r="B114" s="153">
        <v>96</v>
      </c>
      <c r="C114" s="153">
        <v>100.75</v>
      </c>
      <c r="D114" s="153">
        <v>95.9</v>
      </c>
      <c r="E114" s="153">
        <v>100</v>
      </c>
      <c r="F114" s="154">
        <v>2884844</v>
      </c>
      <c r="G114" s="155">
        <v>287143503.55000001</v>
      </c>
      <c r="H114" s="153">
        <v>965</v>
      </c>
      <c r="I114" s="155"/>
      <c r="J114" s="155"/>
      <c r="K114" s="155"/>
      <c r="L114" s="155"/>
      <c r="M114" s="155"/>
      <c r="N114" s="155"/>
      <c r="O114" s="148">
        <v>45141</v>
      </c>
      <c r="P114" s="149">
        <v>80</v>
      </c>
      <c r="Q114" s="149">
        <v>82.5</v>
      </c>
      <c r="R114" s="149">
        <v>80</v>
      </c>
      <c r="S114" s="149">
        <v>81.7</v>
      </c>
      <c r="T114" s="150">
        <v>642852</v>
      </c>
      <c r="U114" s="151">
        <v>52469942.100000001</v>
      </c>
      <c r="V114" s="149">
        <v>343</v>
      </c>
      <c r="Z114" s="1">
        <v>45015</v>
      </c>
      <c r="AA114">
        <v>52.07</v>
      </c>
      <c r="AB114">
        <v>10062</v>
      </c>
      <c r="AC114">
        <v>22679</v>
      </c>
      <c r="AF114" s="1">
        <v>45015</v>
      </c>
      <c r="AG114">
        <v>61.86</v>
      </c>
      <c r="AJ114" s="156">
        <f t="shared" si="1"/>
        <v>0.15826058842547688</v>
      </c>
    </row>
    <row r="115" spans="1:36" x14ac:dyDescent="0.3">
      <c r="A115" s="152">
        <v>45140</v>
      </c>
      <c r="B115" s="153">
        <v>93</v>
      </c>
      <c r="C115" s="153">
        <v>97</v>
      </c>
      <c r="D115" s="153">
        <v>92.1</v>
      </c>
      <c r="E115" s="153">
        <v>95.5</v>
      </c>
      <c r="F115" s="154">
        <v>1661623</v>
      </c>
      <c r="G115" s="155">
        <v>157753256.30000001</v>
      </c>
      <c r="H115" s="153">
        <v>539</v>
      </c>
      <c r="I115" s="155"/>
      <c r="J115" s="155"/>
      <c r="K115" s="155"/>
      <c r="L115" s="155"/>
      <c r="M115" s="155"/>
      <c r="N115" s="155"/>
      <c r="O115" s="148">
        <v>45140</v>
      </c>
      <c r="P115" s="149">
        <v>77</v>
      </c>
      <c r="Q115" s="149">
        <v>80.400000000000006</v>
      </c>
      <c r="R115" s="149">
        <v>77</v>
      </c>
      <c r="S115" s="149">
        <v>79.900000000000006</v>
      </c>
      <c r="T115" s="150">
        <v>217003</v>
      </c>
      <c r="U115" s="151">
        <v>17251165.300000001</v>
      </c>
      <c r="V115" s="149">
        <v>246</v>
      </c>
      <c r="Z115" s="1">
        <v>45014</v>
      </c>
      <c r="AA115">
        <v>53.01</v>
      </c>
      <c r="AB115">
        <v>136</v>
      </c>
      <c r="AC115">
        <v>22930</v>
      </c>
      <c r="AF115" s="1">
        <v>45014</v>
      </c>
      <c r="AG115">
        <v>62.9</v>
      </c>
      <c r="AJ115" s="156">
        <f t="shared" si="1"/>
        <v>0.15723370429252784</v>
      </c>
    </row>
    <row r="116" spans="1:36" x14ac:dyDescent="0.3">
      <c r="A116" s="152">
        <v>45138</v>
      </c>
      <c r="B116" s="153">
        <v>93</v>
      </c>
      <c r="C116" s="153">
        <v>93.6</v>
      </c>
      <c r="D116" s="153">
        <v>92</v>
      </c>
      <c r="E116" s="153">
        <v>92.9</v>
      </c>
      <c r="F116" s="154">
        <v>451754</v>
      </c>
      <c r="G116" s="155">
        <v>41946206.899999999</v>
      </c>
      <c r="H116" s="153">
        <v>309</v>
      </c>
      <c r="I116" s="155"/>
      <c r="J116" s="155"/>
      <c r="K116" s="155"/>
      <c r="L116" s="155"/>
      <c r="M116" s="155"/>
      <c r="N116" s="155"/>
      <c r="O116" s="148">
        <v>45138</v>
      </c>
      <c r="P116" s="149">
        <v>77.900000000000006</v>
      </c>
      <c r="Q116" s="149">
        <v>78</v>
      </c>
      <c r="R116" s="149">
        <v>76.900000000000006</v>
      </c>
      <c r="S116" s="149">
        <v>77.8</v>
      </c>
      <c r="T116" s="150">
        <v>134145</v>
      </c>
      <c r="U116" s="151">
        <v>10396435.4</v>
      </c>
      <c r="V116" s="149">
        <v>124</v>
      </c>
      <c r="Z116" s="1">
        <v>45013</v>
      </c>
      <c r="AA116">
        <v>51.42</v>
      </c>
      <c r="AB116">
        <v>69981</v>
      </c>
      <c r="AC116">
        <v>37938</v>
      </c>
      <c r="AF116" s="1">
        <v>45013</v>
      </c>
      <c r="AG116">
        <v>61.86</v>
      </c>
      <c r="AJ116" s="156">
        <f t="shared" si="1"/>
        <v>0.16876818622696407</v>
      </c>
    </row>
    <row r="117" spans="1:36" x14ac:dyDescent="0.3">
      <c r="A117" s="152">
        <v>45135</v>
      </c>
      <c r="B117" s="153">
        <v>92.6</v>
      </c>
      <c r="C117" s="153">
        <v>94.2</v>
      </c>
      <c r="D117" s="153">
        <v>92</v>
      </c>
      <c r="E117" s="153">
        <v>92.7</v>
      </c>
      <c r="F117" s="154">
        <v>806602</v>
      </c>
      <c r="G117" s="155">
        <v>74966471.799999997</v>
      </c>
      <c r="H117" s="153">
        <v>371</v>
      </c>
      <c r="I117" s="155"/>
      <c r="J117" s="155"/>
      <c r="K117" s="155"/>
      <c r="L117" s="155"/>
      <c r="M117" s="155"/>
      <c r="N117" s="155"/>
      <c r="O117" s="148">
        <v>45135</v>
      </c>
      <c r="P117" s="149">
        <v>77</v>
      </c>
      <c r="Q117" s="149">
        <v>78</v>
      </c>
      <c r="R117" s="149">
        <v>75.5</v>
      </c>
      <c r="S117" s="149">
        <v>77</v>
      </c>
      <c r="T117" s="150">
        <v>121388</v>
      </c>
      <c r="U117" s="151">
        <v>9366962.5999999996</v>
      </c>
      <c r="V117" s="149">
        <v>131</v>
      </c>
      <c r="Z117" s="1">
        <v>45012</v>
      </c>
      <c r="AA117">
        <v>50.95</v>
      </c>
      <c r="AB117">
        <v>27945</v>
      </c>
      <c r="AC117">
        <v>84725</v>
      </c>
      <c r="AF117" s="1">
        <v>45012</v>
      </c>
      <c r="AG117">
        <v>62.05</v>
      </c>
      <c r="AJ117" s="156">
        <f t="shared" si="1"/>
        <v>0.17888799355358573</v>
      </c>
    </row>
    <row r="118" spans="1:36" x14ac:dyDescent="0.3">
      <c r="A118" s="152">
        <v>45134</v>
      </c>
      <c r="B118" s="153">
        <v>87.6</v>
      </c>
      <c r="C118" s="153">
        <v>93</v>
      </c>
      <c r="D118" s="153">
        <v>87.6</v>
      </c>
      <c r="E118" s="153">
        <v>92.6</v>
      </c>
      <c r="F118" s="154">
        <v>940607</v>
      </c>
      <c r="G118" s="155">
        <v>85023251.700000003</v>
      </c>
      <c r="H118" s="153">
        <v>534</v>
      </c>
      <c r="I118" s="155"/>
      <c r="J118" s="155"/>
      <c r="K118" s="155"/>
      <c r="L118" s="155"/>
      <c r="M118" s="155"/>
      <c r="N118" s="155"/>
      <c r="O118" s="148">
        <v>45134</v>
      </c>
      <c r="P118" s="149">
        <v>72.900000000000006</v>
      </c>
      <c r="Q118" s="149">
        <v>78</v>
      </c>
      <c r="R118" s="149">
        <v>72.900000000000006</v>
      </c>
      <c r="S118" s="149">
        <v>77.8</v>
      </c>
      <c r="T118" s="150">
        <v>95456</v>
      </c>
      <c r="U118" s="151">
        <v>7201043.5999999996</v>
      </c>
      <c r="V118" s="149">
        <v>195</v>
      </c>
      <c r="Z118" s="1">
        <v>45009</v>
      </c>
      <c r="AA118">
        <v>51.42</v>
      </c>
      <c r="AB118">
        <v>12976</v>
      </c>
      <c r="AC118">
        <v>87543</v>
      </c>
      <c r="AF118" s="1">
        <v>45009</v>
      </c>
      <c r="AG118">
        <v>62.33</v>
      </c>
      <c r="AJ118" s="156">
        <f t="shared" si="1"/>
        <v>0.17503609818706878</v>
      </c>
    </row>
    <row r="119" spans="1:36" x14ac:dyDescent="0.3">
      <c r="A119" s="152">
        <v>45133</v>
      </c>
      <c r="B119" s="153">
        <v>88.7</v>
      </c>
      <c r="C119" s="153">
        <v>89.4</v>
      </c>
      <c r="D119" s="153">
        <v>88</v>
      </c>
      <c r="E119" s="153">
        <v>88.4</v>
      </c>
      <c r="F119" s="154">
        <v>262156</v>
      </c>
      <c r="G119" s="155">
        <v>23311580.300000001</v>
      </c>
      <c r="H119" s="153">
        <v>165</v>
      </c>
      <c r="I119" s="155"/>
      <c r="J119" s="155"/>
      <c r="K119" s="155"/>
      <c r="L119" s="155"/>
      <c r="M119" s="155"/>
      <c r="N119" s="155"/>
      <c r="O119" s="148">
        <v>45133</v>
      </c>
      <c r="P119" s="149">
        <v>73.900000000000006</v>
      </c>
      <c r="Q119" s="149">
        <v>74.5</v>
      </c>
      <c r="R119" s="149">
        <v>73.5</v>
      </c>
      <c r="S119" s="149">
        <v>73.5</v>
      </c>
      <c r="T119" s="150">
        <v>98015</v>
      </c>
      <c r="U119" s="151">
        <v>7245049.9000000004</v>
      </c>
      <c r="V119" s="149">
        <v>66</v>
      </c>
      <c r="Z119" s="1">
        <v>45008</v>
      </c>
      <c r="AA119">
        <v>50.86</v>
      </c>
      <c r="AB119">
        <v>28215</v>
      </c>
      <c r="AC119">
        <v>90449</v>
      </c>
      <c r="AF119" s="1">
        <v>45008</v>
      </c>
      <c r="AG119">
        <v>61.39</v>
      </c>
      <c r="AJ119" s="156">
        <f t="shared" si="1"/>
        <v>0.171526307216159</v>
      </c>
    </row>
    <row r="120" spans="1:36" x14ac:dyDescent="0.3">
      <c r="A120" s="152">
        <v>45132</v>
      </c>
      <c r="B120" s="153">
        <v>88.2</v>
      </c>
      <c r="C120" s="153">
        <v>89.7</v>
      </c>
      <c r="D120" s="153">
        <v>87.6</v>
      </c>
      <c r="E120" s="153">
        <v>88.8</v>
      </c>
      <c r="F120" s="154">
        <v>1039988</v>
      </c>
      <c r="G120" s="155">
        <v>92276301</v>
      </c>
      <c r="H120" s="153">
        <v>282</v>
      </c>
      <c r="I120" s="155"/>
      <c r="J120" s="155"/>
      <c r="K120" s="155"/>
      <c r="L120" s="155"/>
      <c r="M120" s="155"/>
      <c r="N120" s="155"/>
      <c r="O120" s="148">
        <v>45132</v>
      </c>
      <c r="P120" s="149">
        <v>73.900000000000006</v>
      </c>
      <c r="Q120" s="149">
        <v>74.2</v>
      </c>
      <c r="R120" s="149">
        <v>71.5</v>
      </c>
      <c r="S120" s="149">
        <v>74</v>
      </c>
      <c r="T120" s="150">
        <v>172478</v>
      </c>
      <c r="U120" s="151">
        <v>12720162.300000001</v>
      </c>
      <c r="V120" s="149">
        <v>121</v>
      </c>
      <c r="Z120" s="1">
        <v>45007</v>
      </c>
      <c r="AA120">
        <v>54.41</v>
      </c>
      <c r="AB120">
        <v>19376</v>
      </c>
      <c r="AC120">
        <v>89335</v>
      </c>
      <c r="AF120" s="1">
        <v>45007</v>
      </c>
      <c r="AG120">
        <v>63.65</v>
      </c>
      <c r="AJ120" s="156">
        <f t="shared" si="1"/>
        <v>0.14516889238020428</v>
      </c>
    </row>
    <row r="121" spans="1:36" x14ac:dyDescent="0.3">
      <c r="A121" s="152">
        <v>45131</v>
      </c>
      <c r="B121" s="153">
        <v>87.6</v>
      </c>
      <c r="C121" s="153">
        <v>90.6</v>
      </c>
      <c r="D121" s="153">
        <v>87.6</v>
      </c>
      <c r="E121" s="153">
        <v>89.8</v>
      </c>
      <c r="F121" s="154">
        <v>973673</v>
      </c>
      <c r="G121" s="155">
        <v>87473314.900000006</v>
      </c>
      <c r="H121" s="153">
        <v>466</v>
      </c>
      <c r="I121" s="155"/>
      <c r="J121" s="155"/>
      <c r="K121" s="155"/>
      <c r="L121" s="155"/>
      <c r="M121" s="155"/>
      <c r="N121" s="155"/>
      <c r="O121" s="148">
        <v>45131</v>
      </c>
      <c r="P121" s="149">
        <v>71.5</v>
      </c>
      <c r="Q121" s="149">
        <v>74.900000000000006</v>
      </c>
      <c r="R121" s="149">
        <v>71.5</v>
      </c>
      <c r="S121" s="149">
        <v>74.099999999999994</v>
      </c>
      <c r="T121" s="150">
        <v>247500</v>
      </c>
      <c r="U121" s="151">
        <v>18148358.100000001</v>
      </c>
      <c r="V121" s="149">
        <v>192</v>
      </c>
      <c r="Z121" s="1">
        <v>45006</v>
      </c>
      <c r="AA121">
        <v>56</v>
      </c>
      <c r="AB121">
        <v>8282</v>
      </c>
      <c r="AC121">
        <v>89205</v>
      </c>
      <c r="AF121" s="1">
        <v>45006</v>
      </c>
      <c r="AG121">
        <v>64.790000000000006</v>
      </c>
      <c r="AJ121" s="156">
        <f t="shared" si="1"/>
        <v>0.13566908473529873</v>
      </c>
    </row>
    <row r="122" spans="1:36" x14ac:dyDescent="0.3">
      <c r="A122" s="152">
        <v>45128</v>
      </c>
      <c r="B122" s="153">
        <v>88</v>
      </c>
      <c r="C122" s="153">
        <v>89</v>
      </c>
      <c r="D122" s="153">
        <v>87.5</v>
      </c>
      <c r="E122" s="153">
        <v>88.2</v>
      </c>
      <c r="F122" s="154">
        <v>308229</v>
      </c>
      <c r="G122" s="155">
        <v>27138428.600000001</v>
      </c>
      <c r="H122" s="153">
        <v>258</v>
      </c>
      <c r="I122" s="155"/>
      <c r="J122" s="155"/>
      <c r="K122" s="155"/>
      <c r="L122" s="155"/>
      <c r="M122" s="155"/>
      <c r="N122" s="155"/>
      <c r="O122" s="148">
        <v>45128</v>
      </c>
      <c r="P122" s="149">
        <v>71.400000000000006</v>
      </c>
      <c r="Q122" s="149">
        <v>72</v>
      </c>
      <c r="R122" s="149">
        <v>71.3</v>
      </c>
      <c r="S122" s="149">
        <v>72</v>
      </c>
      <c r="T122" s="150">
        <v>175810</v>
      </c>
      <c r="U122" s="151">
        <v>12624935.9</v>
      </c>
      <c r="V122" s="149">
        <v>109</v>
      </c>
      <c r="Z122" s="1">
        <v>45005</v>
      </c>
      <c r="AA122">
        <v>55.81</v>
      </c>
      <c r="AB122">
        <v>32961</v>
      </c>
      <c r="AC122">
        <v>94411</v>
      </c>
      <c r="AF122" s="1">
        <v>45005</v>
      </c>
      <c r="AG122">
        <v>65.17</v>
      </c>
      <c r="AJ122" s="156">
        <f t="shared" si="1"/>
        <v>0.14362436704004908</v>
      </c>
    </row>
    <row r="123" spans="1:36" x14ac:dyDescent="0.3">
      <c r="A123" s="152">
        <v>45127</v>
      </c>
      <c r="B123" s="153">
        <v>88</v>
      </c>
      <c r="C123" s="153">
        <v>89.1</v>
      </c>
      <c r="D123" s="153">
        <v>87.5</v>
      </c>
      <c r="E123" s="153">
        <v>88</v>
      </c>
      <c r="F123" s="154">
        <v>671278</v>
      </c>
      <c r="G123" s="155">
        <v>59461089.5</v>
      </c>
      <c r="H123" s="153">
        <v>303</v>
      </c>
      <c r="I123" s="155"/>
      <c r="J123" s="155"/>
      <c r="K123" s="155"/>
      <c r="L123" s="155"/>
      <c r="M123" s="155"/>
      <c r="N123" s="155"/>
      <c r="O123" s="148">
        <v>45127</v>
      </c>
      <c r="P123" s="149">
        <v>71.2</v>
      </c>
      <c r="Q123" s="149">
        <v>72.400000000000006</v>
      </c>
      <c r="R123" s="149">
        <v>71.2</v>
      </c>
      <c r="S123" s="149">
        <v>71.900000000000006</v>
      </c>
      <c r="T123" s="150">
        <v>352538</v>
      </c>
      <c r="U123" s="151">
        <v>25341644.699999999</v>
      </c>
      <c r="V123" s="149">
        <v>149</v>
      </c>
      <c r="Z123" s="1">
        <v>45002</v>
      </c>
      <c r="AA123">
        <v>54.5</v>
      </c>
      <c r="AB123">
        <v>1555</v>
      </c>
      <c r="AC123">
        <v>96319</v>
      </c>
      <c r="AF123" s="1">
        <v>45002</v>
      </c>
      <c r="AG123">
        <v>65.92</v>
      </c>
      <c r="AJ123" s="156">
        <f t="shared" si="1"/>
        <v>0.17324029126213594</v>
      </c>
    </row>
    <row r="124" spans="1:36" x14ac:dyDescent="0.3">
      <c r="A124" s="152">
        <v>45126</v>
      </c>
      <c r="B124" s="153">
        <v>87</v>
      </c>
      <c r="C124" s="153">
        <v>89.7</v>
      </c>
      <c r="D124" s="153">
        <v>85.7</v>
      </c>
      <c r="E124" s="153">
        <v>89.1</v>
      </c>
      <c r="F124" s="154">
        <v>2289336</v>
      </c>
      <c r="G124" s="155">
        <v>201275647.40000001</v>
      </c>
      <c r="H124" s="153">
        <v>562</v>
      </c>
      <c r="I124" s="155"/>
      <c r="J124" s="155"/>
      <c r="K124" s="155"/>
      <c r="L124" s="155"/>
      <c r="M124" s="155"/>
      <c r="N124" s="155"/>
      <c r="O124" s="148">
        <v>45126</v>
      </c>
      <c r="P124" s="149">
        <v>70</v>
      </c>
      <c r="Q124" s="149">
        <v>72.5</v>
      </c>
      <c r="R124" s="149">
        <v>69</v>
      </c>
      <c r="S124" s="149">
        <v>71.900000000000006</v>
      </c>
      <c r="T124" s="150">
        <v>433963</v>
      </c>
      <c r="U124" s="151">
        <v>30806879.199999999</v>
      </c>
      <c r="V124" s="149">
        <v>204</v>
      </c>
      <c r="Z124" s="1">
        <v>45001</v>
      </c>
      <c r="AA124">
        <v>54.32</v>
      </c>
      <c r="AB124">
        <v>22086</v>
      </c>
      <c r="AC124">
        <v>98122</v>
      </c>
      <c r="AF124" s="1">
        <v>45001</v>
      </c>
      <c r="AG124">
        <v>63.84</v>
      </c>
      <c r="AJ124" s="156">
        <f t="shared" si="1"/>
        <v>0.14912280701754391</v>
      </c>
    </row>
    <row r="125" spans="1:36" x14ac:dyDescent="0.3">
      <c r="A125" s="152">
        <v>45125</v>
      </c>
      <c r="B125" s="153">
        <v>85</v>
      </c>
      <c r="C125" s="153">
        <v>87.5</v>
      </c>
      <c r="D125" s="153">
        <v>84.7</v>
      </c>
      <c r="E125" s="153">
        <v>86.7</v>
      </c>
      <c r="F125" s="154">
        <v>1560032</v>
      </c>
      <c r="G125" s="155">
        <v>133208254.09999999</v>
      </c>
      <c r="H125" s="153">
        <v>587</v>
      </c>
      <c r="I125" s="155"/>
      <c r="J125" s="155"/>
      <c r="K125" s="155"/>
      <c r="L125" s="155"/>
      <c r="M125" s="155"/>
      <c r="N125" s="155"/>
      <c r="O125" s="148">
        <v>45125</v>
      </c>
      <c r="P125" s="149">
        <v>69</v>
      </c>
      <c r="Q125" s="149">
        <v>70</v>
      </c>
      <c r="R125" s="149">
        <v>67</v>
      </c>
      <c r="S125" s="149">
        <v>70</v>
      </c>
      <c r="T125" s="150">
        <v>690660</v>
      </c>
      <c r="U125" s="151">
        <v>48024686.100000001</v>
      </c>
      <c r="V125" s="149">
        <v>155</v>
      </c>
      <c r="Z125" s="1">
        <v>45000</v>
      </c>
      <c r="AA125">
        <v>54.41</v>
      </c>
      <c r="AB125">
        <v>3980</v>
      </c>
      <c r="AC125">
        <v>99787</v>
      </c>
      <c r="AF125" s="1">
        <v>45000</v>
      </c>
      <c r="AG125">
        <v>63.56</v>
      </c>
      <c r="AJ125" s="156">
        <f t="shared" si="1"/>
        <v>0.14395846444304602</v>
      </c>
    </row>
    <row r="126" spans="1:36" x14ac:dyDescent="0.3">
      <c r="A126" s="152">
        <v>45124</v>
      </c>
      <c r="B126" s="153">
        <v>80.5</v>
      </c>
      <c r="C126" s="153">
        <v>86</v>
      </c>
      <c r="D126" s="153">
        <v>80.400000000000006</v>
      </c>
      <c r="E126" s="153">
        <v>84.5</v>
      </c>
      <c r="F126" s="154">
        <v>2532825</v>
      </c>
      <c r="G126" s="155">
        <v>213489919.09999999</v>
      </c>
      <c r="H126" s="153">
        <v>653</v>
      </c>
      <c r="I126" s="155"/>
      <c r="J126" s="155"/>
      <c r="K126" s="155"/>
      <c r="L126" s="155"/>
      <c r="M126" s="155"/>
      <c r="N126" s="155"/>
      <c r="O126" s="148">
        <v>45124</v>
      </c>
      <c r="P126" s="149">
        <v>67</v>
      </c>
      <c r="Q126" s="149">
        <v>69.900000000000006</v>
      </c>
      <c r="R126" s="149">
        <v>66.900000000000006</v>
      </c>
      <c r="S126" s="149">
        <v>68.599999999999994</v>
      </c>
      <c r="T126" s="150">
        <v>277449</v>
      </c>
      <c r="U126" s="151">
        <v>19008991.800000001</v>
      </c>
      <c r="V126" s="149">
        <v>172</v>
      </c>
      <c r="Z126" s="1">
        <v>44999</v>
      </c>
      <c r="AA126">
        <v>54.22</v>
      </c>
      <c r="AB126">
        <v>13820</v>
      </c>
      <c r="AC126">
        <v>101144</v>
      </c>
      <c r="AF126" s="1">
        <v>44999</v>
      </c>
      <c r="AG126">
        <v>62.8</v>
      </c>
      <c r="AJ126" s="156">
        <f t="shared" si="1"/>
        <v>0.13662420382165602</v>
      </c>
    </row>
    <row r="127" spans="1:36" x14ac:dyDescent="0.3">
      <c r="A127" s="152">
        <v>45121</v>
      </c>
      <c r="B127" s="153">
        <v>80</v>
      </c>
      <c r="C127" s="153">
        <v>81</v>
      </c>
      <c r="D127" s="153">
        <v>79</v>
      </c>
      <c r="E127" s="153">
        <v>80.2</v>
      </c>
      <c r="F127" s="154">
        <v>302121</v>
      </c>
      <c r="G127" s="155">
        <v>24180520.600000001</v>
      </c>
      <c r="H127" s="153">
        <v>203</v>
      </c>
      <c r="I127" s="155"/>
      <c r="J127" s="155"/>
      <c r="K127" s="155"/>
      <c r="L127" s="155"/>
      <c r="M127" s="155"/>
      <c r="N127" s="155"/>
      <c r="O127" s="148">
        <v>45121</v>
      </c>
      <c r="P127" s="149">
        <v>65.5</v>
      </c>
      <c r="Q127" s="149">
        <v>66.900000000000006</v>
      </c>
      <c r="R127" s="149">
        <v>65</v>
      </c>
      <c r="S127" s="149">
        <v>65.8</v>
      </c>
      <c r="T127" s="150">
        <v>184946</v>
      </c>
      <c r="U127" s="151">
        <v>12129058</v>
      </c>
      <c r="V127" s="149">
        <v>90</v>
      </c>
      <c r="Z127" s="1">
        <v>44998</v>
      </c>
      <c r="AA127">
        <v>54.41</v>
      </c>
      <c r="AB127">
        <v>78127</v>
      </c>
      <c r="AC127">
        <v>113119</v>
      </c>
      <c r="AF127" s="1">
        <v>44998</v>
      </c>
      <c r="AG127">
        <v>62.99</v>
      </c>
      <c r="AJ127" s="156">
        <f t="shared" si="1"/>
        <v>0.13621209715827917</v>
      </c>
    </row>
    <row r="128" spans="1:36" x14ac:dyDescent="0.3">
      <c r="A128" s="152">
        <v>45120</v>
      </c>
      <c r="B128" s="153">
        <v>81</v>
      </c>
      <c r="C128" s="153">
        <v>81</v>
      </c>
      <c r="D128" s="153">
        <v>78</v>
      </c>
      <c r="E128" s="153">
        <v>78.3</v>
      </c>
      <c r="F128" s="154">
        <v>874786</v>
      </c>
      <c r="G128" s="155">
        <v>70150323.400000006</v>
      </c>
      <c r="H128" s="153">
        <v>217</v>
      </c>
      <c r="I128" s="155"/>
      <c r="J128" s="155"/>
      <c r="K128" s="155"/>
      <c r="L128" s="155"/>
      <c r="M128" s="155"/>
      <c r="N128" s="155"/>
      <c r="O128" s="148">
        <v>45120</v>
      </c>
      <c r="P128" s="149">
        <v>65.5</v>
      </c>
      <c r="Q128" s="149">
        <v>65.900000000000006</v>
      </c>
      <c r="R128" s="149">
        <v>65.5</v>
      </c>
      <c r="S128" s="149">
        <v>65.7</v>
      </c>
      <c r="T128" s="150">
        <v>59697</v>
      </c>
      <c r="U128" s="151">
        <v>3924800.3</v>
      </c>
      <c r="V128" s="149">
        <v>55</v>
      </c>
      <c r="Z128" s="1">
        <v>44995</v>
      </c>
      <c r="AA128">
        <v>55.62</v>
      </c>
      <c r="AB128">
        <v>10676</v>
      </c>
      <c r="AC128">
        <v>123780</v>
      </c>
      <c r="AF128" s="1">
        <v>44995</v>
      </c>
      <c r="AG128">
        <v>63.28</v>
      </c>
      <c r="AJ128" s="156">
        <f t="shared" si="1"/>
        <v>0.12104930467762332</v>
      </c>
    </row>
    <row r="129" spans="1:36" x14ac:dyDescent="0.3">
      <c r="A129" s="152">
        <v>45119</v>
      </c>
      <c r="B129" s="153">
        <v>77.400000000000006</v>
      </c>
      <c r="C129" s="153">
        <v>80.900000000000006</v>
      </c>
      <c r="D129" s="153">
        <v>77.400000000000006</v>
      </c>
      <c r="E129" s="153">
        <v>80.5</v>
      </c>
      <c r="F129" s="154">
        <v>1157634</v>
      </c>
      <c r="G129" s="155">
        <v>92275084.200000003</v>
      </c>
      <c r="H129" s="153">
        <v>300</v>
      </c>
      <c r="I129" s="155"/>
      <c r="J129" s="155"/>
      <c r="K129" s="155"/>
      <c r="L129" s="155"/>
      <c r="M129" s="155"/>
      <c r="N129" s="155"/>
      <c r="O129" s="148">
        <v>45119</v>
      </c>
      <c r="P129" s="149">
        <v>64.3</v>
      </c>
      <c r="Q129" s="149">
        <v>66</v>
      </c>
      <c r="R129" s="149">
        <v>64</v>
      </c>
      <c r="S129" s="149">
        <v>65.900000000000006</v>
      </c>
      <c r="T129" s="150">
        <v>250036</v>
      </c>
      <c r="U129" s="151">
        <v>16435985</v>
      </c>
      <c r="V129" s="149">
        <v>65</v>
      </c>
      <c r="Z129" s="1">
        <v>44994</v>
      </c>
      <c r="AA129">
        <v>56</v>
      </c>
      <c r="AB129">
        <v>13829</v>
      </c>
      <c r="AC129">
        <v>124065</v>
      </c>
      <c r="AF129" s="1">
        <v>44994</v>
      </c>
      <c r="AG129">
        <v>65.260000000000005</v>
      </c>
      <c r="AJ129" s="156">
        <f t="shared" si="1"/>
        <v>0.14189396261109416</v>
      </c>
    </row>
    <row r="130" spans="1:36" x14ac:dyDescent="0.3">
      <c r="A130" s="152">
        <v>45118</v>
      </c>
      <c r="B130" s="153">
        <v>78.7</v>
      </c>
      <c r="C130" s="153">
        <v>78.7</v>
      </c>
      <c r="D130" s="153">
        <v>77.5</v>
      </c>
      <c r="E130" s="153">
        <v>78</v>
      </c>
      <c r="F130" s="154">
        <v>170853</v>
      </c>
      <c r="G130" s="155">
        <v>13314513.6</v>
      </c>
      <c r="H130" s="153">
        <v>188</v>
      </c>
      <c r="I130" s="155"/>
      <c r="J130" s="155"/>
      <c r="K130" s="155"/>
      <c r="L130" s="155"/>
      <c r="M130" s="155"/>
      <c r="N130" s="155"/>
      <c r="O130" s="148">
        <v>45118</v>
      </c>
      <c r="P130" s="149">
        <v>64</v>
      </c>
      <c r="Q130" s="149">
        <v>66.5</v>
      </c>
      <c r="R130" s="149">
        <v>63.5</v>
      </c>
      <c r="S130" s="149">
        <v>64.599999999999994</v>
      </c>
      <c r="T130" s="150">
        <v>125057</v>
      </c>
      <c r="U130" s="151">
        <v>8064580.2999999998</v>
      </c>
      <c r="V130" s="149">
        <v>82</v>
      </c>
      <c r="Z130" s="1">
        <v>44993</v>
      </c>
      <c r="AA130">
        <v>56.28</v>
      </c>
      <c r="AB130">
        <v>225262</v>
      </c>
      <c r="AC130">
        <v>123489</v>
      </c>
      <c r="AF130" s="1">
        <v>44993</v>
      </c>
      <c r="AG130">
        <v>66.2</v>
      </c>
      <c r="AJ130" s="156">
        <f t="shared" si="1"/>
        <v>0.14984894259818732</v>
      </c>
    </row>
    <row r="131" spans="1:36" x14ac:dyDescent="0.3">
      <c r="A131" s="152">
        <v>45117</v>
      </c>
      <c r="B131" s="153">
        <v>79.5</v>
      </c>
      <c r="C131" s="153">
        <v>79.8</v>
      </c>
      <c r="D131" s="153">
        <v>78</v>
      </c>
      <c r="E131" s="153">
        <v>78.5</v>
      </c>
      <c r="F131" s="154">
        <v>217191</v>
      </c>
      <c r="G131" s="155">
        <v>17099923.699999999</v>
      </c>
      <c r="H131" s="153">
        <v>183</v>
      </c>
      <c r="I131" s="155"/>
      <c r="J131" s="155"/>
      <c r="K131" s="155"/>
      <c r="L131" s="155"/>
      <c r="M131" s="155"/>
      <c r="N131" s="155"/>
      <c r="O131" s="148">
        <v>45117</v>
      </c>
      <c r="P131" s="149">
        <v>63.2</v>
      </c>
      <c r="Q131" s="149">
        <v>64.3</v>
      </c>
      <c r="R131" s="149">
        <v>63.2</v>
      </c>
      <c r="S131" s="149">
        <v>64</v>
      </c>
      <c r="T131" s="150">
        <v>57614</v>
      </c>
      <c r="U131" s="151">
        <v>3678838</v>
      </c>
      <c r="V131" s="149">
        <v>75</v>
      </c>
      <c r="Z131" s="1">
        <v>44992</v>
      </c>
      <c r="AA131">
        <v>57.03</v>
      </c>
      <c r="AB131">
        <v>771779</v>
      </c>
      <c r="AC131">
        <v>108885</v>
      </c>
      <c r="AF131" s="1">
        <v>44992</v>
      </c>
      <c r="AG131">
        <v>66.39</v>
      </c>
      <c r="AJ131" s="156">
        <f t="shared" si="1"/>
        <v>0.14098508811568006</v>
      </c>
    </row>
    <row r="132" spans="1:36" x14ac:dyDescent="0.3">
      <c r="A132" s="152">
        <v>45114</v>
      </c>
      <c r="B132" s="153">
        <v>79.5</v>
      </c>
      <c r="C132" s="153">
        <v>80</v>
      </c>
      <c r="D132" s="153">
        <v>78.099999999999994</v>
      </c>
      <c r="E132" s="153">
        <v>79.3</v>
      </c>
      <c r="F132" s="154">
        <v>395794</v>
      </c>
      <c r="G132" s="155">
        <v>31483148.300000001</v>
      </c>
      <c r="H132" s="153">
        <v>243</v>
      </c>
      <c r="I132" s="155"/>
      <c r="J132" s="155"/>
      <c r="K132" s="155"/>
      <c r="L132" s="155"/>
      <c r="M132" s="155"/>
      <c r="N132" s="155"/>
      <c r="O132" s="148">
        <v>45114</v>
      </c>
      <c r="P132" s="149">
        <v>65</v>
      </c>
      <c r="Q132" s="149">
        <v>65</v>
      </c>
      <c r="R132" s="149">
        <v>63.1</v>
      </c>
      <c r="S132" s="149">
        <v>64</v>
      </c>
      <c r="T132" s="150">
        <v>43359</v>
      </c>
      <c r="U132" s="151">
        <v>2763959.8</v>
      </c>
      <c r="V132" s="149">
        <v>54</v>
      </c>
      <c r="Z132" s="1">
        <v>44988</v>
      </c>
      <c r="AA132">
        <v>55.44</v>
      </c>
      <c r="AB132">
        <v>70223</v>
      </c>
      <c r="AC132">
        <v>57699</v>
      </c>
      <c r="AF132" s="1">
        <v>44988</v>
      </c>
      <c r="AG132">
        <v>65.17</v>
      </c>
      <c r="AJ132" s="156">
        <f t="shared" si="1"/>
        <v>0.14930182599355538</v>
      </c>
    </row>
    <row r="133" spans="1:36" x14ac:dyDescent="0.3">
      <c r="A133" s="152">
        <v>45113</v>
      </c>
      <c r="B133" s="153">
        <v>81.3</v>
      </c>
      <c r="C133" s="153">
        <v>81.5</v>
      </c>
      <c r="D133" s="153">
        <v>78</v>
      </c>
      <c r="E133" s="153">
        <v>79.599999999999994</v>
      </c>
      <c r="F133" s="154">
        <v>604131</v>
      </c>
      <c r="G133" s="155">
        <v>48123010.200000003</v>
      </c>
      <c r="H133" s="153">
        <v>456</v>
      </c>
      <c r="I133" s="155"/>
      <c r="J133" s="155"/>
      <c r="K133" s="155"/>
      <c r="L133" s="155"/>
      <c r="M133" s="155"/>
      <c r="N133" s="155"/>
      <c r="O133" s="148">
        <v>45113</v>
      </c>
      <c r="P133" s="149">
        <v>65.099999999999994</v>
      </c>
      <c r="Q133" s="149">
        <v>65.5</v>
      </c>
      <c r="R133" s="149">
        <v>64</v>
      </c>
      <c r="S133" s="149">
        <v>65</v>
      </c>
      <c r="T133" s="150">
        <v>204510</v>
      </c>
      <c r="U133" s="151">
        <v>13260596.300000001</v>
      </c>
      <c r="V133" s="149">
        <v>98</v>
      </c>
      <c r="Z133" s="1">
        <v>44987</v>
      </c>
      <c r="AA133">
        <v>51.79</v>
      </c>
      <c r="AB133">
        <v>56558</v>
      </c>
      <c r="AC133">
        <v>53190</v>
      </c>
      <c r="AF133" s="1">
        <v>44987</v>
      </c>
      <c r="AG133">
        <v>63.28</v>
      </c>
      <c r="AJ133" s="156">
        <f t="shared" si="1"/>
        <v>0.18157395701643492</v>
      </c>
    </row>
    <row r="134" spans="1:36" x14ac:dyDescent="0.3">
      <c r="A134" s="152">
        <v>45112</v>
      </c>
      <c r="B134" s="153">
        <v>83</v>
      </c>
      <c r="C134" s="153">
        <v>83</v>
      </c>
      <c r="D134" s="153">
        <v>80.099999999999994</v>
      </c>
      <c r="E134" s="153">
        <v>81.3</v>
      </c>
      <c r="F134" s="154">
        <v>6639256</v>
      </c>
      <c r="G134" s="155">
        <v>541264448.5</v>
      </c>
      <c r="H134" s="153">
        <v>867</v>
      </c>
      <c r="I134" s="155"/>
      <c r="J134" s="155"/>
      <c r="K134" s="155"/>
      <c r="L134" s="155"/>
      <c r="M134" s="155"/>
      <c r="N134" s="155"/>
      <c r="O134" s="148">
        <v>45112</v>
      </c>
      <c r="P134" s="149">
        <v>67.3</v>
      </c>
      <c r="Q134" s="149">
        <v>67.5</v>
      </c>
      <c r="R134" s="149">
        <v>63.5</v>
      </c>
      <c r="S134" s="149">
        <v>66.099999999999994</v>
      </c>
      <c r="T134" s="150">
        <v>314065</v>
      </c>
      <c r="U134" s="151">
        <v>20946971.100000001</v>
      </c>
      <c r="V134" s="149">
        <v>222</v>
      </c>
      <c r="Z134" s="1">
        <v>44986</v>
      </c>
      <c r="AA134">
        <v>49.64</v>
      </c>
      <c r="AB134">
        <v>11511</v>
      </c>
      <c r="AC134">
        <v>51092</v>
      </c>
      <c r="AF134" s="1">
        <v>44986</v>
      </c>
      <c r="AG134">
        <v>61.39</v>
      </c>
      <c r="AJ134" s="156">
        <f t="shared" ref="AJ134:AJ197" si="2">(AG134-AA134)/AG134</f>
        <v>0.19139925069229516</v>
      </c>
    </row>
    <row r="135" spans="1:36" x14ac:dyDescent="0.3">
      <c r="A135" s="152">
        <v>45111</v>
      </c>
      <c r="B135" s="153">
        <v>75.5</v>
      </c>
      <c r="C135" s="153">
        <v>81.7</v>
      </c>
      <c r="D135" s="153">
        <v>75.5</v>
      </c>
      <c r="E135" s="153">
        <v>80.900000000000006</v>
      </c>
      <c r="F135" s="154">
        <v>11028426</v>
      </c>
      <c r="G135" s="155">
        <v>879755198.20000005</v>
      </c>
      <c r="H135" s="154">
        <v>1861</v>
      </c>
      <c r="I135" s="155"/>
      <c r="J135" s="155"/>
      <c r="K135" s="155"/>
      <c r="L135" s="155"/>
      <c r="M135" s="155"/>
      <c r="N135" s="155"/>
      <c r="O135" s="148">
        <v>45111</v>
      </c>
      <c r="P135" s="149">
        <v>60.1</v>
      </c>
      <c r="Q135" s="149">
        <v>67.400000000000006</v>
      </c>
      <c r="R135" s="149">
        <v>60.1</v>
      </c>
      <c r="S135" s="149">
        <v>67.3</v>
      </c>
      <c r="T135" s="150">
        <v>1422154</v>
      </c>
      <c r="U135" s="151">
        <v>93847955.700000003</v>
      </c>
      <c r="V135" s="149">
        <v>603</v>
      </c>
      <c r="Z135" s="1">
        <v>44985</v>
      </c>
      <c r="AA135">
        <v>49.92</v>
      </c>
      <c r="AB135">
        <v>17430</v>
      </c>
      <c r="AC135">
        <v>51251</v>
      </c>
      <c r="AF135" s="1">
        <v>44985</v>
      </c>
      <c r="AG135">
        <v>61.39</v>
      </c>
      <c r="AJ135" s="156">
        <f t="shared" si="2"/>
        <v>0.18683824727154258</v>
      </c>
    </row>
    <row r="136" spans="1:36" x14ac:dyDescent="0.3">
      <c r="A136" s="152">
        <v>45105</v>
      </c>
      <c r="B136" s="153">
        <v>67.5</v>
      </c>
      <c r="C136" s="153">
        <v>69.5</v>
      </c>
      <c r="D136" s="153">
        <v>66</v>
      </c>
      <c r="E136" s="153">
        <v>68.099999999999994</v>
      </c>
      <c r="F136" s="154">
        <v>616578</v>
      </c>
      <c r="G136" s="155">
        <v>42339481.799999997</v>
      </c>
      <c r="H136" s="153">
        <v>258</v>
      </c>
      <c r="I136" s="155"/>
      <c r="J136" s="155"/>
      <c r="K136" s="155"/>
      <c r="L136" s="155"/>
      <c r="M136" s="155"/>
      <c r="N136" s="155"/>
      <c r="O136" s="148">
        <v>45105</v>
      </c>
      <c r="P136" s="149">
        <v>54</v>
      </c>
      <c r="Q136" s="149">
        <v>55.9</v>
      </c>
      <c r="R136" s="149">
        <v>54</v>
      </c>
      <c r="S136" s="149">
        <v>54.1</v>
      </c>
      <c r="T136" s="150">
        <v>68433</v>
      </c>
      <c r="U136" s="151">
        <v>3732932.4</v>
      </c>
      <c r="V136" s="149">
        <v>65</v>
      </c>
      <c r="Z136" s="1">
        <v>44984</v>
      </c>
      <c r="AA136">
        <v>49.55</v>
      </c>
      <c r="AB136">
        <v>86375</v>
      </c>
      <c r="AC136">
        <v>52859</v>
      </c>
      <c r="AF136" s="1">
        <v>44984</v>
      </c>
      <c r="AG136">
        <v>61.39</v>
      </c>
      <c r="AJ136" s="156">
        <f t="shared" si="2"/>
        <v>0.19286528750610854</v>
      </c>
    </row>
    <row r="137" spans="1:36" x14ac:dyDescent="0.3">
      <c r="A137" s="152">
        <v>45104</v>
      </c>
      <c r="B137" s="153">
        <v>68.5</v>
      </c>
      <c r="C137" s="153">
        <v>69</v>
      </c>
      <c r="D137" s="153">
        <v>67.099999999999994</v>
      </c>
      <c r="E137" s="153">
        <v>67.7</v>
      </c>
      <c r="F137" s="154">
        <v>369894</v>
      </c>
      <c r="G137" s="155">
        <v>25117976.199999999</v>
      </c>
      <c r="H137" s="153">
        <v>199</v>
      </c>
      <c r="I137" s="155"/>
      <c r="J137" s="155"/>
      <c r="K137" s="155"/>
      <c r="L137" s="155"/>
      <c r="M137" s="155"/>
      <c r="N137" s="155"/>
      <c r="O137" s="148">
        <v>45104</v>
      </c>
      <c r="P137" s="149">
        <v>55</v>
      </c>
      <c r="Q137" s="149">
        <v>55</v>
      </c>
      <c r="R137" s="149">
        <v>53.6</v>
      </c>
      <c r="S137" s="149">
        <v>54</v>
      </c>
      <c r="T137" s="150">
        <v>24111</v>
      </c>
      <c r="U137" s="151">
        <v>1296022.3</v>
      </c>
      <c r="V137" s="149">
        <v>39</v>
      </c>
      <c r="Z137" s="1">
        <v>44981</v>
      </c>
      <c r="AA137">
        <v>53.38</v>
      </c>
      <c r="AB137">
        <v>61577</v>
      </c>
      <c r="AC137">
        <v>49393</v>
      </c>
      <c r="AF137" s="1">
        <v>44981</v>
      </c>
      <c r="AG137">
        <v>62.43</v>
      </c>
      <c r="AJ137" s="156">
        <f t="shared" si="2"/>
        <v>0.14496235784078162</v>
      </c>
    </row>
    <row r="138" spans="1:36" x14ac:dyDescent="0.3">
      <c r="A138" s="152">
        <v>45103</v>
      </c>
      <c r="B138" s="153">
        <v>66</v>
      </c>
      <c r="C138" s="153">
        <v>69.900000000000006</v>
      </c>
      <c r="D138" s="153">
        <v>63.1</v>
      </c>
      <c r="E138" s="153">
        <v>68.3</v>
      </c>
      <c r="F138" s="154">
        <v>1159127</v>
      </c>
      <c r="G138" s="155">
        <v>77159012.200000003</v>
      </c>
      <c r="H138" s="153">
        <v>398</v>
      </c>
      <c r="I138" s="155"/>
      <c r="J138" s="155"/>
      <c r="K138" s="155"/>
      <c r="L138" s="155"/>
      <c r="M138" s="155"/>
      <c r="N138" s="155"/>
      <c r="O138" s="148">
        <v>45103</v>
      </c>
      <c r="P138" s="149">
        <v>53.5</v>
      </c>
      <c r="Q138" s="149">
        <v>55.5</v>
      </c>
      <c r="R138" s="149">
        <v>52.9</v>
      </c>
      <c r="S138" s="149">
        <v>54.8</v>
      </c>
      <c r="T138" s="150">
        <v>48451</v>
      </c>
      <c r="U138" s="151">
        <v>2605914.5</v>
      </c>
      <c r="V138" s="149">
        <v>128</v>
      </c>
      <c r="Z138" s="1">
        <v>44980</v>
      </c>
      <c r="AA138">
        <v>51.32</v>
      </c>
      <c r="AB138">
        <v>28592</v>
      </c>
      <c r="AC138">
        <v>47928</v>
      </c>
      <c r="AF138" s="1">
        <v>44980</v>
      </c>
      <c r="AG138">
        <v>61.39</v>
      </c>
      <c r="AJ138" s="156">
        <f t="shared" si="2"/>
        <v>0.16403323016777976</v>
      </c>
    </row>
    <row r="139" spans="1:36" x14ac:dyDescent="0.3">
      <c r="A139" s="152">
        <v>45100</v>
      </c>
      <c r="B139" s="153">
        <v>66</v>
      </c>
      <c r="C139" s="153">
        <v>67.8</v>
      </c>
      <c r="D139" s="153">
        <v>66</v>
      </c>
      <c r="E139" s="153">
        <v>66.099999999999994</v>
      </c>
      <c r="F139" s="154">
        <v>458084</v>
      </c>
      <c r="G139" s="155">
        <v>30370073.399999999</v>
      </c>
      <c r="H139" s="153">
        <v>138</v>
      </c>
      <c r="I139" s="155"/>
      <c r="J139" s="155"/>
      <c r="K139" s="155"/>
      <c r="L139" s="155"/>
      <c r="M139" s="155"/>
      <c r="N139" s="155"/>
      <c r="O139" s="148">
        <v>45100</v>
      </c>
      <c r="P139" s="149">
        <v>53</v>
      </c>
      <c r="Q139" s="149">
        <v>53.9</v>
      </c>
      <c r="R139" s="149">
        <v>53</v>
      </c>
      <c r="S139" s="149">
        <v>53.4</v>
      </c>
      <c r="T139" s="150">
        <v>12728</v>
      </c>
      <c r="U139" s="151">
        <v>678858.6</v>
      </c>
      <c r="V139" s="149">
        <v>35</v>
      </c>
      <c r="Z139" s="1">
        <v>44979</v>
      </c>
      <c r="AA139">
        <v>50.11</v>
      </c>
      <c r="AB139">
        <v>47072</v>
      </c>
      <c r="AC139">
        <v>53983</v>
      </c>
      <c r="AF139" s="1">
        <v>44979</v>
      </c>
      <c r="AG139">
        <v>61.01</v>
      </c>
      <c r="AJ139" s="156">
        <f t="shared" si="2"/>
        <v>0.17865923619078838</v>
      </c>
    </row>
    <row r="140" spans="1:36" x14ac:dyDescent="0.3">
      <c r="A140" s="152">
        <v>45099</v>
      </c>
      <c r="B140" s="153">
        <v>66.400000000000006</v>
      </c>
      <c r="C140" s="153">
        <v>67</v>
      </c>
      <c r="D140" s="153">
        <v>66</v>
      </c>
      <c r="E140" s="153">
        <v>66.099999999999994</v>
      </c>
      <c r="F140" s="154">
        <v>187840</v>
      </c>
      <c r="G140" s="155">
        <v>12543752</v>
      </c>
      <c r="H140" s="153">
        <v>102</v>
      </c>
      <c r="I140" s="155"/>
      <c r="J140" s="155"/>
      <c r="K140" s="155"/>
      <c r="L140" s="155"/>
      <c r="M140" s="155"/>
      <c r="N140" s="155"/>
      <c r="O140" s="148">
        <v>45099</v>
      </c>
      <c r="P140" s="149">
        <v>53.5</v>
      </c>
      <c r="Q140" s="149">
        <v>53.5</v>
      </c>
      <c r="R140" s="149">
        <v>53</v>
      </c>
      <c r="S140" s="149">
        <v>53.1</v>
      </c>
      <c r="T140" s="150">
        <v>8000</v>
      </c>
      <c r="U140" s="151">
        <v>424544.5</v>
      </c>
      <c r="V140" s="149">
        <v>17</v>
      </c>
      <c r="Z140" s="1">
        <v>44978</v>
      </c>
      <c r="AA140">
        <v>49.64</v>
      </c>
      <c r="AB140">
        <v>24328</v>
      </c>
      <c r="AC140">
        <v>51987</v>
      </c>
      <c r="AF140" s="1">
        <v>44978</v>
      </c>
      <c r="AG140">
        <v>61.01</v>
      </c>
      <c r="AJ140" s="156">
        <f t="shared" si="2"/>
        <v>0.18636289132929024</v>
      </c>
    </row>
    <row r="141" spans="1:36" x14ac:dyDescent="0.3">
      <c r="A141" s="152">
        <v>45098</v>
      </c>
      <c r="B141" s="153">
        <v>64.900000000000006</v>
      </c>
      <c r="C141" s="153">
        <v>66.5</v>
      </c>
      <c r="D141" s="153">
        <v>64.099999999999994</v>
      </c>
      <c r="E141" s="153">
        <v>66.2</v>
      </c>
      <c r="F141" s="154">
        <v>1297322</v>
      </c>
      <c r="G141" s="155">
        <v>85592117.700000003</v>
      </c>
      <c r="H141" s="153">
        <v>139</v>
      </c>
      <c r="I141" s="155"/>
      <c r="J141" s="155"/>
      <c r="K141" s="155"/>
      <c r="L141" s="155"/>
      <c r="M141" s="155"/>
      <c r="N141" s="155"/>
      <c r="O141" s="148">
        <v>45098</v>
      </c>
      <c r="P141" s="149">
        <v>52</v>
      </c>
      <c r="Q141" s="149">
        <v>53.4</v>
      </c>
      <c r="R141" s="149">
        <v>51.5</v>
      </c>
      <c r="S141" s="149">
        <v>53.2</v>
      </c>
      <c r="T141" s="150">
        <v>27934</v>
      </c>
      <c r="U141" s="151">
        <v>1471764.1</v>
      </c>
      <c r="V141" s="149">
        <v>39</v>
      </c>
      <c r="Z141" s="1">
        <v>44977</v>
      </c>
      <c r="AA141">
        <v>48.61</v>
      </c>
      <c r="AB141">
        <v>193443</v>
      </c>
      <c r="AC141">
        <v>55362</v>
      </c>
      <c r="AF141" s="1">
        <v>44977</v>
      </c>
      <c r="AG141">
        <v>61.67</v>
      </c>
      <c r="AJ141" s="156">
        <f t="shared" si="2"/>
        <v>0.21177233663045245</v>
      </c>
    </row>
    <row r="142" spans="1:36" x14ac:dyDescent="0.3">
      <c r="A142" s="152">
        <v>45097</v>
      </c>
      <c r="B142" s="153">
        <v>64</v>
      </c>
      <c r="C142" s="153">
        <v>65</v>
      </c>
      <c r="D142" s="153">
        <v>63.5</v>
      </c>
      <c r="E142" s="153">
        <v>64</v>
      </c>
      <c r="F142" s="154">
        <v>112606</v>
      </c>
      <c r="G142" s="155">
        <v>7285333</v>
      </c>
      <c r="H142" s="153">
        <v>69</v>
      </c>
      <c r="I142" s="155"/>
      <c r="J142" s="155"/>
      <c r="K142" s="155"/>
      <c r="L142" s="155"/>
      <c r="M142" s="155"/>
      <c r="N142" s="155"/>
      <c r="O142" s="148">
        <v>45097</v>
      </c>
      <c r="P142" s="149">
        <v>52</v>
      </c>
      <c r="Q142" s="149">
        <v>52.1</v>
      </c>
      <c r="R142" s="149">
        <v>51.5</v>
      </c>
      <c r="S142" s="149">
        <v>51.5</v>
      </c>
      <c r="T142" s="150">
        <v>4293</v>
      </c>
      <c r="U142" s="151">
        <v>222171.4</v>
      </c>
      <c r="V142" s="149">
        <v>17</v>
      </c>
      <c r="Z142" s="1">
        <v>44974</v>
      </c>
      <c r="AA142">
        <v>45.81</v>
      </c>
      <c r="AB142">
        <v>238044</v>
      </c>
      <c r="AC142">
        <v>42697</v>
      </c>
      <c r="AF142" s="1">
        <v>44974</v>
      </c>
      <c r="AG142">
        <v>59.03</v>
      </c>
      <c r="AJ142" s="156">
        <f t="shared" si="2"/>
        <v>0.22395392173471115</v>
      </c>
    </row>
    <row r="143" spans="1:36" x14ac:dyDescent="0.3">
      <c r="A143" s="152">
        <v>45096</v>
      </c>
      <c r="B143" s="153">
        <v>64</v>
      </c>
      <c r="C143" s="153">
        <v>65</v>
      </c>
      <c r="D143" s="153">
        <v>64</v>
      </c>
      <c r="E143" s="153">
        <v>65</v>
      </c>
      <c r="F143" s="154">
        <v>197226</v>
      </c>
      <c r="G143" s="155">
        <v>12795326.1</v>
      </c>
      <c r="H143" s="153">
        <v>90</v>
      </c>
      <c r="I143" s="155"/>
      <c r="J143" s="155"/>
      <c r="K143" s="155"/>
      <c r="L143" s="155"/>
      <c r="M143" s="155"/>
      <c r="N143" s="155"/>
      <c r="O143" s="148">
        <v>45096</v>
      </c>
      <c r="P143" s="149">
        <v>52.9</v>
      </c>
      <c r="Q143" s="149">
        <v>53</v>
      </c>
      <c r="R143" s="149">
        <v>52.1</v>
      </c>
      <c r="S143" s="149">
        <v>52.5</v>
      </c>
      <c r="T143" s="150">
        <v>14163</v>
      </c>
      <c r="U143" s="151">
        <v>743376.9</v>
      </c>
      <c r="V143" s="149">
        <v>16</v>
      </c>
      <c r="Z143" s="1">
        <v>44973</v>
      </c>
      <c r="AA143">
        <v>45.15</v>
      </c>
      <c r="AB143">
        <v>14949</v>
      </c>
      <c r="AC143">
        <v>27801</v>
      </c>
      <c r="AF143" s="1">
        <v>44973</v>
      </c>
      <c r="AG143">
        <v>56.95</v>
      </c>
      <c r="AJ143" s="156">
        <f t="shared" si="2"/>
        <v>0.20719929762949962</v>
      </c>
    </row>
    <row r="144" spans="1:36" x14ac:dyDescent="0.3">
      <c r="A144" s="152">
        <v>45093</v>
      </c>
      <c r="B144" s="153">
        <v>66</v>
      </c>
      <c r="C144" s="153">
        <v>67.8</v>
      </c>
      <c r="D144" s="153">
        <v>65</v>
      </c>
      <c r="E144" s="153">
        <v>66</v>
      </c>
      <c r="F144" s="154">
        <v>104658</v>
      </c>
      <c r="G144" s="155">
        <v>6879122.2000000002</v>
      </c>
      <c r="H144" s="153">
        <v>127</v>
      </c>
      <c r="I144" s="155"/>
      <c r="J144" s="155"/>
      <c r="K144" s="155"/>
      <c r="L144" s="155"/>
      <c r="M144" s="155"/>
      <c r="N144" s="155"/>
      <c r="O144" s="148">
        <v>45093</v>
      </c>
      <c r="P144" s="149">
        <v>54</v>
      </c>
      <c r="Q144" s="149">
        <v>54</v>
      </c>
      <c r="R144" s="149">
        <v>52.5</v>
      </c>
      <c r="S144" s="149">
        <v>52.9</v>
      </c>
      <c r="T144" s="150">
        <v>34094</v>
      </c>
      <c r="U144" s="151">
        <v>1805969</v>
      </c>
      <c r="V144" s="149">
        <v>48</v>
      </c>
      <c r="Z144" s="1">
        <v>44972</v>
      </c>
      <c r="AA144">
        <v>43.94</v>
      </c>
      <c r="AB144">
        <v>5189</v>
      </c>
      <c r="AC144">
        <v>27019</v>
      </c>
      <c r="AF144" s="1">
        <v>44972</v>
      </c>
      <c r="AG144">
        <v>55.25</v>
      </c>
      <c r="AJ144" s="156">
        <f t="shared" si="2"/>
        <v>0.20470588235294121</v>
      </c>
    </row>
    <row r="145" spans="1:36" x14ac:dyDescent="0.3">
      <c r="A145" s="152">
        <v>45092</v>
      </c>
      <c r="B145" s="153">
        <v>67</v>
      </c>
      <c r="C145" s="153">
        <v>67</v>
      </c>
      <c r="D145" s="153">
        <v>64</v>
      </c>
      <c r="E145" s="153">
        <v>66.3</v>
      </c>
      <c r="F145" s="154">
        <v>1178947</v>
      </c>
      <c r="G145" s="155">
        <v>77756916</v>
      </c>
      <c r="H145" s="153">
        <v>185</v>
      </c>
      <c r="I145" s="155"/>
      <c r="J145" s="155"/>
      <c r="K145" s="155"/>
      <c r="L145" s="155"/>
      <c r="M145" s="155"/>
      <c r="N145" s="155"/>
      <c r="O145" s="148">
        <v>45092</v>
      </c>
      <c r="P145" s="149">
        <v>53.9</v>
      </c>
      <c r="Q145" s="149">
        <v>54</v>
      </c>
      <c r="R145" s="149">
        <v>52.1</v>
      </c>
      <c r="S145" s="149">
        <v>53</v>
      </c>
      <c r="T145" s="150">
        <v>46598</v>
      </c>
      <c r="U145" s="151">
        <v>2485992.9</v>
      </c>
      <c r="V145" s="149">
        <v>61</v>
      </c>
      <c r="Z145" s="1">
        <v>44971</v>
      </c>
      <c r="AA145">
        <v>43.75</v>
      </c>
      <c r="AB145">
        <v>6206</v>
      </c>
      <c r="AC145">
        <v>26900</v>
      </c>
      <c r="AF145" s="1">
        <v>44971</v>
      </c>
      <c r="AG145">
        <v>55.34</v>
      </c>
      <c r="AJ145" s="156">
        <f t="shared" si="2"/>
        <v>0.20943259848211063</v>
      </c>
    </row>
    <row r="146" spans="1:36" x14ac:dyDescent="0.3">
      <c r="A146" s="152">
        <v>45091</v>
      </c>
      <c r="B146" s="153">
        <v>61.1</v>
      </c>
      <c r="C146" s="153">
        <v>67</v>
      </c>
      <c r="D146" s="153">
        <v>61</v>
      </c>
      <c r="E146" s="153">
        <v>65</v>
      </c>
      <c r="F146" s="154">
        <v>165042</v>
      </c>
      <c r="G146" s="155">
        <v>10511147.9</v>
      </c>
      <c r="H146" s="153">
        <v>218</v>
      </c>
      <c r="I146" s="155"/>
      <c r="J146" s="155"/>
      <c r="K146" s="155"/>
      <c r="L146" s="155"/>
      <c r="M146" s="155"/>
      <c r="N146" s="155"/>
      <c r="O146" s="148">
        <v>45091</v>
      </c>
      <c r="P146" s="149">
        <v>53.5</v>
      </c>
      <c r="Q146" s="149">
        <v>53.5</v>
      </c>
      <c r="R146" s="149">
        <v>52.9</v>
      </c>
      <c r="S146" s="149">
        <v>53.3</v>
      </c>
      <c r="T146" s="150">
        <v>22882</v>
      </c>
      <c r="U146" s="151">
        <v>1220908.6000000001</v>
      </c>
      <c r="V146" s="149">
        <v>46</v>
      </c>
      <c r="Z146" s="1">
        <v>44970</v>
      </c>
      <c r="AA146">
        <v>44.97</v>
      </c>
      <c r="AB146">
        <v>3991</v>
      </c>
      <c r="AC146">
        <v>30850</v>
      </c>
      <c r="AF146" s="1">
        <v>44970</v>
      </c>
      <c r="AG146">
        <v>56.76</v>
      </c>
      <c r="AJ146" s="156">
        <f t="shared" si="2"/>
        <v>0.20771670190274841</v>
      </c>
    </row>
    <row r="147" spans="1:36" x14ac:dyDescent="0.3">
      <c r="A147" s="152">
        <v>45090</v>
      </c>
      <c r="B147" s="153">
        <v>61.8</v>
      </c>
      <c r="C147" s="153">
        <v>61.9</v>
      </c>
      <c r="D147" s="153">
        <v>60.3</v>
      </c>
      <c r="E147" s="153">
        <v>61.1</v>
      </c>
      <c r="F147" s="154">
        <v>73476</v>
      </c>
      <c r="G147" s="155">
        <v>4484840</v>
      </c>
      <c r="H147" s="153">
        <v>98</v>
      </c>
      <c r="I147" s="155"/>
      <c r="J147" s="155"/>
      <c r="K147" s="155"/>
      <c r="L147" s="155"/>
      <c r="M147" s="155"/>
      <c r="N147" s="155"/>
      <c r="O147" s="148">
        <v>45090</v>
      </c>
      <c r="P147" s="149">
        <v>53.9</v>
      </c>
      <c r="Q147" s="149">
        <v>53.9</v>
      </c>
      <c r="R147" s="149">
        <v>52.8</v>
      </c>
      <c r="S147" s="149">
        <v>53</v>
      </c>
      <c r="T147" s="150">
        <v>8453</v>
      </c>
      <c r="U147" s="151">
        <v>448889</v>
      </c>
      <c r="V147" s="149">
        <v>20</v>
      </c>
      <c r="Z147" s="1">
        <v>44967</v>
      </c>
      <c r="AA147">
        <v>46.09</v>
      </c>
      <c r="AB147">
        <v>2591</v>
      </c>
      <c r="AC147">
        <v>36784</v>
      </c>
      <c r="AF147" s="1">
        <v>44967</v>
      </c>
      <c r="AG147">
        <v>58.18</v>
      </c>
      <c r="AJ147" s="156">
        <f t="shared" si="2"/>
        <v>0.20780336885527667</v>
      </c>
    </row>
    <row r="148" spans="1:36" x14ac:dyDescent="0.3">
      <c r="A148" s="152">
        <v>45089</v>
      </c>
      <c r="B148" s="153">
        <v>59.1</v>
      </c>
      <c r="C148" s="153">
        <v>61.9</v>
      </c>
      <c r="D148" s="153">
        <v>59.1</v>
      </c>
      <c r="E148" s="153">
        <v>61.8</v>
      </c>
      <c r="F148" s="154">
        <v>93111</v>
      </c>
      <c r="G148" s="155">
        <v>5635133.7999999998</v>
      </c>
      <c r="H148" s="153">
        <v>130</v>
      </c>
      <c r="I148" s="155"/>
      <c r="J148" s="155"/>
      <c r="K148" s="155"/>
      <c r="L148" s="155"/>
      <c r="M148" s="155"/>
      <c r="N148" s="155"/>
      <c r="O148" s="148">
        <v>45089</v>
      </c>
      <c r="P148" s="149">
        <v>50.5</v>
      </c>
      <c r="Q148" s="149">
        <v>54</v>
      </c>
      <c r="R148" s="149">
        <v>50.4</v>
      </c>
      <c r="S148" s="149">
        <v>53</v>
      </c>
      <c r="T148" s="150">
        <v>14115</v>
      </c>
      <c r="U148" s="151">
        <v>740146.4</v>
      </c>
      <c r="V148" s="149">
        <v>50</v>
      </c>
      <c r="Z148" s="1">
        <v>44966</v>
      </c>
      <c r="AA148">
        <v>46.56</v>
      </c>
      <c r="AB148">
        <v>25078</v>
      </c>
      <c r="AC148">
        <v>37656</v>
      </c>
      <c r="AF148" s="1">
        <v>44966</v>
      </c>
      <c r="AG148">
        <v>58.08</v>
      </c>
      <c r="AJ148" s="156">
        <f t="shared" si="2"/>
        <v>0.19834710743801648</v>
      </c>
    </row>
    <row r="149" spans="1:36" x14ac:dyDescent="0.3">
      <c r="A149" s="152">
        <v>45086</v>
      </c>
      <c r="B149" s="153">
        <v>58.1</v>
      </c>
      <c r="C149" s="153">
        <v>60.3</v>
      </c>
      <c r="D149" s="153">
        <v>58.1</v>
      </c>
      <c r="E149" s="153">
        <v>60</v>
      </c>
      <c r="F149" s="154">
        <v>95851</v>
      </c>
      <c r="G149" s="155">
        <v>5749508.4000000004</v>
      </c>
      <c r="H149" s="153">
        <v>100</v>
      </c>
      <c r="I149" s="155"/>
      <c r="J149" s="155"/>
      <c r="K149" s="155"/>
      <c r="L149" s="155"/>
      <c r="M149" s="155"/>
      <c r="N149" s="155"/>
      <c r="O149" s="148">
        <v>45086</v>
      </c>
      <c r="P149" s="149">
        <v>49.2</v>
      </c>
      <c r="Q149" s="149">
        <v>50.8</v>
      </c>
      <c r="R149" s="149">
        <v>48.1</v>
      </c>
      <c r="S149" s="149">
        <v>50</v>
      </c>
      <c r="T149" s="150">
        <v>34300</v>
      </c>
      <c r="U149" s="151">
        <v>1710255.4</v>
      </c>
      <c r="V149" s="149">
        <v>39</v>
      </c>
      <c r="Z149" s="1">
        <v>44965</v>
      </c>
      <c r="AA149">
        <v>46.56</v>
      </c>
      <c r="AB149">
        <v>13900</v>
      </c>
      <c r="AC149">
        <v>36950</v>
      </c>
      <c r="AF149" s="1">
        <v>44965</v>
      </c>
      <c r="AG149">
        <v>58.27</v>
      </c>
      <c r="AJ149" s="156">
        <f t="shared" si="2"/>
        <v>0.20096104341856874</v>
      </c>
    </row>
    <row r="150" spans="1:36" x14ac:dyDescent="0.3">
      <c r="A150" s="152">
        <v>45085</v>
      </c>
      <c r="B150" s="153">
        <v>57.2</v>
      </c>
      <c r="C150" s="153">
        <v>59</v>
      </c>
      <c r="D150" s="153">
        <v>57.2</v>
      </c>
      <c r="E150" s="153">
        <v>58.9</v>
      </c>
      <c r="F150" s="154">
        <v>13038</v>
      </c>
      <c r="G150" s="155">
        <v>758182.1</v>
      </c>
      <c r="H150" s="153">
        <v>27</v>
      </c>
      <c r="I150" s="155"/>
      <c r="J150" s="155"/>
      <c r="K150" s="155"/>
      <c r="L150" s="155"/>
      <c r="M150" s="155"/>
      <c r="N150" s="155"/>
      <c r="O150" s="148">
        <v>45085</v>
      </c>
      <c r="P150" s="149">
        <v>49.2</v>
      </c>
      <c r="Q150" s="149">
        <v>49.2</v>
      </c>
      <c r="R150" s="149">
        <v>48.9</v>
      </c>
      <c r="S150" s="149">
        <v>49</v>
      </c>
      <c r="T150" s="149">
        <v>557</v>
      </c>
      <c r="U150" s="151">
        <v>27302.7</v>
      </c>
      <c r="V150" s="149">
        <v>5</v>
      </c>
      <c r="Z150" s="1">
        <v>44964</v>
      </c>
      <c r="AA150">
        <v>46.65</v>
      </c>
      <c r="AB150">
        <v>41547</v>
      </c>
      <c r="AC150">
        <v>36117</v>
      </c>
      <c r="AF150" s="1">
        <v>44964</v>
      </c>
      <c r="AG150">
        <v>58.18</v>
      </c>
      <c r="AJ150" s="156">
        <f t="shared" si="2"/>
        <v>0.19817806806462704</v>
      </c>
    </row>
    <row r="151" spans="1:36" x14ac:dyDescent="0.3">
      <c r="A151" s="152">
        <v>45084</v>
      </c>
      <c r="B151" s="153">
        <v>58.1</v>
      </c>
      <c r="C151" s="153">
        <v>58.6</v>
      </c>
      <c r="D151" s="153">
        <v>56.7</v>
      </c>
      <c r="E151" s="153">
        <v>57.3</v>
      </c>
      <c r="F151" s="154">
        <v>5099</v>
      </c>
      <c r="G151" s="155">
        <v>292627.7</v>
      </c>
      <c r="H151" s="153">
        <v>25</v>
      </c>
      <c r="I151" s="155"/>
      <c r="J151" s="155"/>
      <c r="K151" s="155"/>
      <c r="L151" s="155"/>
      <c r="M151" s="155"/>
      <c r="N151" s="155"/>
      <c r="O151" s="148">
        <v>45084</v>
      </c>
      <c r="P151" s="149">
        <v>48</v>
      </c>
      <c r="Q151" s="149">
        <v>49</v>
      </c>
      <c r="R151" s="149">
        <v>47.4</v>
      </c>
      <c r="S151" s="149">
        <v>47.4</v>
      </c>
      <c r="T151" s="150">
        <v>2226</v>
      </c>
      <c r="U151" s="151">
        <v>106315.4</v>
      </c>
      <c r="V151" s="149">
        <v>14</v>
      </c>
      <c r="Z151" s="1">
        <v>44963</v>
      </c>
      <c r="AA151">
        <v>46.46</v>
      </c>
      <c r="AB151">
        <v>34389</v>
      </c>
      <c r="AC151">
        <v>33412</v>
      </c>
      <c r="AF151" s="1">
        <v>44963</v>
      </c>
      <c r="AG151">
        <v>58.46</v>
      </c>
      <c r="AJ151" s="156">
        <f t="shared" si="2"/>
        <v>0.20526855969893945</v>
      </c>
    </row>
    <row r="152" spans="1:36" x14ac:dyDescent="0.3">
      <c r="A152" s="152">
        <v>45083</v>
      </c>
      <c r="B152" s="153">
        <v>58</v>
      </c>
      <c r="C152" s="153">
        <v>58.1</v>
      </c>
      <c r="D152" s="153">
        <v>57.3</v>
      </c>
      <c r="E152" s="153">
        <v>58</v>
      </c>
      <c r="F152" s="154">
        <v>219525</v>
      </c>
      <c r="G152" s="155">
        <v>12628738.199999999</v>
      </c>
      <c r="H152" s="153">
        <v>29</v>
      </c>
      <c r="I152" s="155"/>
      <c r="J152" s="155"/>
      <c r="K152" s="155"/>
      <c r="L152" s="155"/>
      <c r="M152" s="155"/>
      <c r="N152" s="155"/>
      <c r="O152" s="148">
        <v>45083</v>
      </c>
      <c r="P152" s="149">
        <v>49.1</v>
      </c>
      <c r="Q152" s="149">
        <v>49.2</v>
      </c>
      <c r="R152" s="149">
        <v>48</v>
      </c>
      <c r="S152" s="149">
        <v>49</v>
      </c>
      <c r="T152" s="150">
        <v>1727</v>
      </c>
      <c r="U152" s="151">
        <v>84660.4</v>
      </c>
      <c r="V152" s="149">
        <v>13</v>
      </c>
      <c r="Z152" s="1">
        <v>44960</v>
      </c>
      <c r="AA152">
        <v>48.43</v>
      </c>
      <c r="AB152">
        <v>39606</v>
      </c>
      <c r="AC152">
        <v>31789</v>
      </c>
      <c r="AF152" s="1">
        <v>44960</v>
      </c>
      <c r="AG152">
        <v>60.92</v>
      </c>
      <c r="AJ152" s="156">
        <f t="shared" si="2"/>
        <v>0.2050229809586343</v>
      </c>
    </row>
    <row r="153" spans="1:36" x14ac:dyDescent="0.3">
      <c r="A153" s="152">
        <v>45082</v>
      </c>
      <c r="B153" s="153">
        <v>58.8</v>
      </c>
      <c r="C153" s="153">
        <v>59</v>
      </c>
      <c r="D153" s="153">
        <v>57</v>
      </c>
      <c r="E153" s="153">
        <v>58.1</v>
      </c>
      <c r="F153" s="154">
        <v>27749</v>
      </c>
      <c r="G153" s="155">
        <v>1601195.3</v>
      </c>
      <c r="H153" s="153">
        <v>52</v>
      </c>
      <c r="I153" s="155"/>
      <c r="J153" s="155"/>
      <c r="K153" s="155"/>
      <c r="L153" s="155"/>
      <c r="M153" s="155"/>
      <c r="N153" s="155"/>
      <c r="O153" s="148">
        <v>45082</v>
      </c>
      <c r="P153" s="149">
        <v>49.8</v>
      </c>
      <c r="Q153" s="149">
        <v>49.9</v>
      </c>
      <c r="R153" s="149">
        <v>49.5</v>
      </c>
      <c r="S153" s="149">
        <v>49.5</v>
      </c>
      <c r="T153" s="150">
        <v>16602</v>
      </c>
      <c r="U153" s="151">
        <v>827259.5</v>
      </c>
      <c r="V153" s="149">
        <v>31</v>
      </c>
      <c r="Z153" s="1">
        <v>44959</v>
      </c>
      <c r="AA153">
        <v>46.37</v>
      </c>
      <c r="AB153">
        <v>119414</v>
      </c>
      <c r="AC153">
        <v>29177</v>
      </c>
      <c r="AF153" s="1">
        <v>44959</v>
      </c>
      <c r="AG153">
        <v>56.95</v>
      </c>
      <c r="AJ153" s="156">
        <f t="shared" si="2"/>
        <v>0.1857769973661107</v>
      </c>
    </row>
    <row r="154" spans="1:36" x14ac:dyDescent="0.3">
      <c r="A154" s="152">
        <v>45079</v>
      </c>
      <c r="B154" s="153">
        <v>57.3</v>
      </c>
      <c r="C154" s="153">
        <v>59</v>
      </c>
      <c r="D154" s="153">
        <v>57.3</v>
      </c>
      <c r="E154" s="153">
        <v>58.1</v>
      </c>
      <c r="F154" s="154">
        <v>51203</v>
      </c>
      <c r="G154" s="155">
        <v>2976439.7</v>
      </c>
      <c r="H154" s="153">
        <v>49</v>
      </c>
      <c r="I154" s="155"/>
      <c r="J154" s="155"/>
      <c r="K154" s="155"/>
      <c r="L154" s="155"/>
      <c r="M154" s="155"/>
      <c r="N154" s="155"/>
      <c r="O154" s="148">
        <v>45079</v>
      </c>
      <c r="P154" s="149">
        <v>49.3</v>
      </c>
      <c r="Q154" s="149">
        <v>49.4</v>
      </c>
      <c r="R154" s="149">
        <v>49.3</v>
      </c>
      <c r="S154" s="149">
        <v>49.4</v>
      </c>
      <c r="T154" s="149">
        <v>463</v>
      </c>
      <c r="U154" s="151">
        <v>22857.200000000001</v>
      </c>
      <c r="V154" s="149">
        <v>7</v>
      </c>
      <c r="Z154" s="1">
        <v>44958</v>
      </c>
      <c r="AA154">
        <v>43</v>
      </c>
      <c r="AB154">
        <v>17135</v>
      </c>
      <c r="AC154">
        <v>21308</v>
      </c>
      <c r="AF154" s="1">
        <v>44958</v>
      </c>
      <c r="AG154">
        <v>55.82</v>
      </c>
      <c r="AJ154" s="156">
        <f t="shared" si="2"/>
        <v>0.2296667860981727</v>
      </c>
    </row>
    <row r="155" spans="1:36" x14ac:dyDescent="0.3">
      <c r="A155" s="152">
        <v>45078</v>
      </c>
      <c r="B155" s="153">
        <v>56.7</v>
      </c>
      <c r="C155" s="153">
        <v>58.7</v>
      </c>
      <c r="D155" s="153">
        <v>56.7</v>
      </c>
      <c r="E155" s="153">
        <v>57.9</v>
      </c>
      <c r="F155" s="154">
        <v>83039</v>
      </c>
      <c r="G155" s="155">
        <v>4798551.2</v>
      </c>
      <c r="H155" s="153">
        <v>41</v>
      </c>
      <c r="I155" s="155"/>
      <c r="J155" s="155"/>
      <c r="K155" s="155"/>
      <c r="L155" s="155"/>
      <c r="M155" s="155"/>
      <c r="N155" s="155"/>
      <c r="O155" s="148">
        <v>45078</v>
      </c>
      <c r="P155" s="149">
        <v>46.8</v>
      </c>
      <c r="Q155" s="149">
        <v>49.2</v>
      </c>
      <c r="R155" s="149">
        <v>46.8</v>
      </c>
      <c r="S155" s="149">
        <v>49.1</v>
      </c>
      <c r="T155" s="150">
        <v>13228</v>
      </c>
      <c r="U155" s="151">
        <v>646763.5</v>
      </c>
      <c r="V155" s="149">
        <v>28</v>
      </c>
      <c r="Z155" s="1">
        <v>44957</v>
      </c>
      <c r="AA155">
        <v>42.16</v>
      </c>
      <c r="AB155">
        <v>74944</v>
      </c>
      <c r="AC155">
        <v>21660</v>
      </c>
      <c r="AF155" s="1">
        <v>44957</v>
      </c>
      <c r="AG155">
        <v>53.08</v>
      </c>
      <c r="AJ155" s="156">
        <f t="shared" si="2"/>
        <v>0.20572720422004526</v>
      </c>
    </row>
    <row r="156" spans="1:36" x14ac:dyDescent="0.3">
      <c r="A156" s="152">
        <v>45077</v>
      </c>
      <c r="B156" s="153">
        <v>58</v>
      </c>
      <c r="C156" s="153">
        <v>58</v>
      </c>
      <c r="D156" s="153">
        <v>56.6</v>
      </c>
      <c r="E156" s="153">
        <v>56.7</v>
      </c>
      <c r="F156" s="154">
        <v>4438</v>
      </c>
      <c r="G156" s="155">
        <v>252126.7</v>
      </c>
      <c r="H156" s="153">
        <v>33</v>
      </c>
      <c r="I156" s="155"/>
      <c r="J156" s="155"/>
      <c r="K156" s="155"/>
      <c r="L156" s="155"/>
      <c r="M156" s="155"/>
      <c r="N156" s="155"/>
      <c r="O156" s="148">
        <v>45077</v>
      </c>
      <c r="P156" s="149">
        <v>46.8</v>
      </c>
      <c r="Q156" s="149">
        <v>49.5</v>
      </c>
      <c r="R156" s="149">
        <v>46.7</v>
      </c>
      <c r="S156" s="149">
        <v>47.5</v>
      </c>
      <c r="T156" s="150">
        <v>4149</v>
      </c>
      <c r="U156" s="151">
        <v>194905.5</v>
      </c>
      <c r="V156" s="149">
        <v>12</v>
      </c>
      <c r="Z156" s="1">
        <v>44956</v>
      </c>
      <c r="AA156">
        <v>41.32</v>
      </c>
      <c r="AB156">
        <v>3471</v>
      </c>
      <c r="AC156">
        <v>17204</v>
      </c>
      <c r="AF156" s="1">
        <v>44956</v>
      </c>
      <c r="AG156">
        <v>52.79</v>
      </c>
      <c r="AJ156" s="156">
        <f t="shared" si="2"/>
        <v>0.21727599924228072</v>
      </c>
    </row>
    <row r="157" spans="1:36" x14ac:dyDescent="0.3">
      <c r="A157" s="152">
        <v>45076</v>
      </c>
      <c r="B157" s="153">
        <v>57.3</v>
      </c>
      <c r="C157" s="153">
        <v>57.3</v>
      </c>
      <c r="D157" s="153">
        <v>56.6</v>
      </c>
      <c r="E157" s="153">
        <v>56.9</v>
      </c>
      <c r="F157" s="154">
        <v>14355</v>
      </c>
      <c r="G157" s="155">
        <v>818059.2</v>
      </c>
      <c r="H157" s="153">
        <v>28</v>
      </c>
      <c r="I157" s="155"/>
      <c r="J157" s="155"/>
      <c r="K157" s="155"/>
      <c r="L157" s="155"/>
      <c r="M157" s="155"/>
      <c r="N157" s="155"/>
      <c r="O157" s="148">
        <v>45076</v>
      </c>
      <c r="P157" s="149">
        <v>46.5</v>
      </c>
      <c r="Q157" s="149">
        <v>48</v>
      </c>
      <c r="R157" s="149">
        <v>46.5</v>
      </c>
      <c r="S157" s="149">
        <v>46.8</v>
      </c>
      <c r="T157" s="150">
        <v>10550</v>
      </c>
      <c r="U157" s="151">
        <v>493674.3</v>
      </c>
      <c r="V157" s="149">
        <v>13</v>
      </c>
      <c r="Z157" s="1">
        <v>44953</v>
      </c>
      <c r="AA157">
        <v>40.76</v>
      </c>
      <c r="AB157">
        <v>14609</v>
      </c>
      <c r="AC157">
        <v>17420</v>
      </c>
      <c r="AF157" s="1">
        <v>44953</v>
      </c>
      <c r="AG157">
        <v>53.08</v>
      </c>
      <c r="AJ157" s="156">
        <f t="shared" si="2"/>
        <v>0.2321024868123587</v>
      </c>
    </row>
    <row r="158" spans="1:36" x14ac:dyDescent="0.3">
      <c r="A158" s="152">
        <v>45075</v>
      </c>
      <c r="B158" s="153">
        <v>59</v>
      </c>
      <c r="C158" s="153">
        <v>59</v>
      </c>
      <c r="D158" s="153">
        <v>57</v>
      </c>
      <c r="E158" s="153">
        <v>57</v>
      </c>
      <c r="F158" s="154">
        <v>27590</v>
      </c>
      <c r="G158" s="155">
        <v>1575451.3</v>
      </c>
      <c r="H158" s="153">
        <v>46</v>
      </c>
      <c r="I158" s="155"/>
      <c r="J158" s="155"/>
      <c r="K158" s="155"/>
      <c r="L158" s="155"/>
      <c r="M158" s="155"/>
      <c r="N158" s="155"/>
      <c r="O158" s="148">
        <v>45075</v>
      </c>
      <c r="P158" s="149">
        <v>50</v>
      </c>
      <c r="Q158" s="149">
        <v>50</v>
      </c>
      <c r="R158" s="149">
        <v>46</v>
      </c>
      <c r="S158" s="149">
        <v>47.2</v>
      </c>
      <c r="T158" s="150">
        <v>11568</v>
      </c>
      <c r="U158" s="151">
        <v>569732.19999999995</v>
      </c>
      <c r="V158" s="149">
        <v>28</v>
      </c>
      <c r="Z158" s="1">
        <v>44952</v>
      </c>
      <c r="AA158">
        <v>40.29</v>
      </c>
      <c r="AB158">
        <v>3213</v>
      </c>
      <c r="AC158">
        <v>16583</v>
      </c>
      <c r="AF158" s="1">
        <v>44952</v>
      </c>
      <c r="AG158">
        <v>52.79</v>
      </c>
      <c r="AJ158" s="156">
        <f t="shared" si="2"/>
        <v>0.2367872703163478</v>
      </c>
    </row>
    <row r="159" spans="1:36" x14ac:dyDescent="0.3">
      <c r="A159" s="152">
        <v>45072</v>
      </c>
      <c r="B159" s="153">
        <v>56.2</v>
      </c>
      <c r="C159" s="153">
        <v>59.5</v>
      </c>
      <c r="D159" s="153">
        <v>56</v>
      </c>
      <c r="E159" s="153">
        <v>58.9</v>
      </c>
      <c r="F159" s="154">
        <v>90921</v>
      </c>
      <c r="G159" s="155">
        <v>5329921.5</v>
      </c>
      <c r="H159" s="153">
        <v>93</v>
      </c>
      <c r="I159" s="155"/>
      <c r="J159" s="155"/>
      <c r="K159" s="155"/>
      <c r="L159" s="155"/>
      <c r="M159" s="155"/>
      <c r="N159" s="155"/>
      <c r="O159" s="148">
        <v>45072</v>
      </c>
      <c r="P159" s="149">
        <v>48.6</v>
      </c>
      <c r="Q159" s="149">
        <v>50</v>
      </c>
      <c r="R159" s="149">
        <v>48.1</v>
      </c>
      <c r="S159" s="149">
        <v>49.9</v>
      </c>
      <c r="T159" s="150">
        <v>27404</v>
      </c>
      <c r="U159" s="151">
        <v>1363995.2</v>
      </c>
      <c r="V159" s="149">
        <v>23</v>
      </c>
      <c r="Z159" s="1">
        <v>44951</v>
      </c>
      <c r="AA159">
        <v>40.85</v>
      </c>
      <c r="AB159">
        <v>3408</v>
      </c>
      <c r="AC159">
        <v>18465</v>
      </c>
      <c r="AF159" s="1">
        <v>44951</v>
      </c>
      <c r="AG159">
        <v>52.51</v>
      </c>
      <c r="AJ159" s="156">
        <f t="shared" si="2"/>
        <v>0.22205294229670533</v>
      </c>
    </row>
    <row r="160" spans="1:36" x14ac:dyDescent="0.3">
      <c r="A160" s="152">
        <v>45071</v>
      </c>
      <c r="B160" s="153">
        <v>58.5</v>
      </c>
      <c r="C160" s="153">
        <v>58.5</v>
      </c>
      <c r="D160" s="153">
        <v>57</v>
      </c>
      <c r="E160" s="153">
        <v>58.2</v>
      </c>
      <c r="F160" s="154">
        <v>149252</v>
      </c>
      <c r="G160" s="155">
        <v>8686226.6999999993</v>
      </c>
      <c r="H160" s="153">
        <v>120</v>
      </c>
      <c r="I160" s="155"/>
      <c r="J160" s="155"/>
      <c r="K160" s="155"/>
      <c r="L160" s="155"/>
      <c r="M160" s="155"/>
      <c r="N160" s="155"/>
      <c r="O160" s="148">
        <v>45071</v>
      </c>
      <c r="P160" s="149">
        <v>47.1</v>
      </c>
      <c r="Q160" s="149">
        <v>50</v>
      </c>
      <c r="R160" s="149">
        <v>47</v>
      </c>
      <c r="S160" s="149">
        <v>49.5</v>
      </c>
      <c r="T160" s="150">
        <v>28150</v>
      </c>
      <c r="U160" s="151">
        <v>1372904.7</v>
      </c>
      <c r="V160" s="149">
        <v>37</v>
      </c>
      <c r="Z160" s="1">
        <v>44950</v>
      </c>
      <c r="AA160">
        <v>41.98</v>
      </c>
      <c r="AB160">
        <v>65451</v>
      </c>
      <c r="AC160">
        <v>18319</v>
      </c>
      <c r="AF160" s="1">
        <v>44950</v>
      </c>
      <c r="AG160">
        <v>52.89</v>
      </c>
      <c r="AJ160" s="156">
        <f t="shared" si="2"/>
        <v>0.20627717905086035</v>
      </c>
    </row>
    <row r="161" spans="1:36" x14ac:dyDescent="0.3">
      <c r="A161" s="152">
        <v>45070</v>
      </c>
      <c r="B161" s="153">
        <v>55.5</v>
      </c>
      <c r="C161" s="153">
        <v>58.9</v>
      </c>
      <c r="D161" s="153">
        <v>55.5</v>
      </c>
      <c r="E161" s="153">
        <v>58.5</v>
      </c>
      <c r="F161" s="154">
        <v>174054</v>
      </c>
      <c r="G161" s="155">
        <v>10105474.300000001</v>
      </c>
      <c r="H161" s="153">
        <v>85</v>
      </c>
      <c r="I161" s="155"/>
      <c r="J161" s="155"/>
      <c r="K161" s="155"/>
      <c r="L161" s="155"/>
      <c r="M161" s="155"/>
      <c r="N161" s="155"/>
      <c r="O161" s="148">
        <v>45070</v>
      </c>
      <c r="P161" s="149">
        <v>45.2</v>
      </c>
      <c r="Q161" s="149">
        <v>47.5</v>
      </c>
      <c r="R161" s="149">
        <v>45.2</v>
      </c>
      <c r="S161" s="149">
        <v>47.5</v>
      </c>
      <c r="T161" s="150">
        <v>313629</v>
      </c>
      <c r="U161" s="151">
        <v>14732117.800000001</v>
      </c>
      <c r="V161" s="149">
        <v>25</v>
      </c>
      <c r="Z161" s="1">
        <v>44949</v>
      </c>
      <c r="AA161">
        <v>42.07</v>
      </c>
      <c r="AB161">
        <v>93010</v>
      </c>
      <c r="AC161">
        <v>14475</v>
      </c>
      <c r="AF161" s="1">
        <v>44949</v>
      </c>
      <c r="AG161">
        <v>53.83</v>
      </c>
      <c r="AJ161" s="156">
        <f t="shared" si="2"/>
        <v>0.21846553966189855</v>
      </c>
    </row>
    <row r="162" spans="1:36" x14ac:dyDescent="0.3">
      <c r="A162" s="152">
        <v>45069</v>
      </c>
      <c r="B162" s="153">
        <v>57</v>
      </c>
      <c r="C162" s="153">
        <v>58</v>
      </c>
      <c r="D162" s="153">
        <v>55</v>
      </c>
      <c r="E162" s="153">
        <v>56.9</v>
      </c>
      <c r="F162" s="154">
        <v>124023</v>
      </c>
      <c r="G162" s="155">
        <v>6964850.7999999998</v>
      </c>
      <c r="H162" s="153">
        <v>97</v>
      </c>
      <c r="I162" s="155"/>
      <c r="J162" s="155"/>
      <c r="K162" s="155"/>
      <c r="L162" s="155"/>
      <c r="M162" s="155"/>
      <c r="N162" s="155"/>
      <c r="O162" s="148">
        <v>45069</v>
      </c>
      <c r="P162" s="149">
        <v>44.6</v>
      </c>
      <c r="Q162" s="149">
        <v>45.1</v>
      </c>
      <c r="R162" s="149">
        <v>44.3</v>
      </c>
      <c r="S162" s="149">
        <v>44.7</v>
      </c>
      <c r="T162" s="150">
        <v>4561</v>
      </c>
      <c r="U162" s="151">
        <v>204131</v>
      </c>
      <c r="V162" s="149">
        <v>51</v>
      </c>
      <c r="Z162" s="1">
        <v>44946</v>
      </c>
      <c r="AA162">
        <v>39.36</v>
      </c>
      <c r="AB162">
        <v>15669</v>
      </c>
      <c r="AC162">
        <v>8500</v>
      </c>
      <c r="AF162" s="1">
        <v>44946</v>
      </c>
      <c r="AG162">
        <v>49.58</v>
      </c>
      <c r="AJ162" s="156">
        <f t="shared" si="2"/>
        <v>0.20613150463896732</v>
      </c>
    </row>
    <row r="163" spans="1:36" x14ac:dyDescent="0.3">
      <c r="A163" s="152">
        <v>45068</v>
      </c>
      <c r="B163" s="153">
        <v>57</v>
      </c>
      <c r="C163" s="153">
        <v>57</v>
      </c>
      <c r="D163" s="153">
        <v>55</v>
      </c>
      <c r="E163" s="153">
        <v>55</v>
      </c>
      <c r="F163" s="154">
        <v>278304</v>
      </c>
      <c r="G163" s="155">
        <v>15510883.300000001</v>
      </c>
      <c r="H163" s="153">
        <v>66</v>
      </c>
      <c r="I163" s="155"/>
      <c r="J163" s="155"/>
      <c r="K163" s="155"/>
      <c r="L163" s="155"/>
      <c r="M163" s="155"/>
      <c r="N163" s="155"/>
      <c r="O163" s="148">
        <v>45068</v>
      </c>
      <c r="P163" s="149">
        <v>46.1</v>
      </c>
      <c r="Q163" s="149">
        <v>47.5</v>
      </c>
      <c r="R163" s="149">
        <v>44.6</v>
      </c>
      <c r="S163" s="149">
        <v>45.1</v>
      </c>
      <c r="T163" s="150">
        <v>6607</v>
      </c>
      <c r="U163" s="151">
        <v>298055.2</v>
      </c>
      <c r="V163" s="149">
        <v>39</v>
      </c>
      <c r="Z163" s="1">
        <v>44945</v>
      </c>
      <c r="AA163">
        <v>39.729999999999997</v>
      </c>
      <c r="AB163">
        <v>14478</v>
      </c>
      <c r="AC163">
        <v>7463</v>
      </c>
      <c r="AF163" s="1">
        <v>44945</v>
      </c>
      <c r="AG163">
        <v>47.5</v>
      </c>
      <c r="AJ163" s="156">
        <f t="shared" si="2"/>
        <v>0.16357894736842113</v>
      </c>
    </row>
    <row r="164" spans="1:36" x14ac:dyDescent="0.3">
      <c r="A164" s="152">
        <v>45065</v>
      </c>
      <c r="B164" s="153">
        <v>57</v>
      </c>
      <c r="C164" s="153">
        <v>57</v>
      </c>
      <c r="D164" s="153">
        <v>55.2</v>
      </c>
      <c r="E164" s="153">
        <v>56.4</v>
      </c>
      <c r="F164" s="154">
        <v>234668</v>
      </c>
      <c r="G164" s="155">
        <v>13188400</v>
      </c>
      <c r="H164" s="153">
        <v>114</v>
      </c>
      <c r="I164" s="155"/>
      <c r="J164" s="155"/>
      <c r="K164" s="155"/>
      <c r="L164" s="155"/>
      <c r="M164" s="155"/>
      <c r="N164" s="155"/>
      <c r="O164" s="148">
        <v>45065</v>
      </c>
      <c r="P164" s="149">
        <v>47</v>
      </c>
      <c r="Q164" s="149">
        <v>47</v>
      </c>
      <c r="R164" s="149">
        <v>46.5</v>
      </c>
      <c r="S164" s="149">
        <v>46.5</v>
      </c>
      <c r="T164" s="150">
        <v>25550</v>
      </c>
      <c r="U164" s="151">
        <v>1188652.3999999999</v>
      </c>
      <c r="V164" s="149">
        <v>19</v>
      </c>
      <c r="Z164" s="1">
        <v>44944</v>
      </c>
      <c r="AA164">
        <v>38.33</v>
      </c>
      <c r="AB164">
        <v>1412</v>
      </c>
      <c r="AC164">
        <v>6571</v>
      </c>
      <c r="AF164" s="1">
        <v>44944</v>
      </c>
      <c r="AG164">
        <v>47.6</v>
      </c>
      <c r="AJ164" s="156">
        <f t="shared" si="2"/>
        <v>0.19474789915966392</v>
      </c>
    </row>
    <row r="165" spans="1:36" x14ac:dyDescent="0.3">
      <c r="A165" s="152">
        <v>45064</v>
      </c>
      <c r="B165" s="153">
        <v>57.6</v>
      </c>
      <c r="C165" s="153">
        <v>58</v>
      </c>
      <c r="D165" s="153">
        <v>56.5</v>
      </c>
      <c r="E165" s="153">
        <v>57.9</v>
      </c>
      <c r="F165" s="154">
        <v>276168</v>
      </c>
      <c r="G165" s="155">
        <v>16012534.9</v>
      </c>
      <c r="H165" s="153">
        <v>62</v>
      </c>
      <c r="I165" s="155"/>
      <c r="J165" s="155"/>
      <c r="K165" s="155"/>
      <c r="L165" s="155"/>
      <c r="M165" s="155"/>
      <c r="N165" s="155"/>
      <c r="O165" s="148">
        <v>45064</v>
      </c>
      <c r="P165" s="149">
        <v>47.5</v>
      </c>
      <c r="Q165" s="149">
        <v>47.5</v>
      </c>
      <c r="R165" s="149">
        <v>47</v>
      </c>
      <c r="S165" s="149">
        <v>47.3</v>
      </c>
      <c r="T165" s="150">
        <v>7576</v>
      </c>
      <c r="U165" s="151">
        <v>358449.4</v>
      </c>
      <c r="V165" s="149">
        <v>35</v>
      </c>
      <c r="Z165" s="1">
        <v>44943</v>
      </c>
      <c r="AA165">
        <v>37.68</v>
      </c>
      <c r="AB165">
        <v>972</v>
      </c>
      <c r="AC165">
        <v>6665</v>
      </c>
      <c r="AF165" s="1">
        <v>44943</v>
      </c>
      <c r="AG165">
        <v>47.98</v>
      </c>
      <c r="AJ165" s="156">
        <f t="shared" si="2"/>
        <v>0.21467278032513543</v>
      </c>
    </row>
    <row r="166" spans="1:36" x14ac:dyDescent="0.3">
      <c r="A166" s="152">
        <v>45063</v>
      </c>
      <c r="B166" s="153">
        <v>58</v>
      </c>
      <c r="C166" s="153">
        <v>58.4</v>
      </c>
      <c r="D166" s="153">
        <v>56.1</v>
      </c>
      <c r="E166" s="153">
        <v>58</v>
      </c>
      <c r="F166" s="154">
        <v>316995</v>
      </c>
      <c r="G166" s="155">
        <v>18374580.899999999</v>
      </c>
      <c r="H166" s="153">
        <v>51</v>
      </c>
      <c r="I166" s="155"/>
      <c r="J166" s="155"/>
      <c r="K166" s="155"/>
      <c r="L166" s="155"/>
      <c r="M166" s="155"/>
      <c r="N166" s="155"/>
      <c r="O166" s="148">
        <v>45063</v>
      </c>
      <c r="P166" s="149">
        <v>47.3</v>
      </c>
      <c r="Q166" s="149">
        <v>48.8</v>
      </c>
      <c r="R166" s="149">
        <v>47.2</v>
      </c>
      <c r="S166" s="149">
        <v>48.8</v>
      </c>
      <c r="T166" s="150">
        <v>1136</v>
      </c>
      <c r="U166" s="151">
        <v>53841.5</v>
      </c>
      <c r="V166" s="149">
        <v>6</v>
      </c>
      <c r="Z166" s="1">
        <v>44939</v>
      </c>
      <c r="AA166">
        <v>38.33</v>
      </c>
      <c r="AB166">
        <v>10048</v>
      </c>
      <c r="AC166">
        <v>6792</v>
      </c>
      <c r="AF166" s="1">
        <v>44939</v>
      </c>
      <c r="AG166">
        <v>47.41</v>
      </c>
      <c r="AJ166" s="156">
        <f t="shared" si="2"/>
        <v>0.19152077620755112</v>
      </c>
    </row>
    <row r="167" spans="1:36" x14ac:dyDescent="0.3">
      <c r="A167" s="152">
        <v>45062</v>
      </c>
      <c r="B167" s="153">
        <v>58</v>
      </c>
      <c r="C167" s="153">
        <v>59</v>
      </c>
      <c r="D167" s="153">
        <v>57</v>
      </c>
      <c r="E167" s="153">
        <v>58</v>
      </c>
      <c r="F167" s="154">
        <v>1386574</v>
      </c>
      <c r="G167" s="155">
        <v>80431117</v>
      </c>
      <c r="H167" s="153">
        <v>219</v>
      </c>
      <c r="I167" s="155"/>
      <c r="J167" s="155"/>
      <c r="K167" s="155"/>
      <c r="L167" s="155"/>
      <c r="M167" s="155"/>
      <c r="N167" s="155"/>
      <c r="O167" s="148">
        <v>45062</v>
      </c>
      <c r="P167" s="149">
        <v>49.8</v>
      </c>
      <c r="Q167" s="149">
        <v>50</v>
      </c>
      <c r="R167" s="149">
        <v>47.8</v>
      </c>
      <c r="S167" s="149">
        <v>49.9</v>
      </c>
      <c r="T167" s="150">
        <v>65215</v>
      </c>
      <c r="U167" s="151">
        <v>3257109.9</v>
      </c>
      <c r="V167" s="149">
        <v>26</v>
      </c>
      <c r="Z167" s="1">
        <v>44938</v>
      </c>
      <c r="AA167">
        <v>37.86</v>
      </c>
      <c r="AB167">
        <v>428</v>
      </c>
      <c r="AC167">
        <v>7085</v>
      </c>
      <c r="AF167" s="1">
        <v>44938</v>
      </c>
      <c r="AG167">
        <v>48.26</v>
      </c>
      <c r="AJ167" s="156">
        <f t="shared" si="2"/>
        <v>0.21549937836717778</v>
      </c>
    </row>
    <row r="168" spans="1:36" x14ac:dyDescent="0.3">
      <c r="A168" s="152">
        <v>45061</v>
      </c>
      <c r="B168" s="153">
        <v>58.4</v>
      </c>
      <c r="C168" s="153">
        <v>59.9</v>
      </c>
      <c r="D168" s="153">
        <v>58</v>
      </c>
      <c r="E168" s="153">
        <v>58.2</v>
      </c>
      <c r="F168" s="154">
        <v>244459</v>
      </c>
      <c r="G168" s="155">
        <v>14220510.699999999</v>
      </c>
      <c r="H168" s="153">
        <v>98</v>
      </c>
      <c r="I168" s="155"/>
      <c r="J168" s="155"/>
      <c r="K168" s="155"/>
      <c r="L168" s="155"/>
      <c r="M168" s="155"/>
      <c r="N168" s="155"/>
      <c r="O168" s="148">
        <v>45061</v>
      </c>
      <c r="P168" s="149">
        <v>46.6</v>
      </c>
      <c r="Q168" s="149">
        <v>49.5</v>
      </c>
      <c r="R168" s="149">
        <v>46.6</v>
      </c>
      <c r="S168" s="149">
        <v>49.3</v>
      </c>
      <c r="T168" s="150">
        <v>3561</v>
      </c>
      <c r="U168" s="151">
        <v>173606.6</v>
      </c>
      <c r="V168" s="149">
        <v>14</v>
      </c>
      <c r="Z168" s="1">
        <v>44937</v>
      </c>
      <c r="AA168">
        <v>37.49</v>
      </c>
      <c r="AB168">
        <v>1375</v>
      </c>
      <c r="AC168">
        <v>7340</v>
      </c>
      <c r="AF168" s="1">
        <v>44937</v>
      </c>
      <c r="AG168">
        <v>47.79</v>
      </c>
      <c r="AJ168" s="156">
        <f t="shared" si="2"/>
        <v>0.21552626072400077</v>
      </c>
    </row>
    <row r="169" spans="1:36" x14ac:dyDescent="0.3">
      <c r="A169" s="152">
        <v>45058</v>
      </c>
      <c r="B169" s="153">
        <v>60.2</v>
      </c>
      <c r="C169" s="153">
        <v>60.2</v>
      </c>
      <c r="D169" s="153">
        <v>59</v>
      </c>
      <c r="E169" s="153">
        <v>59.2</v>
      </c>
      <c r="F169" s="154">
        <v>194817</v>
      </c>
      <c r="G169" s="155">
        <v>11668283.4</v>
      </c>
      <c r="H169" s="153">
        <v>83</v>
      </c>
      <c r="I169" s="155"/>
      <c r="J169" s="155"/>
      <c r="K169" s="155"/>
      <c r="L169" s="155"/>
      <c r="M169" s="155"/>
      <c r="N169" s="155"/>
      <c r="O169" s="148">
        <v>45058</v>
      </c>
      <c r="P169" s="149">
        <v>49</v>
      </c>
      <c r="Q169" s="149">
        <v>49</v>
      </c>
      <c r="R169" s="149">
        <v>47</v>
      </c>
      <c r="S169" s="149">
        <v>47.1</v>
      </c>
      <c r="T169" s="150">
        <v>5362</v>
      </c>
      <c r="U169" s="151">
        <v>257865.4</v>
      </c>
      <c r="V169" s="149">
        <v>21</v>
      </c>
      <c r="Z169" s="1">
        <v>44936</v>
      </c>
      <c r="AA169">
        <v>37.49</v>
      </c>
      <c r="AB169">
        <v>22413</v>
      </c>
      <c r="AC169">
        <v>7296</v>
      </c>
      <c r="AF169" s="1">
        <v>44936</v>
      </c>
      <c r="AG169">
        <v>48.17</v>
      </c>
      <c r="AJ169" s="156">
        <f t="shared" si="2"/>
        <v>0.22171476022420591</v>
      </c>
    </row>
    <row r="170" spans="1:36" x14ac:dyDescent="0.3">
      <c r="A170" s="152">
        <v>45057</v>
      </c>
      <c r="B170" s="153">
        <v>57.5</v>
      </c>
      <c r="C170" s="153">
        <v>61.6</v>
      </c>
      <c r="D170" s="153">
        <v>56</v>
      </c>
      <c r="E170" s="153">
        <v>60.2</v>
      </c>
      <c r="F170" s="154">
        <v>391606</v>
      </c>
      <c r="G170" s="155">
        <v>23500192.300000001</v>
      </c>
      <c r="H170" s="153">
        <v>208</v>
      </c>
      <c r="I170" s="155"/>
      <c r="J170" s="155"/>
      <c r="K170" s="155"/>
      <c r="L170" s="155"/>
      <c r="M170" s="155"/>
      <c r="N170" s="155"/>
      <c r="O170" s="148">
        <v>45057</v>
      </c>
      <c r="P170" s="149">
        <v>46.5</v>
      </c>
      <c r="Q170" s="149">
        <v>49</v>
      </c>
      <c r="R170" s="149">
        <v>46.5</v>
      </c>
      <c r="S170" s="149">
        <v>48.8</v>
      </c>
      <c r="T170" s="150">
        <v>28878</v>
      </c>
      <c r="U170" s="151">
        <v>1375236.4</v>
      </c>
      <c r="V170" s="149">
        <v>50</v>
      </c>
      <c r="Z170" s="1">
        <v>44935</v>
      </c>
      <c r="AA170">
        <v>37.770000000000003</v>
      </c>
      <c r="AB170">
        <v>8109</v>
      </c>
      <c r="AC170">
        <v>5985</v>
      </c>
      <c r="AF170" s="1">
        <v>44935</v>
      </c>
      <c r="AG170">
        <v>48.45</v>
      </c>
      <c r="AJ170" s="156">
        <f t="shared" si="2"/>
        <v>0.22043343653250771</v>
      </c>
    </row>
    <row r="171" spans="1:36" x14ac:dyDescent="0.3">
      <c r="A171" s="152">
        <v>45056</v>
      </c>
      <c r="B171" s="153">
        <v>57</v>
      </c>
      <c r="C171" s="153">
        <v>57.3</v>
      </c>
      <c r="D171" s="153">
        <v>56</v>
      </c>
      <c r="E171" s="153">
        <v>57</v>
      </c>
      <c r="F171" s="154">
        <v>17842</v>
      </c>
      <c r="G171" s="155">
        <v>1016862.2</v>
      </c>
      <c r="H171" s="153">
        <v>39</v>
      </c>
      <c r="I171" s="155"/>
      <c r="J171" s="155"/>
      <c r="K171" s="155"/>
      <c r="L171" s="155"/>
      <c r="M171" s="155"/>
      <c r="N171" s="155"/>
      <c r="O171" s="148">
        <v>45056</v>
      </c>
      <c r="P171" s="149">
        <v>47.9</v>
      </c>
      <c r="Q171" s="149">
        <v>47.9</v>
      </c>
      <c r="R171" s="149">
        <v>46</v>
      </c>
      <c r="S171" s="149">
        <v>46.5</v>
      </c>
      <c r="T171" s="150">
        <v>26458</v>
      </c>
      <c r="U171" s="151">
        <v>1223174.3999999999</v>
      </c>
      <c r="V171" s="149">
        <v>45</v>
      </c>
      <c r="Z171" s="1">
        <v>44931</v>
      </c>
      <c r="AA171">
        <v>37.770000000000003</v>
      </c>
      <c r="AB171">
        <v>6711</v>
      </c>
      <c r="AC171">
        <v>6255</v>
      </c>
      <c r="AF171" s="1">
        <v>44931</v>
      </c>
      <c r="AG171">
        <v>47.79</v>
      </c>
      <c r="AJ171" s="156">
        <f t="shared" si="2"/>
        <v>0.20966729441305704</v>
      </c>
    </row>
    <row r="172" spans="1:36" x14ac:dyDescent="0.3">
      <c r="A172" s="152">
        <v>45055</v>
      </c>
      <c r="B172" s="153">
        <v>57</v>
      </c>
      <c r="C172" s="153">
        <v>58</v>
      </c>
      <c r="D172" s="153">
        <v>56.6</v>
      </c>
      <c r="E172" s="153">
        <v>57.2</v>
      </c>
      <c r="F172" s="154">
        <v>108621</v>
      </c>
      <c r="G172" s="155">
        <v>6202532.2999999998</v>
      </c>
      <c r="H172" s="153">
        <v>89</v>
      </c>
      <c r="I172" s="155"/>
      <c r="J172" s="155"/>
      <c r="K172" s="155"/>
      <c r="L172" s="155"/>
      <c r="M172" s="155"/>
      <c r="N172" s="155"/>
      <c r="O172" s="148">
        <v>45055</v>
      </c>
      <c r="P172" s="149">
        <v>47</v>
      </c>
      <c r="Q172" s="149">
        <v>47.9</v>
      </c>
      <c r="R172" s="149">
        <v>45.5</v>
      </c>
      <c r="S172" s="149">
        <v>46.7</v>
      </c>
      <c r="T172" s="150">
        <v>10161</v>
      </c>
      <c r="U172" s="151">
        <v>472698.8</v>
      </c>
      <c r="V172" s="149">
        <v>34</v>
      </c>
      <c r="Z172" s="1">
        <v>44930</v>
      </c>
      <c r="AA172">
        <v>37.86</v>
      </c>
      <c r="AB172">
        <v>2041</v>
      </c>
      <c r="AC172">
        <v>5851</v>
      </c>
      <c r="AF172" s="1">
        <v>44930</v>
      </c>
      <c r="AG172">
        <v>48.73</v>
      </c>
      <c r="AJ172" s="156">
        <f t="shared" si="2"/>
        <v>0.22306587317873997</v>
      </c>
    </row>
    <row r="173" spans="1:36" x14ac:dyDescent="0.3">
      <c r="A173" s="152">
        <v>45054</v>
      </c>
      <c r="B173" s="153">
        <v>53.8</v>
      </c>
      <c r="C173" s="153">
        <v>57.8</v>
      </c>
      <c r="D173" s="153">
        <v>53.8</v>
      </c>
      <c r="E173" s="153">
        <v>56.4</v>
      </c>
      <c r="F173" s="154">
        <v>70481</v>
      </c>
      <c r="G173" s="155">
        <v>3965354.8</v>
      </c>
      <c r="H173" s="153">
        <v>110</v>
      </c>
      <c r="I173" s="155"/>
      <c r="J173" s="155"/>
      <c r="K173" s="155"/>
      <c r="L173" s="155"/>
      <c r="M173" s="155"/>
      <c r="N173" s="155"/>
      <c r="O173" s="148">
        <v>45054</v>
      </c>
      <c r="P173" s="149">
        <v>44.4</v>
      </c>
      <c r="Q173" s="149">
        <v>47.9</v>
      </c>
      <c r="R173" s="149">
        <v>44.4</v>
      </c>
      <c r="S173" s="149">
        <v>46.6</v>
      </c>
      <c r="T173" s="150">
        <v>52895</v>
      </c>
      <c r="U173" s="151">
        <v>2454453</v>
      </c>
      <c r="V173" s="149">
        <v>72</v>
      </c>
      <c r="Z173" s="1">
        <v>44929</v>
      </c>
      <c r="AA173">
        <v>38.33</v>
      </c>
      <c r="AB173">
        <v>31452</v>
      </c>
      <c r="AC173">
        <v>5738</v>
      </c>
      <c r="AF173" s="1">
        <v>44929</v>
      </c>
      <c r="AG173">
        <v>48.83</v>
      </c>
      <c r="AJ173" s="156">
        <f t="shared" si="2"/>
        <v>0.2150317427810772</v>
      </c>
    </row>
    <row r="174" spans="1:36" x14ac:dyDescent="0.3">
      <c r="A174" s="152">
        <v>45050</v>
      </c>
      <c r="B174" s="153">
        <v>53</v>
      </c>
      <c r="C174" s="153">
        <v>56</v>
      </c>
      <c r="D174" s="153">
        <v>53</v>
      </c>
      <c r="E174" s="153">
        <v>54.4</v>
      </c>
      <c r="F174" s="154">
        <v>117566</v>
      </c>
      <c r="G174" s="155">
        <v>6255889.2000000002</v>
      </c>
      <c r="H174" s="153">
        <v>53</v>
      </c>
      <c r="I174" s="155"/>
      <c r="J174" s="155"/>
      <c r="K174" s="155"/>
      <c r="L174" s="155"/>
      <c r="M174" s="155"/>
      <c r="N174" s="155"/>
      <c r="O174" s="148">
        <v>45050</v>
      </c>
      <c r="P174" s="149">
        <v>44.1</v>
      </c>
      <c r="Q174" s="149">
        <v>45</v>
      </c>
      <c r="R174" s="149">
        <v>44.1</v>
      </c>
      <c r="S174" s="149">
        <v>45</v>
      </c>
      <c r="T174" s="150">
        <v>5346</v>
      </c>
      <c r="U174" s="151">
        <v>240551.4</v>
      </c>
      <c r="V174" s="149">
        <v>8</v>
      </c>
      <c r="Z174" s="1">
        <v>44928</v>
      </c>
      <c r="AA174">
        <v>38.520000000000003</v>
      </c>
      <c r="AB174">
        <v>1219</v>
      </c>
      <c r="AC174">
        <v>3866</v>
      </c>
      <c r="AF174" s="1">
        <v>44928</v>
      </c>
      <c r="AG174">
        <v>47.32</v>
      </c>
      <c r="AJ174" s="156">
        <f t="shared" si="2"/>
        <v>0.18596787827557051</v>
      </c>
    </row>
    <row r="175" spans="1:36" x14ac:dyDescent="0.3">
      <c r="A175" s="152">
        <v>45049</v>
      </c>
      <c r="B175" s="153">
        <v>54</v>
      </c>
      <c r="C175" s="153">
        <v>54.2</v>
      </c>
      <c r="D175" s="153">
        <v>52.1</v>
      </c>
      <c r="E175" s="153">
        <v>53</v>
      </c>
      <c r="F175" s="154">
        <v>32462</v>
      </c>
      <c r="G175" s="155">
        <v>1737891.1</v>
      </c>
      <c r="H175" s="153">
        <v>137</v>
      </c>
      <c r="I175" s="155"/>
      <c r="J175" s="155"/>
      <c r="K175" s="155"/>
      <c r="L175" s="155"/>
      <c r="M175" s="155"/>
      <c r="N175" s="155"/>
      <c r="O175" s="148">
        <v>45049</v>
      </c>
      <c r="P175" s="149">
        <v>44.8</v>
      </c>
      <c r="Q175" s="149">
        <v>46</v>
      </c>
      <c r="R175" s="149">
        <v>43.2</v>
      </c>
      <c r="S175" s="149">
        <v>43.8</v>
      </c>
      <c r="T175" s="150">
        <v>39330</v>
      </c>
      <c r="U175" s="151">
        <v>1732755.4</v>
      </c>
      <c r="V175" s="149">
        <v>62</v>
      </c>
      <c r="Z175" s="1">
        <v>44925</v>
      </c>
      <c r="AA175">
        <v>38.61</v>
      </c>
      <c r="AB175">
        <v>7794</v>
      </c>
      <c r="AC175">
        <v>5201</v>
      </c>
      <c r="AF175" s="1">
        <v>44925</v>
      </c>
      <c r="AG175">
        <v>47.41</v>
      </c>
      <c r="AJ175" s="156">
        <f t="shared" si="2"/>
        <v>0.185614849187935</v>
      </c>
    </row>
    <row r="176" spans="1:36" x14ac:dyDescent="0.3">
      <c r="A176" s="152">
        <v>45048</v>
      </c>
      <c r="B176" s="153">
        <v>56</v>
      </c>
      <c r="C176" s="153">
        <v>56.1</v>
      </c>
      <c r="D176" s="153">
        <v>53.5</v>
      </c>
      <c r="E176" s="153">
        <v>54.2</v>
      </c>
      <c r="F176" s="154">
        <v>122307</v>
      </c>
      <c r="G176" s="155">
        <v>6717761.2999999998</v>
      </c>
      <c r="H176" s="153">
        <v>194</v>
      </c>
      <c r="I176" s="155"/>
      <c r="J176" s="155"/>
      <c r="K176" s="155"/>
      <c r="L176" s="155"/>
      <c r="M176" s="155"/>
      <c r="N176" s="155"/>
      <c r="O176" s="148">
        <v>45048</v>
      </c>
      <c r="P176" s="149">
        <v>46</v>
      </c>
      <c r="Q176" s="149">
        <v>46</v>
      </c>
      <c r="R176" s="149">
        <v>43.1</v>
      </c>
      <c r="S176" s="149">
        <v>44.8</v>
      </c>
      <c r="T176" s="150">
        <v>27209</v>
      </c>
      <c r="U176" s="151">
        <v>1237680.7</v>
      </c>
      <c r="V176" s="149">
        <v>56</v>
      </c>
      <c r="Z176" s="1">
        <v>44924</v>
      </c>
      <c r="AA176">
        <v>38.799999999999997</v>
      </c>
      <c r="AB176">
        <v>3377</v>
      </c>
      <c r="AC176">
        <v>5108</v>
      </c>
      <c r="AF176" s="1">
        <v>44924</v>
      </c>
      <c r="AG176">
        <v>47.41</v>
      </c>
      <c r="AJ176" s="156">
        <f t="shared" si="2"/>
        <v>0.18160725585319554</v>
      </c>
    </row>
    <row r="177" spans="1:36" x14ac:dyDescent="0.3">
      <c r="A177" s="152">
        <v>45044</v>
      </c>
      <c r="B177" s="153">
        <v>57</v>
      </c>
      <c r="C177" s="153">
        <v>57</v>
      </c>
      <c r="D177" s="153">
        <v>56.5</v>
      </c>
      <c r="E177" s="153">
        <v>56.7</v>
      </c>
      <c r="F177" s="154">
        <v>80219</v>
      </c>
      <c r="G177" s="155">
        <v>4549853.0999999996</v>
      </c>
      <c r="H177" s="153">
        <v>109</v>
      </c>
      <c r="I177" s="155"/>
      <c r="J177" s="155"/>
      <c r="K177" s="155"/>
      <c r="L177" s="155"/>
      <c r="M177" s="155"/>
      <c r="N177" s="155"/>
      <c r="O177" s="148">
        <v>45044</v>
      </c>
      <c r="P177" s="149">
        <v>46.1</v>
      </c>
      <c r="Q177" s="149">
        <v>47</v>
      </c>
      <c r="R177" s="149">
        <v>45</v>
      </c>
      <c r="S177" s="149">
        <v>46</v>
      </c>
      <c r="T177" s="150">
        <v>69329</v>
      </c>
      <c r="U177" s="151">
        <v>3142239.4</v>
      </c>
      <c r="V177" s="149">
        <v>53</v>
      </c>
      <c r="Z177" s="1">
        <v>44923</v>
      </c>
      <c r="AA177">
        <v>38.33</v>
      </c>
      <c r="AB177">
        <v>111</v>
      </c>
      <c r="AC177">
        <v>5929</v>
      </c>
      <c r="AF177" s="1">
        <v>44923</v>
      </c>
      <c r="AG177">
        <v>47.32</v>
      </c>
      <c r="AJ177" s="156">
        <f t="shared" si="2"/>
        <v>0.18998309382924772</v>
      </c>
    </row>
    <row r="178" spans="1:36" x14ac:dyDescent="0.3">
      <c r="A178" s="152">
        <v>45043</v>
      </c>
      <c r="B178" s="153">
        <v>58</v>
      </c>
      <c r="C178" s="153">
        <v>58</v>
      </c>
      <c r="D178" s="153">
        <v>56.7</v>
      </c>
      <c r="E178" s="153">
        <v>57.1</v>
      </c>
      <c r="F178" s="154">
        <v>32342</v>
      </c>
      <c r="G178" s="155">
        <v>1845363</v>
      </c>
      <c r="H178" s="153">
        <v>85</v>
      </c>
      <c r="I178" s="155"/>
      <c r="J178" s="155"/>
      <c r="K178" s="155"/>
      <c r="L178" s="155"/>
      <c r="M178" s="155"/>
      <c r="N178" s="155"/>
      <c r="O178" s="148">
        <v>45043</v>
      </c>
      <c r="P178" s="149">
        <v>47.5</v>
      </c>
      <c r="Q178" s="149">
        <v>47.5</v>
      </c>
      <c r="R178" s="149">
        <v>46</v>
      </c>
      <c r="S178" s="149">
        <v>46.2</v>
      </c>
      <c r="T178" s="150">
        <v>29425</v>
      </c>
      <c r="U178" s="151">
        <v>1367513.2</v>
      </c>
      <c r="V178" s="149">
        <v>82</v>
      </c>
      <c r="Z178" s="1">
        <v>44922</v>
      </c>
      <c r="AA178">
        <v>38.24</v>
      </c>
      <c r="AB178">
        <v>1105</v>
      </c>
      <c r="AC178">
        <v>6021</v>
      </c>
      <c r="AF178" s="1">
        <v>44922</v>
      </c>
      <c r="AG178">
        <v>47.22</v>
      </c>
      <c r="AJ178" s="156">
        <f t="shared" si="2"/>
        <v>0.19017365523083432</v>
      </c>
    </row>
    <row r="179" spans="1:36" x14ac:dyDescent="0.3">
      <c r="A179" s="152">
        <v>45042</v>
      </c>
      <c r="B179" s="153">
        <v>57.8</v>
      </c>
      <c r="C179" s="153">
        <v>58.9</v>
      </c>
      <c r="D179" s="153">
        <v>57.6</v>
      </c>
      <c r="E179" s="153">
        <v>58</v>
      </c>
      <c r="F179" s="154">
        <v>136034</v>
      </c>
      <c r="G179" s="155">
        <v>7943263.2000000002</v>
      </c>
      <c r="H179" s="153">
        <v>68</v>
      </c>
      <c r="I179" s="155"/>
      <c r="J179" s="155"/>
      <c r="K179" s="155"/>
      <c r="L179" s="155"/>
      <c r="M179" s="155"/>
      <c r="N179" s="155"/>
      <c r="O179" s="148">
        <v>45042</v>
      </c>
      <c r="P179" s="149">
        <v>48.5</v>
      </c>
      <c r="Q179" s="149">
        <v>48.9</v>
      </c>
      <c r="R179" s="149">
        <v>47.5</v>
      </c>
      <c r="S179" s="149">
        <v>47.9</v>
      </c>
      <c r="T179" s="150">
        <v>26021</v>
      </c>
      <c r="U179" s="151">
        <v>1243518.8</v>
      </c>
      <c r="V179" s="149">
        <v>60</v>
      </c>
      <c r="Z179" s="1">
        <v>44918</v>
      </c>
      <c r="AA179">
        <v>38.33</v>
      </c>
      <c r="AB179">
        <v>2823</v>
      </c>
      <c r="AC179">
        <v>7069</v>
      </c>
      <c r="AF179" s="1">
        <v>44918</v>
      </c>
      <c r="AG179">
        <v>47.6</v>
      </c>
      <c r="AJ179" s="156">
        <f t="shared" si="2"/>
        <v>0.19474789915966392</v>
      </c>
    </row>
    <row r="180" spans="1:36" x14ac:dyDescent="0.3">
      <c r="A180" s="152">
        <v>45041</v>
      </c>
      <c r="B180" s="153">
        <v>58</v>
      </c>
      <c r="C180" s="153">
        <v>59.4</v>
      </c>
      <c r="D180" s="153">
        <v>57.8</v>
      </c>
      <c r="E180" s="153">
        <v>57.9</v>
      </c>
      <c r="F180" s="154">
        <v>66469</v>
      </c>
      <c r="G180" s="155">
        <v>3853729.2</v>
      </c>
      <c r="H180" s="153">
        <v>90</v>
      </c>
      <c r="I180" s="155"/>
      <c r="J180" s="155"/>
      <c r="K180" s="155"/>
      <c r="L180" s="155"/>
      <c r="M180" s="155"/>
      <c r="N180" s="155"/>
      <c r="O180" s="148">
        <v>45041</v>
      </c>
      <c r="P180" s="149">
        <v>48.6</v>
      </c>
      <c r="Q180" s="149">
        <v>48.6</v>
      </c>
      <c r="R180" s="149">
        <v>48</v>
      </c>
      <c r="S180" s="149">
        <v>48.3</v>
      </c>
      <c r="T180" s="150">
        <v>16512</v>
      </c>
      <c r="U180" s="151">
        <v>800264</v>
      </c>
      <c r="V180" s="149">
        <v>35</v>
      </c>
      <c r="Z180" s="1">
        <v>44917</v>
      </c>
      <c r="AA180">
        <v>38.24</v>
      </c>
      <c r="AB180">
        <v>2876</v>
      </c>
      <c r="AC180">
        <v>6951</v>
      </c>
      <c r="AF180" s="1">
        <v>44917</v>
      </c>
      <c r="AG180">
        <v>47.32</v>
      </c>
      <c r="AJ180" s="156">
        <f t="shared" si="2"/>
        <v>0.19188503803888415</v>
      </c>
    </row>
    <row r="181" spans="1:36" x14ac:dyDescent="0.3">
      <c r="A181" s="152">
        <v>45040</v>
      </c>
      <c r="B181" s="153">
        <v>60</v>
      </c>
      <c r="C181" s="153">
        <v>60</v>
      </c>
      <c r="D181" s="153">
        <v>58</v>
      </c>
      <c r="E181" s="153">
        <v>58.1</v>
      </c>
      <c r="F181" s="154">
        <v>69080</v>
      </c>
      <c r="G181" s="155">
        <v>4043909.5</v>
      </c>
      <c r="H181" s="153">
        <v>138</v>
      </c>
      <c r="I181" s="155"/>
      <c r="J181" s="155"/>
      <c r="K181" s="155"/>
      <c r="L181" s="155"/>
      <c r="M181" s="155"/>
      <c r="N181" s="155"/>
      <c r="O181" s="148">
        <v>45040</v>
      </c>
      <c r="P181" s="149">
        <v>49.2</v>
      </c>
      <c r="Q181" s="149">
        <v>49.8</v>
      </c>
      <c r="R181" s="149">
        <v>48.5</v>
      </c>
      <c r="S181" s="149">
        <v>48.5</v>
      </c>
      <c r="T181" s="150">
        <v>25121</v>
      </c>
      <c r="U181" s="151">
        <v>1226797.1000000001</v>
      </c>
      <c r="V181" s="149">
        <v>51</v>
      </c>
      <c r="Z181" s="1">
        <v>44916</v>
      </c>
      <c r="AA181">
        <v>38.33</v>
      </c>
      <c r="AB181">
        <v>14446</v>
      </c>
      <c r="AC181">
        <v>7376</v>
      </c>
      <c r="AF181" s="1">
        <v>44916</v>
      </c>
      <c r="AG181">
        <v>47.22</v>
      </c>
      <c r="AJ181" s="156">
        <f t="shared" si="2"/>
        <v>0.18826768318509107</v>
      </c>
    </row>
    <row r="182" spans="1:36" x14ac:dyDescent="0.3">
      <c r="A182" s="152">
        <v>45037</v>
      </c>
      <c r="B182" s="153">
        <v>60.1</v>
      </c>
      <c r="C182" s="153">
        <v>60.4</v>
      </c>
      <c r="D182" s="153">
        <v>59</v>
      </c>
      <c r="E182" s="153">
        <v>59.9</v>
      </c>
      <c r="F182" s="154">
        <v>201431</v>
      </c>
      <c r="G182" s="155">
        <v>12084610.1</v>
      </c>
      <c r="H182" s="153">
        <v>117</v>
      </c>
      <c r="I182" s="155"/>
      <c r="J182" s="155"/>
      <c r="K182" s="155"/>
      <c r="L182" s="155"/>
      <c r="M182" s="155"/>
      <c r="N182" s="155"/>
      <c r="O182" s="148">
        <v>45037</v>
      </c>
      <c r="P182" s="149">
        <v>49.8</v>
      </c>
      <c r="Q182" s="149">
        <v>49.8</v>
      </c>
      <c r="R182" s="149">
        <v>49.2</v>
      </c>
      <c r="S182" s="149">
        <v>49.3</v>
      </c>
      <c r="T182" s="150">
        <v>6302</v>
      </c>
      <c r="U182" s="151">
        <v>311561.2</v>
      </c>
      <c r="V182" s="149">
        <v>51</v>
      </c>
      <c r="Z182" s="1">
        <v>44915</v>
      </c>
      <c r="AA182">
        <v>38.89</v>
      </c>
      <c r="AB182">
        <v>4252</v>
      </c>
      <c r="AC182">
        <v>6688</v>
      </c>
      <c r="AF182" s="1">
        <v>44915</v>
      </c>
      <c r="AG182">
        <v>47.5</v>
      </c>
      <c r="AJ182" s="156">
        <f t="shared" si="2"/>
        <v>0.18126315789473682</v>
      </c>
    </row>
    <row r="183" spans="1:36" x14ac:dyDescent="0.3">
      <c r="A183" s="152">
        <v>45036</v>
      </c>
      <c r="B183" s="153">
        <v>60</v>
      </c>
      <c r="C183" s="153">
        <v>60.5</v>
      </c>
      <c r="D183" s="153">
        <v>60</v>
      </c>
      <c r="E183" s="153">
        <v>60.1</v>
      </c>
      <c r="F183" s="154">
        <v>100914</v>
      </c>
      <c r="G183" s="155">
        <v>6068173.5999999996</v>
      </c>
      <c r="H183" s="153">
        <v>118</v>
      </c>
      <c r="I183" s="155"/>
      <c r="J183" s="155"/>
      <c r="K183" s="155"/>
      <c r="L183" s="155"/>
      <c r="M183" s="155"/>
      <c r="N183" s="155"/>
      <c r="O183" s="148">
        <v>45036</v>
      </c>
      <c r="P183" s="149">
        <v>50.5</v>
      </c>
      <c r="Q183" s="149">
        <v>50.5</v>
      </c>
      <c r="R183" s="149">
        <v>50</v>
      </c>
      <c r="S183" s="149">
        <v>50</v>
      </c>
      <c r="T183" s="150">
        <v>45401</v>
      </c>
      <c r="U183" s="151">
        <v>2275660.7000000002</v>
      </c>
      <c r="V183" s="149">
        <v>65</v>
      </c>
      <c r="Z183" s="1">
        <v>44914</v>
      </c>
      <c r="AA183">
        <v>39.26</v>
      </c>
      <c r="AB183">
        <v>711</v>
      </c>
      <c r="AC183">
        <v>6512</v>
      </c>
      <c r="AF183" s="1">
        <v>44914</v>
      </c>
      <c r="AG183">
        <v>48.07</v>
      </c>
      <c r="AJ183" s="156">
        <f t="shared" si="2"/>
        <v>0.18327439151237782</v>
      </c>
    </row>
    <row r="184" spans="1:36" x14ac:dyDescent="0.3">
      <c r="A184" s="152">
        <v>45035</v>
      </c>
      <c r="B184" s="153">
        <v>61</v>
      </c>
      <c r="C184" s="153">
        <v>61</v>
      </c>
      <c r="D184" s="153">
        <v>60</v>
      </c>
      <c r="E184" s="153">
        <v>60.3</v>
      </c>
      <c r="F184" s="154">
        <v>35846</v>
      </c>
      <c r="G184" s="155">
        <v>2162075.7000000002</v>
      </c>
      <c r="H184" s="153">
        <v>136</v>
      </c>
      <c r="I184" s="155"/>
      <c r="J184" s="155"/>
      <c r="K184" s="155"/>
      <c r="L184" s="155"/>
      <c r="M184" s="155"/>
      <c r="N184" s="155"/>
      <c r="O184" s="148">
        <v>45035</v>
      </c>
      <c r="P184" s="149">
        <v>51.6</v>
      </c>
      <c r="Q184" s="149">
        <v>51.6</v>
      </c>
      <c r="R184" s="149">
        <v>50</v>
      </c>
      <c r="S184" s="149">
        <v>50.5</v>
      </c>
      <c r="T184" s="150">
        <v>111689</v>
      </c>
      <c r="U184" s="151">
        <v>5688502.0999999996</v>
      </c>
      <c r="V184" s="149">
        <v>84</v>
      </c>
      <c r="Z184" s="1">
        <v>44911</v>
      </c>
      <c r="AA184">
        <v>38.799999999999997</v>
      </c>
      <c r="AB184">
        <v>2749</v>
      </c>
      <c r="AC184">
        <v>6588</v>
      </c>
      <c r="AF184" s="1">
        <v>44911</v>
      </c>
      <c r="AG184">
        <v>48.64</v>
      </c>
      <c r="AJ184" s="156">
        <f t="shared" si="2"/>
        <v>0.20230263157894743</v>
      </c>
    </row>
    <row r="185" spans="1:36" x14ac:dyDescent="0.3">
      <c r="A185" s="152">
        <v>45034</v>
      </c>
      <c r="B185" s="153">
        <v>64</v>
      </c>
      <c r="C185" s="153">
        <v>64</v>
      </c>
      <c r="D185" s="153">
        <v>60</v>
      </c>
      <c r="E185" s="153">
        <v>60.1</v>
      </c>
      <c r="F185" s="154">
        <v>57955</v>
      </c>
      <c r="G185" s="155">
        <v>3513804.1</v>
      </c>
      <c r="H185" s="153">
        <v>165</v>
      </c>
      <c r="I185" s="155"/>
      <c r="J185" s="155"/>
      <c r="K185" s="155"/>
      <c r="L185" s="155"/>
      <c r="M185" s="155"/>
      <c r="N185" s="155"/>
      <c r="O185" s="148">
        <v>45034</v>
      </c>
      <c r="P185" s="149">
        <v>52.9</v>
      </c>
      <c r="Q185" s="149">
        <v>52.9</v>
      </c>
      <c r="R185" s="149">
        <v>51.6</v>
      </c>
      <c r="S185" s="149">
        <v>51.8</v>
      </c>
      <c r="T185" s="150">
        <v>2992</v>
      </c>
      <c r="U185" s="151">
        <v>155178.5</v>
      </c>
      <c r="V185" s="149">
        <v>20</v>
      </c>
      <c r="Z185" s="1">
        <v>44910</v>
      </c>
      <c r="AA185">
        <v>39.450000000000003</v>
      </c>
      <c r="AB185">
        <v>12153</v>
      </c>
      <c r="AC185">
        <v>6508</v>
      </c>
      <c r="AF185" s="1">
        <v>44910</v>
      </c>
      <c r="AG185">
        <v>48.26</v>
      </c>
      <c r="AJ185" s="156">
        <f t="shared" si="2"/>
        <v>0.18255283878988801</v>
      </c>
    </row>
    <row r="186" spans="1:36" x14ac:dyDescent="0.3">
      <c r="A186" s="152">
        <v>45033</v>
      </c>
      <c r="B186" s="153">
        <v>64</v>
      </c>
      <c r="C186" s="153">
        <v>64</v>
      </c>
      <c r="D186" s="153">
        <v>62.5</v>
      </c>
      <c r="E186" s="153">
        <v>63</v>
      </c>
      <c r="F186" s="154">
        <v>14516</v>
      </c>
      <c r="G186" s="155">
        <v>922191.4</v>
      </c>
      <c r="H186" s="153">
        <v>74</v>
      </c>
      <c r="I186" s="155"/>
      <c r="J186" s="155"/>
      <c r="K186" s="155"/>
      <c r="L186" s="155"/>
      <c r="M186" s="155"/>
      <c r="N186" s="155"/>
      <c r="O186" s="148">
        <v>45033</v>
      </c>
      <c r="P186" s="149">
        <v>52.9</v>
      </c>
      <c r="Q186" s="149">
        <v>52.9</v>
      </c>
      <c r="R186" s="149">
        <v>52</v>
      </c>
      <c r="S186" s="149">
        <v>52</v>
      </c>
      <c r="T186" s="150">
        <v>23365</v>
      </c>
      <c r="U186" s="151">
        <v>1216933.2</v>
      </c>
      <c r="V186" s="149">
        <v>38</v>
      </c>
      <c r="Z186" s="1">
        <v>44909</v>
      </c>
      <c r="AA186">
        <v>39.64</v>
      </c>
      <c r="AB186">
        <v>658</v>
      </c>
      <c r="AC186">
        <v>6591</v>
      </c>
      <c r="AF186" s="1">
        <v>44909</v>
      </c>
      <c r="AG186">
        <v>49.39</v>
      </c>
      <c r="AJ186" s="156">
        <f t="shared" si="2"/>
        <v>0.19740838226361612</v>
      </c>
    </row>
    <row r="187" spans="1:36" x14ac:dyDescent="0.3">
      <c r="A187" s="152">
        <v>45028</v>
      </c>
      <c r="B187" s="153">
        <v>63.5</v>
      </c>
      <c r="C187" s="153">
        <v>64</v>
      </c>
      <c r="D187" s="153">
        <v>62</v>
      </c>
      <c r="E187" s="153">
        <v>63</v>
      </c>
      <c r="F187" s="154">
        <v>37021</v>
      </c>
      <c r="G187" s="155">
        <v>2336934.7000000002</v>
      </c>
      <c r="H187" s="153">
        <v>43</v>
      </c>
      <c r="I187" s="155"/>
      <c r="J187" s="155"/>
      <c r="K187" s="155"/>
      <c r="L187" s="155"/>
      <c r="M187" s="155"/>
      <c r="N187" s="155"/>
      <c r="O187" s="148">
        <v>45028</v>
      </c>
      <c r="P187" s="149">
        <v>52.7</v>
      </c>
      <c r="Q187" s="149">
        <v>52.7</v>
      </c>
      <c r="R187" s="149">
        <v>52.2</v>
      </c>
      <c r="S187" s="149">
        <v>52.7</v>
      </c>
      <c r="T187" s="150">
        <v>2637</v>
      </c>
      <c r="U187" s="151">
        <v>138390.6</v>
      </c>
      <c r="V187" s="149">
        <v>16</v>
      </c>
      <c r="Z187" s="1">
        <v>44908</v>
      </c>
      <c r="AA187">
        <v>40.01</v>
      </c>
      <c r="AB187">
        <v>341</v>
      </c>
      <c r="AC187">
        <v>7327</v>
      </c>
      <c r="AF187" s="1">
        <v>44908</v>
      </c>
      <c r="AG187">
        <v>49.11</v>
      </c>
      <c r="AJ187" s="156">
        <f t="shared" si="2"/>
        <v>0.18529830991651397</v>
      </c>
    </row>
    <row r="188" spans="1:36" x14ac:dyDescent="0.3">
      <c r="A188" s="152">
        <v>45027</v>
      </c>
      <c r="B188" s="153">
        <v>62.5</v>
      </c>
      <c r="C188" s="153">
        <v>63.3</v>
      </c>
      <c r="D188" s="153">
        <v>62</v>
      </c>
      <c r="E188" s="153">
        <v>63</v>
      </c>
      <c r="F188" s="154">
        <v>83423</v>
      </c>
      <c r="G188" s="155">
        <v>5243011</v>
      </c>
      <c r="H188" s="153">
        <v>63</v>
      </c>
      <c r="I188" s="155"/>
      <c r="J188" s="155"/>
      <c r="K188" s="155"/>
      <c r="L188" s="155"/>
      <c r="M188" s="155"/>
      <c r="N188" s="155"/>
      <c r="O188" s="148">
        <v>45027</v>
      </c>
      <c r="P188" s="149">
        <v>52.5</v>
      </c>
      <c r="Q188" s="149">
        <v>52.5</v>
      </c>
      <c r="R188" s="149">
        <v>52</v>
      </c>
      <c r="S188" s="149">
        <v>52.1</v>
      </c>
      <c r="T188" s="150">
        <v>11556</v>
      </c>
      <c r="U188" s="151">
        <v>603365.4</v>
      </c>
      <c r="V188" s="149">
        <v>26</v>
      </c>
      <c r="Z188" s="1">
        <v>44907</v>
      </c>
      <c r="AA188">
        <v>39.64</v>
      </c>
      <c r="AB188">
        <v>3379</v>
      </c>
      <c r="AC188">
        <v>7700</v>
      </c>
      <c r="AF188" s="1">
        <v>44907</v>
      </c>
      <c r="AG188">
        <v>47.98</v>
      </c>
      <c r="AJ188" s="156">
        <f t="shared" si="2"/>
        <v>0.17382242601083778</v>
      </c>
    </row>
    <row r="189" spans="1:36" x14ac:dyDescent="0.3">
      <c r="A189" s="152">
        <v>45026</v>
      </c>
      <c r="B189" s="153">
        <v>62</v>
      </c>
      <c r="C189" s="153">
        <v>63.8</v>
      </c>
      <c r="D189" s="153">
        <v>60.5</v>
      </c>
      <c r="E189" s="153">
        <v>62.5</v>
      </c>
      <c r="F189" s="154">
        <v>7977</v>
      </c>
      <c r="G189" s="155">
        <v>496926.5</v>
      </c>
      <c r="H189" s="153">
        <v>50</v>
      </c>
      <c r="I189" s="155"/>
      <c r="J189" s="155"/>
      <c r="K189" s="155"/>
      <c r="L189" s="155"/>
      <c r="M189" s="155"/>
      <c r="N189" s="155"/>
      <c r="O189" s="148">
        <v>45026</v>
      </c>
      <c r="P189" s="149">
        <v>52.6</v>
      </c>
      <c r="Q189" s="149">
        <v>52.7</v>
      </c>
      <c r="R189" s="149">
        <v>52.6</v>
      </c>
      <c r="S189" s="149">
        <v>52.7</v>
      </c>
      <c r="T189" s="150">
        <v>2973</v>
      </c>
      <c r="U189" s="151">
        <v>156397.4</v>
      </c>
      <c r="V189" s="149">
        <v>10</v>
      </c>
      <c r="Z189" s="1">
        <v>44904</v>
      </c>
      <c r="AA189">
        <v>39.54</v>
      </c>
      <c r="AB189">
        <v>21234</v>
      </c>
      <c r="AC189">
        <v>10410</v>
      </c>
      <c r="AF189" s="1">
        <v>44904</v>
      </c>
      <c r="AG189">
        <v>47.69</v>
      </c>
      <c r="AJ189" s="156">
        <f t="shared" si="2"/>
        <v>0.17089536590480181</v>
      </c>
    </row>
    <row r="190" spans="1:36" x14ac:dyDescent="0.3">
      <c r="A190" s="152">
        <v>45022</v>
      </c>
      <c r="B190" s="153">
        <v>62</v>
      </c>
      <c r="C190" s="153">
        <v>63</v>
      </c>
      <c r="D190" s="153">
        <v>60.5</v>
      </c>
      <c r="E190" s="153">
        <v>62.1</v>
      </c>
      <c r="F190" s="154">
        <v>57387</v>
      </c>
      <c r="G190" s="155">
        <v>3558213.3</v>
      </c>
      <c r="H190" s="153">
        <v>84</v>
      </c>
      <c r="I190" s="155"/>
      <c r="J190" s="155"/>
      <c r="K190" s="155"/>
      <c r="L190" s="155"/>
      <c r="M190" s="155"/>
      <c r="N190" s="155"/>
      <c r="O190" s="148">
        <v>45022</v>
      </c>
      <c r="P190" s="149">
        <v>52.5</v>
      </c>
      <c r="Q190" s="149">
        <v>54.5</v>
      </c>
      <c r="R190" s="149">
        <v>52</v>
      </c>
      <c r="S190" s="149">
        <v>52.2</v>
      </c>
      <c r="T190" s="150">
        <v>1723</v>
      </c>
      <c r="U190" s="151">
        <v>90014.5</v>
      </c>
      <c r="V190" s="149">
        <v>14</v>
      </c>
      <c r="Z190" s="1">
        <v>44903</v>
      </c>
      <c r="AA190">
        <v>40.11</v>
      </c>
      <c r="AB190">
        <v>6408</v>
      </c>
      <c r="AC190">
        <v>9033</v>
      </c>
      <c r="AF190" s="1">
        <v>44903</v>
      </c>
      <c r="AG190">
        <v>48.35</v>
      </c>
      <c r="AJ190" s="156">
        <f t="shared" si="2"/>
        <v>0.17042399172699074</v>
      </c>
    </row>
    <row r="191" spans="1:36" x14ac:dyDescent="0.3">
      <c r="A191" s="152">
        <v>45020</v>
      </c>
      <c r="B191" s="153">
        <v>62</v>
      </c>
      <c r="C191" s="153">
        <v>62.9</v>
      </c>
      <c r="D191" s="153">
        <v>60.4</v>
      </c>
      <c r="E191" s="153">
        <v>62</v>
      </c>
      <c r="F191" s="154">
        <v>37557</v>
      </c>
      <c r="G191" s="155">
        <v>2329016.4</v>
      </c>
      <c r="H191" s="153">
        <v>66</v>
      </c>
      <c r="I191" s="155"/>
      <c r="J191" s="155"/>
      <c r="K191" s="155"/>
      <c r="L191" s="155"/>
      <c r="M191" s="155"/>
      <c r="N191" s="155"/>
      <c r="O191" s="148">
        <v>45020</v>
      </c>
      <c r="P191" s="149">
        <v>54.5</v>
      </c>
      <c r="Q191" s="149">
        <v>54.5</v>
      </c>
      <c r="R191" s="149">
        <v>52.8</v>
      </c>
      <c r="S191" s="149">
        <v>53.9</v>
      </c>
      <c r="T191" s="150">
        <v>5261</v>
      </c>
      <c r="U191" s="151">
        <v>283843.40000000002</v>
      </c>
      <c r="V191" s="149">
        <v>19</v>
      </c>
      <c r="Z191" s="1">
        <v>44901</v>
      </c>
      <c r="AA191">
        <v>39.92</v>
      </c>
      <c r="AB191">
        <v>15687</v>
      </c>
      <c r="AC191">
        <v>10770</v>
      </c>
      <c r="AF191" s="1">
        <v>44901</v>
      </c>
      <c r="AG191">
        <v>47.69</v>
      </c>
      <c r="AJ191" s="156">
        <f t="shared" si="2"/>
        <v>0.16292723841476192</v>
      </c>
    </row>
    <row r="192" spans="1:36" x14ac:dyDescent="0.3">
      <c r="A192" s="152">
        <v>45019</v>
      </c>
      <c r="B192" s="153">
        <v>63.1</v>
      </c>
      <c r="C192" s="153">
        <v>63.1</v>
      </c>
      <c r="D192" s="153">
        <v>60.3</v>
      </c>
      <c r="E192" s="153">
        <v>61.1</v>
      </c>
      <c r="F192" s="154">
        <v>104588</v>
      </c>
      <c r="G192" s="155">
        <v>6485612</v>
      </c>
      <c r="H192" s="153">
        <v>93</v>
      </c>
      <c r="I192" s="155"/>
      <c r="J192" s="155"/>
      <c r="K192" s="155"/>
      <c r="L192" s="155"/>
      <c r="M192" s="155"/>
      <c r="N192" s="155"/>
      <c r="O192" s="148">
        <v>45019</v>
      </c>
      <c r="P192" s="149">
        <v>54</v>
      </c>
      <c r="Q192" s="149">
        <v>54.8</v>
      </c>
      <c r="R192" s="149">
        <v>53</v>
      </c>
      <c r="S192" s="149">
        <v>54.5</v>
      </c>
      <c r="T192" s="150">
        <v>13280</v>
      </c>
      <c r="U192" s="151">
        <v>720170</v>
      </c>
      <c r="V192" s="149">
        <v>27</v>
      </c>
      <c r="Z192" s="1">
        <v>44900</v>
      </c>
      <c r="AA192">
        <v>40.01</v>
      </c>
      <c r="AB192">
        <v>1491</v>
      </c>
      <c r="AC192">
        <v>10134</v>
      </c>
      <c r="AF192" s="1">
        <v>44900</v>
      </c>
      <c r="AG192">
        <v>47.6</v>
      </c>
      <c r="AJ192" s="156">
        <f t="shared" si="2"/>
        <v>0.15945378151260511</v>
      </c>
    </row>
    <row r="193" spans="1:36" x14ac:dyDescent="0.3">
      <c r="A193" s="152">
        <v>45016</v>
      </c>
      <c r="B193" s="153">
        <v>63.6</v>
      </c>
      <c r="C193" s="153">
        <v>65</v>
      </c>
      <c r="D193" s="153">
        <v>62.5</v>
      </c>
      <c r="E193" s="153">
        <v>63.6</v>
      </c>
      <c r="F193" s="154">
        <v>82420</v>
      </c>
      <c r="G193" s="155">
        <v>5280371.0999999996</v>
      </c>
      <c r="H193" s="153">
        <v>148</v>
      </c>
      <c r="I193" s="155"/>
      <c r="J193" s="155"/>
      <c r="K193" s="155"/>
      <c r="L193" s="155"/>
      <c r="M193" s="155"/>
      <c r="N193" s="155"/>
      <c r="O193" s="148">
        <v>45016</v>
      </c>
      <c r="P193" s="149">
        <v>55</v>
      </c>
      <c r="Q193" s="149">
        <v>56.3</v>
      </c>
      <c r="R193" s="149">
        <v>54.1</v>
      </c>
      <c r="S193" s="149">
        <v>54.1</v>
      </c>
      <c r="T193" s="150">
        <v>35565</v>
      </c>
      <c r="U193" s="151">
        <v>1954004.8</v>
      </c>
      <c r="V193" s="149">
        <v>51</v>
      </c>
      <c r="Z193" s="1">
        <v>44897</v>
      </c>
      <c r="AA193">
        <v>39.83</v>
      </c>
      <c r="AB193">
        <v>16821</v>
      </c>
      <c r="AC193">
        <v>10201</v>
      </c>
      <c r="AF193" s="1">
        <v>44897</v>
      </c>
      <c r="AG193">
        <v>48.17</v>
      </c>
      <c r="AJ193" s="156">
        <f t="shared" si="2"/>
        <v>0.17313680714137436</v>
      </c>
    </row>
    <row r="194" spans="1:36" x14ac:dyDescent="0.3">
      <c r="A194" s="152">
        <v>45015</v>
      </c>
      <c r="B194" s="153">
        <v>67.400000000000006</v>
      </c>
      <c r="C194" s="153">
        <v>67.400000000000006</v>
      </c>
      <c r="D194" s="153">
        <v>65.5</v>
      </c>
      <c r="E194" s="153">
        <v>65.5</v>
      </c>
      <c r="F194" s="154">
        <v>38308</v>
      </c>
      <c r="G194" s="155">
        <v>2513348.7999999998</v>
      </c>
      <c r="H194" s="153">
        <v>50</v>
      </c>
      <c r="I194" s="155"/>
      <c r="J194" s="155"/>
      <c r="K194" s="155"/>
      <c r="L194" s="155"/>
      <c r="M194" s="155"/>
      <c r="N194" s="155"/>
      <c r="O194" s="148">
        <v>45015</v>
      </c>
      <c r="P194" s="149">
        <v>55.1</v>
      </c>
      <c r="Q194" s="149">
        <v>56.1</v>
      </c>
      <c r="R194" s="149">
        <v>55.1</v>
      </c>
      <c r="S194" s="149">
        <v>55.7</v>
      </c>
      <c r="T194" s="150">
        <v>9407</v>
      </c>
      <c r="U194" s="151">
        <v>522758.8</v>
      </c>
      <c r="V194" s="149">
        <v>20</v>
      </c>
      <c r="Z194" s="1">
        <v>44896</v>
      </c>
      <c r="AA194">
        <v>39.08</v>
      </c>
      <c r="AB194">
        <v>1063</v>
      </c>
      <c r="AC194">
        <v>9867</v>
      </c>
      <c r="AF194" s="1">
        <v>44896</v>
      </c>
      <c r="AG194">
        <v>47.32</v>
      </c>
      <c r="AJ194" s="156">
        <f t="shared" si="2"/>
        <v>0.1741335587489434</v>
      </c>
    </row>
    <row r="195" spans="1:36" x14ac:dyDescent="0.3">
      <c r="A195" s="152">
        <v>45014</v>
      </c>
      <c r="B195" s="153">
        <v>66</v>
      </c>
      <c r="C195" s="153">
        <v>67.5</v>
      </c>
      <c r="D195" s="153">
        <v>65.3</v>
      </c>
      <c r="E195" s="153">
        <v>66.599999999999994</v>
      </c>
      <c r="F195" s="154">
        <v>47158</v>
      </c>
      <c r="G195" s="155">
        <v>3104896.7</v>
      </c>
      <c r="H195" s="153">
        <v>61</v>
      </c>
      <c r="I195" s="155"/>
      <c r="J195" s="155"/>
      <c r="K195" s="155"/>
      <c r="L195" s="155"/>
      <c r="M195" s="155"/>
      <c r="N195" s="155"/>
      <c r="O195" s="148">
        <v>45014</v>
      </c>
      <c r="P195" s="149">
        <v>55</v>
      </c>
      <c r="Q195" s="149">
        <v>56.9</v>
      </c>
      <c r="R195" s="149">
        <v>55</v>
      </c>
      <c r="S195" s="149">
        <v>56.7</v>
      </c>
      <c r="T195" s="149">
        <v>127</v>
      </c>
      <c r="U195" s="151">
        <v>7207.9</v>
      </c>
      <c r="V195" s="149">
        <v>5</v>
      </c>
      <c r="Z195" s="1">
        <v>44895</v>
      </c>
      <c r="AA195">
        <v>38.700000000000003</v>
      </c>
      <c r="AB195">
        <v>9241</v>
      </c>
      <c r="AC195">
        <v>9802</v>
      </c>
      <c r="AF195" s="1">
        <v>44895</v>
      </c>
      <c r="AG195">
        <v>48.54</v>
      </c>
      <c r="AJ195" s="156">
        <f t="shared" si="2"/>
        <v>0.20271940667490723</v>
      </c>
    </row>
    <row r="196" spans="1:36" x14ac:dyDescent="0.3">
      <c r="A196" s="152">
        <v>45013</v>
      </c>
      <c r="B196" s="153">
        <v>67</v>
      </c>
      <c r="C196" s="153">
        <v>68.5</v>
      </c>
      <c r="D196" s="153">
        <v>65.3</v>
      </c>
      <c r="E196" s="153">
        <v>65.5</v>
      </c>
      <c r="F196" s="154">
        <v>192110</v>
      </c>
      <c r="G196" s="155">
        <v>12590668.699999999</v>
      </c>
      <c r="H196" s="153">
        <v>143</v>
      </c>
      <c r="I196" s="155"/>
      <c r="J196" s="155"/>
      <c r="K196" s="155"/>
      <c r="L196" s="155"/>
      <c r="M196" s="155"/>
      <c r="N196" s="155"/>
      <c r="O196" s="148">
        <v>45013</v>
      </c>
      <c r="P196" s="149">
        <v>55</v>
      </c>
      <c r="Q196" s="149">
        <v>55</v>
      </c>
      <c r="R196" s="149">
        <v>54</v>
      </c>
      <c r="S196" s="149">
        <v>55</v>
      </c>
      <c r="T196" s="150">
        <v>65423</v>
      </c>
      <c r="U196" s="151">
        <v>3593953.7</v>
      </c>
      <c r="V196" s="149">
        <v>33</v>
      </c>
      <c r="Z196" s="1">
        <v>44894</v>
      </c>
      <c r="AA196">
        <v>38.520000000000003</v>
      </c>
      <c r="AB196">
        <v>4132</v>
      </c>
      <c r="AC196">
        <v>12365</v>
      </c>
      <c r="AF196" s="1">
        <v>44894</v>
      </c>
      <c r="AG196">
        <v>47.32</v>
      </c>
      <c r="AJ196" s="156">
        <f t="shared" si="2"/>
        <v>0.18596787827557051</v>
      </c>
    </row>
    <row r="197" spans="1:36" x14ac:dyDescent="0.3">
      <c r="A197" s="152">
        <v>45012</v>
      </c>
      <c r="B197" s="153">
        <v>67</v>
      </c>
      <c r="C197" s="153">
        <v>67</v>
      </c>
      <c r="D197" s="153">
        <v>65.2</v>
      </c>
      <c r="E197" s="153">
        <v>65.7</v>
      </c>
      <c r="F197" s="154">
        <v>269274</v>
      </c>
      <c r="G197" s="155">
        <v>17753013.5</v>
      </c>
      <c r="H197" s="153">
        <v>80</v>
      </c>
      <c r="I197" s="155"/>
      <c r="J197" s="155"/>
      <c r="K197" s="155"/>
      <c r="L197" s="155"/>
      <c r="M197" s="155"/>
      <c r="N197" s="155"/>
      <c r="O197" s="148">
        <v>45012</v>
      </c>
      <c r="P197" s="149">
        <v>56</v>
      </c>
      <c r="Q197" s="149">
        <v>56</v>
      </c>
      <c r="R197" s="149">
        <v>54.5</v>
      </c>
      <c r="S197" s="149">
        <v>54.5</v>
      </c>
      <c r="T197" s="150">
        <v>26125</v>
      </c>
      <c r="U197" s="151">
        <v>1428767.1</v>
      </c>
      <c r="V197" s="149">
        <v>27</v>
      </c>
      <c r="Z197" s="1">
        <v>44893</v>
      </c>
      <c r="AA197">
        <v>38.42</v>
      </c>
      <c r="AB197">
        <v>1615</v>
      </c>
      <c r="AC197">
        <v>13525</v>
      </c>
      <c r="AF197" s="1">
        <v>44893</v>
      </c>
      <c r="AG197">
        <v>47.5</v>
      </c>
      <c r="AJ197" s="156">
        <f t="shared" si="2"/>
        <v>0.19115789473684208</v>
      </c>
    </row>
    <row r="198" spans="1:36" x14ac:dyDescent="0.3">
      <c r="A198" s="152">
        <v>45009</v>
      </c>
      <c r="B198" s="153">
        <v>65</v>
      </c>
      <c r="C198" s="153">
        <v>68</v>
      </c>
      <c r="D198" s="153">
        <v>65</v>
      </c>
      <c r="E198" s="153">
        <v>66</v>
      </c>
      <c r="F198" s="154">
        <v>116204</v>
      </c>
      <c r="G198" s="155">
        <v>7641936.4000000004</v>
      </c>
      <c r="H198" s="153">
        <v>80</v>
      </c>
      <c r="I198" s="155"/>
      <c r="J198" s="155"/>
      <c r="K198" s="155"/>
      <c r="L198" s="155"/>
      <c r="M198" s="155"/>
      <c r="N198" s="155"/>
      <c r="O198" s="148">
        <v>45009</v>
      </c>
      <c r="P198" s="149">
        <v>54.5</v>
      </c>
      <c r="Q198" s="149">
        <v>56.8</v>
      </c>
      <c r="R198" s="149">
        <v>54.1</v>
      </c>
      <c r="S198" s="149">
        <v>55</v>
      </c>
      <c r="T198" s="150">
        <v>12131</v>
      </c>
      <c r="U198" s="151">
        <v>665735.9</v>
      </c>
      <c r="V198" s="149">
        <v>23</v>
      </c>
      <c r="Z198" s="1">
        <v>44890</v>
      </c>
      <c r="AA198">
        <v>38.520000000000003</v>
      </c>
      <c r="AB198">
        <v>1851</v>
      </c>
      <c r="AC198">
        <v>13462</v>
      </c>
      <c r="AF198" s="1">
        <v>44890</v>
      </c>
      <c r="AG198">
        <v>47.6</v>
      </c>
      <c r="AJ198" s="156">
        <f t="shared" ref="AJ198:AJ261" si="3">(AG198-AA198)/AG198</f>
        <v>0.19075630252100836</v>
      </c>
    </row>
    <row r="199" spans="1:36" x14ac:dyDescent="0.3">
      <c r="A199" s="152">
        <v>45008</v>
      </c>
      <c r="B199" s="153">
        <v>67</v>
      </c>
      <c r="C199" s="153">
        <v>67</v>
      </c>
      <c r="D199" s="153">
        <v>64</v>
      </c>
      <c r="E199" s="153">
        <v>65</v>
      </c>
      <c r="F199" s="154">
        <v>801596</v>
      </c>
      <c r="G199" s="155">
        <v>52506680.100000001</v>
      </c>
      <c r="H199" s="153">
        <v>183</v>
      </c>
      <c r="I199" s="155"/>
      <c r="J199" s="155"/>
      <c r="K199" s="155"/>
      <c r="L199" s="155"/>
      <c r="M199" s="155"/>
      <c r="N199" s="155"/>
      <c r="O199" s="148">
        <v>45008</v>
      </c>
      <c r="P199" s="149">
        <v>58</v>
      </c>
      <c r="Q199" s="149">
        <v>58</v>
      </c>
      <c r="R199" s="149">
        <v>54.1</v>
      </c>
      <c r="S199" s="149">
        <v>54.4</v>
      </c>
      <c r="T199" s="150">
        <v>26377</v>
      </c>
      <c r="U199" s="151">
        <v>1455266.7</v>
      </c>
      <c r="V199" s="149">
        <v>58</v>
      </c>
      <c r="Z199" s="1">
        <v>44889</v>
      </c>
      <c r="AA199">
        <v>37.96</v>
      </c>
      <c r="AB199">
        <v>1550</v>
      </c>
      <c r="AC199">
        <v>13431</v>
      </c>
      <c r="AF199" s="1">
        <v>44889</v>
      </c>
      <c r="AG199">
        <v>47.41</v>
      </c>
      <c r="AJ199" s="156">
        <f t="shared" si="3"/>
        <v>0.19932503691204378</v>
      </c>
    </row>
    <row r="200" spans="1:36" x14ac:dyDescent="0.3">
      <c r="A200" s="152">
        <v>45007</v>
      </c>
      <c r="B200" s="153">
        <v>68.5</v>
      </c>
      <c r="C200" s="153">
        <v>68.900000000000006</v>
      </c>
      <c r="D200" s="153">
        <v>67</v>
      </c>
      <c r="E200" s="153">
        <v>67.400000000000006</v>
      </c>
      <c r="F200" s="154">
        <v>12452</v>
      </c>
      <c r="G200" s="155">
        <v>842745.7</v>
      </c>
      <c r="H200" s="153">
        <v>96</v>
      </c>
      <c r="I200" s="155"/>
      <c r="J200" s="155"/>
      <c r="K200" s="155"/>
      <c r="L200" s="155"/>
      <c r="M200" s="155"/>
      <c r="N200" s="155"/>
      <c r="O200" s="148">
        <v>45007</v>
      </c>
      <c r="P200" s="149">
        <v>59.8</v>
      </c>
      <c r="Q200" s="149">
        <v>59.8</v>
      </c>
      <c r="R200" s="149">
        <v>58</v>
      </c>
      <c r="S200" s="149">
        <v>58.2</v>
      </c>
      <c r="T200" s="150">
        <v>18114</v>
      </c>
      <c r="U200" s="151">
        <v>1053223.8</v>
      </c>
      <c r="V200" s="149">
        <v>46</v>
      </c>
      <c r="Z200" s="1">
        <v>44888</v>
      </c>
      <c r="AA200">
        <v>37.58</v>
      </c>
      <c r="AB200">
        <v>13396</v>
      </c>
      <c r="AC200">
        <v>13440</v>
      </c>
      <c r="AF200" s="1">
        <v>44888</v>
      </c>
      <c r="AG200">
        <v>47.5</v>
      </c>
      <c r="AJ200" s="156">
        <f t="shared" si="3"/>
        <v>0.20884210526315794</v>
      </c>
    </row>
    <row r="201" spans="1:36" x14ac:dyDescent="0.3">
      <c r="A201" s="152">
        <v>45006</v>
      </c>
      <c r="B201" s="153">
        <v>70</v>
      </c>
      <c r="C201" s="153">
        <v>70</v>
      </c>
      <c r="D201" s="153">
        <v>68</v>
      </c>
      <c r="E201" s="153">
        <v>68.599999999999994</v>
      </c>
      <c r="F201" s="154">
        <v>43651</v>
      </c>
      <c r="G201" s="155">
        <v>3004015.9</v>
      </c>
      <c r="H201" s="153">
        <v>106</v>
      </c>
      <c r="I201" s="155"/>
      <c r="J201" s="155"/>
      <c r="K201" s="155"/>
      <c r="L201" s="155"/>
      <c r="M201" s="155"/>
      <c r="N201" s="155"/>
      <c r="O201" s="148">
        <v>45006</v>
      </c>
      <c r="P201" s="149">
        <v>60</v>
      </c>
      <c r="Q201" s="149">
        <v>60.2</v>
      </c>
      <c r="R201" s="149">
        <v>59.7</v>
      </c>
      <c r="S201" s="149">
        <v>59.9</v>
      </c>
      <c r="T201" s="150">
        <v>7743</v>
      </c>
      <c r="U201" s="151">
        <v>464529.1</v>
      </c>
      <c r="V201" s="149">
        <v>29</v>
      </c>
      <c r="Z201" s="1">
        <v>44887</v>
      </c>
      <c r="AA201">
        <v>37.49</v>
      </c>
      <c r="AB201">
        <v>11696</v>
      </c>
      <c r="AC201">
        <v>13447</v>
      </c>
      <c r="AF201" s="1">
        <v>44887</v>
      </c>
      <c r="AG201">
        <v>47.22</v>
      </c>
      <c r="AJ201" s="156">
        <f t="shared" si="3"/>
        <v>0.20605675561202874</v>
      </c>
    </row>
    <row r="202" spans="1:36" x14ac:dyDescent="0.3">
      <c r="A202" s="152">
        <v>45005</v>
      </c>
      <c r="B202" s="153">
        <v>69.8</v>
      </c>
      <c r="C202" s="153">
        <v>71.5</v>
      </c>
      <c r="D202" s="153">
        <v>68.5</v>
      </c>
      <c r="E202" s="153">
        <v>69</v>
      </c>
      <c r="F202" s="154">
        <v>183793</v>
      </c>
      <c r="G202" s="155">
        <v>12931148.699999999</v>
      </c>
      <c r="H202" s="153">
        <v>217</v>
      </c>
      <c r="I202" s="155"/>
      <c r="J202" s="155"/>
      <c r="K202" s="155"/>
      <c r="L202" s="155"/>
      <c r="M202" s="155"/>
      <c r="N202" s="155"/>
      <c r="O202" s="148">
        <v>45005</v>
      </c>
      <c r="P202" s="149">
        <v>58.5</v>
      </c>
      <c r="Q202" s="149">
        <v>60</v>
      </c>
      <c r="R202" s="149">
        <v>58.5</v>
      </c>
      <c r="S202" s="149">
        <v>59.7</v>
      </c>
      <c r="T202" s="150">
        <v>30814</v>
      </c>
      <c r="U202" s="151">
        <v>1823483.4</v>
      </c>
      <c r="V202" s="149">
        <v>50</v>
      </c>
      <c r="Z202" s="1">
        <v>44886</v>
      </c>
      <c r="AA202">
        <v>37.49</v>
      </c>
      <c r="AB202">
        <v>5936</v>
      </c>
      <c r="AC202">
        <v>12951</v>
      </c>
      <c r="AF202" s="1">
        <v>44886</v>
      </c>
      <c r="AG202">
        <v>47.22</v>
      </c>
      <c r="AJ202" s="156">
        <f t="shared" si="3"/>
        <v>0.20605675561202874</v>
      </c>
    </row>
    <row r="203" spans="1:36" x14ac:dyDescent="0.3">
      <c r="A203" s="152">
        <v>45002</v>
      </c>
      <c r="B203" s="153">
        <v>67</v>
      </c>
      <c r="C203" s="153">
        <v>71</v>
      </c>
      <c r="D203" s="153">
        <v>67</v>
      </c>
      <c r="E203" s="153">
        <v>69.8</v>
      </c>
      <c r="F203" s="154">
        <v>379621</v>
      </c>
      <c r="G203" s="155">
        <v>26433304.199999999</v>
      </c>
      <c r="H203" s="153">
        <v>160</v>
      </c>
      <c r="I203" s="155"/>
      <c r="J203" s="155"/>
      <c r="K203" s="155"/>
      <c r="L203" s="155"/>
      <c r="M203" s="155"/>
      <c r="N203" s="155"/>
      <c r="O203" s="148">
        <v>45002</v>
      </c>
      <c r="P203" s="149">
        <v>58.3</v>
      </c>
      <c r="Q203" s="149">
        <v>58.5</v>
      </c>
      <c r="R203" s="149">
        <v>58</v>
      </c>
      <c r="S203" s="149">
        <v>58.3</v>
      </c>
      <c r="T203" s="150">
        <v>1454</v>
      </c>
      <c r="U203" s="151">
        <v>84879</v>
      </c>
      <c r="V203" s="149">
        <v>20</v>
      </c>
      <c r="Z203" s="1">
        <v>44883</v>
      </c>
      <c r="AA203">
        <v>37.39</v>
      </c>
      <c r="AB203">
        <v>44022</v>
      </c>
      <c r="AC203">
        <v>12627</v>
      </c>
      <c r="AF203" s="1">
        <v>44883</v>
      </c>
      <c r="AG203">
        <v>47.22</v>
      </c>
      <c r="AJ203" s="156">
        <f t="shared" si="3"/>
        <v>0.20817450232952137</v>
      </c>
    </row>
    <row r="204" spans="1:36" x14ac:dyDescent="0.3">
      <c r="A204" s="152">
        <v>45001</v>
      </c>
      <c r="B204" s="153">
        <v>68.599999999999994</v>
      </c>
      <c r="C204" s="153">
        <v>69</v>
      </c>
      <c r="D204" s="153">
        <v>67.099999999999994</v>
      </c>
      <c r="E204" s="153">
        <v>67.599999999999994</v>
      </c>
      <c r="F204" s="154">
        <v>15345</v>
      </c>
      <c r="G204" s="155">
        <v>1043480.2</v>
      </c>
      <c r="H204" s="153">
        <v>68</v>
      </c>
      <c r="I204" s="155"/>
      <c r="J204" s="155"/>
      <c r="K204" s="155"/>
      <c r="L204" s="155"/>
      <c r="M204" s="155"/>
      <c r="N204" s="155"/>
      <c r="O204" s="148">
        <v>45001</v>
      </c>
      <c r="P204" s="149">
        <v>58.4</v>
      </c>
      <c r="Q204" s="149">
        <v>58.5</v>
      </c>
      <c r="R204" s="149">
        <v>58</v>
      </c>
      <c r="S204" s="149">
        <v>58.1</v>
      </c>
      <c r="T204" s="150">
        <v>20647</v>
      </c>
      <c r="U204" s="151">
        <v>1207318.3999999999</v>
      </c>
      <c r="V204" s="149">
        <v>16</v>
      </c>
      <c r="Z204" s="1">
        <v>44882</v>
      </c>
      <c r="AA204">
        <v>37.49</v>
      </c>
      <c r="AB204">
        <v>590</v>
      </c>
      <c r="AC204">
        <v>10447</v>
      </c>
      <c r="AF204" s="1">
        <v>44882</v>
      </c>
      <c r="AG204">
        <v>48.07</v>
      </c>
      <c r="AJ204" s="156">
        <f t="shared" si="3"/>
        <v>0.22009569377990426</v>
      </c>
    </row>
    <row r="205" spans="1:36" x14ac:dyDescent="0.3">
      <c r="A205" s="152">
        <v>45000</v>
      </c>
      <c r="B205" s="153">
        <v>66</v>
      </c>
      <c r="C205" s="153">
        <v>69</v>
      </c>
      <c r="D205" s="153">
        <v>66</v>
      </c>
      <c r="E205" s="153">
        <v>67.3</v>
      </c>
      <c r="F205" s="154">
        <v>163949</v>
      </c>
      <c r="G205" s="155">
        <v>11105314.5</v>
      </c>
      <c r="H205" s="153">
        <v>127</v>
      </c>
      <c r="I205" s="155"/>
      <c r="J205" s="155"/>
      <c r="K205" s="155"/>
      <c r="L205" s="155"/>
      <c r="M205" s="155"/>
      <c r="N205" s="155"/>
      <c r="O205" s="148">
        <v>45000</v>
      </c>
      <c r="P205" s="149">
        <v>58.4</v>
      </c>
      <c r="Q205" s="149">
        <v>58.4</v>
      </c>
      <c r="R205" s="149">
        <v>58</v>
      </c>
      <c r="S205" s="149">
        <v>58.2</v>
      </c>
      <c r="T205" s="150">
        <v>3721</v>
      </c>
      <c r="U205" s="151">
        <v>216349</v>
      </c>
      <c r="V205" s="149">
        <v>10</v>
      </c>
      <c r="Z205" s="1">
        <v>44881</v>
      </c>
      <c r="AA205">
        <v>37.49</v>
      </c>
      <c r="AB205">
        <v>32463</v>
      </c>
      <c r="AC205">
        <v>10759</v>
      </c>
      <c r="AF205" s="1">
        <v>44881</v>
      </c>
      <c r="AG205">
        <v>47.22</v>
      </c>
      <c r="AJ205" s="156">
        <f t="shared" si="3"/>
        <v>0.20605675561202874</v>
      </c>
    </row>
    <row r="206" spans="1:36" x14ac:dyDescent="0.3">
      <c r="A206" s="152">
        <v>44999</v>
      </c>
      <c r="B206" s="153">
        <v>66.8</v>
      </c>
      <c r="C206" s="153">
        <v>67.5</v>
      </c>
      <c r="D206" s="153">
        <v>65.5</v>
      </c>
      <c r="E206" s="153">
        <v>66.5</v>
      </c>
      <c r="F206" s="154">
        <v>131334</v>
      </c>
      <c r="G206" s="155">
        <v>8649013.5</v>
      </c>
      <c r="H206" s="153">
        <v>136</v>
      </c>
      <c r="I206" s="155"/>
      <c r="J206" s="155"/>
      <c r="K206" s="155"/>
      <c r="L206" s="155"/>
      <c r="M206" s="155"/>
      <c r="N206" s="155"/>
      <c r="O206" s="148">
        <v>44999</v>
      </c>
      <c r="P206" s="149">
        <v>58.1</v>
      </c>
      <c r="Q206" s="149">
        <v>58.5</v>
      </c>
      <c r="R206" s="149">
        <v>57.9</v>
      </c>
      <c r="S206" s="149">
        <v>58</v>
      </c>
      <c r="T206" s="150">
        <v>12920</v>
      </c>
      <c r="U206" s="151">
        <v>752223.5</v>
      </c>
      <c r="V206" s="149">
        <v>29</v>
      </c>
      <c r="Z206" s="1">
        <v>44880</v>
      </c>
      <c r="AA206">
        <v>37.39</v>
      </c>
      <c r="AB206">
        <v>6150</v>
      </c>
      <c r="AC206">
        <v>12011</v>
      </c>
      <c r="AF206" s="1">
        <v>44880</v>
      </c>
      <c r="AG206">
        <v>48.17</v>
      </c>
      <c r="AJ206" s="156">
        <f t="shared" si="3"/>
        <v>0.22379074112518166</v>
      </c>
    </row>
    <row r="207" spans="1:36" x14ac:dyDescent="0.3">
      <c r="A207" s="152">
        <v>44998</v>
      </c>
      <c r="B207" s="153">
        <v>67</v>
      </c>
      <c r="C207" s="153">
        <v>67.599999999999994</v>
      </c>
      <c r="D207" s="153">
        <v>64.5</v>
      </c>
      <c r="E207" s="153">
        <v>66.7</v>
      </c>
      <c r="F207" s="154">
        <v>183848</v>
      </c>
      <c r="G207" s="155">
        <v>12063822</v>
      </c>
      <c r="H207" s="153">
        <v>141</v>
      </c>
      <c r="I207" s="155"/>
      <c r="J207" s="155"/>
      <c r="K207" s="155"/>
      <c r="L207" s="155"/>
      <c r="M207" s="155"/>
      <c r="N207" s="155"/>
      <c r="O207" s="148">
        <v>44998</v>
      </c>
      <c r="P207" s="149">
        <v>58.2</v>
      </c>
      <c r="Q207" s="149">
        <v>59</v>
      </c>
      <c r="R207" s="149">
        <v>58</v>
      </c>
      <c r="S207" s="149">
        <v>58.2</v>
      </c>
      <c r="T207" s="150">
        <v>73038</v>
      </c>
      <c r="U207" s="151">
        <v>4241742.4000000004</v>
      </c>
      <c r="V207" s="149">
        <v>62</v>
      </c>
      <c r="Z207" s="1">
        <v>44879</v>
      </c>
      <c r="AA207">
        <v>37.68</v>
      </c>
      <c r="AB207">
        <v>2489</v>
      </c>
      <c r="AC207">
        <v>11803</v>
      </c>
      <c r="AF207" s="1">
        <v>44879</v>
      </c>
      <c r="AG207">
        <v>48.07</v>
      </c>
      <c r="AJ207" s="156">
        <f t="shared" si="3"/>
        <v>0.21614312460994384</v>
      </c>
    </row>
    <row r="208" spans="1:36" x14ac:dyDescent="0.3">
      <c r="A208" s="152">
        <v>44995</v>
      </c>
      <c r="B208" s="153">
        <v>69</v>
      </c>
      <c r="C208" s="153">
        <v>69</v>
      </c>
      <c r="D208" s="153">
        <v>66</v>
      </c>
      <c r="E208" s="153">
        <v>67</v>
      </c>
      <c r="F208" s="154">
        <v>65959</v>
      </c>
      <c r="G208" s="155">
        <v>4458239.0999999996</v>
      </c>
      <c r="H208" s="153">
        <v>137</v>
      </c>
      <c r="I208" s="155"/>
      <c r="J208" s="155"/>
      <c r="K208" s="155"/>
      <c r="L208" s="155"/>
      <c r="M208" s="155"/>
      <c r="N208" s="155"/>
      <c r="O208" s="148">
        <v>44995</v>
      </c>
      <c r="P208" s="149">
        <v>60</v>
      </c>
      <c r="Q208" s="149">
        <v>60</v>
      </c>
      <c r="R208" s="149">
        <v>59</v>
      </c>
      <c r="S208" s="149">
        <v>59.5</v>
      </c>
      <c r="T208" s="150">
        <v>9981</v>
      </c>
      <c r="U208" s="151">
        <v>593637</v>
      </c>
      <c r="V208" s="149">
        <v>22</v>
      </c>
      <c r="Z208" s="1">
        <v>44876</v>
      </c>
      <c r="AA208">
        <v>38.33</v>
      </c>
      <c r="AB208">
        <v>11811</v>
      </c>
      <c r="AC208">
        <v>12176</v>
      </c>
      <c r="AF208" s="1">
        <v>44876</v>
      </c>
      <c r="AG208">
        <v>47.6</v>
      </c>
      <c r="AJ208" s="156">
        <f t="shared" si="3"/>
        <v>0.19474789915966392</v>
      </c>
    </row>
    <row r="209" spans="1:36" x14ac:dyDescent="0.3">
      <c r="A209" s="152">
        <v>44994</v>
      </c>
      <c r="B209" s="153">
        <v>71</v>
      </c>
      <c r="C209" s="153">
        <v>71</v>
      </c>
      <c r="D209" s="153">
        <v>68.8</v>
      </c>
      <c r="E209" s="153">
        <v>69.099999999999994</v>
      </c>
      <c r="F209" s="154">
        <v>83858</v>
      </c>
      <c r="G209" s="155">
        <v>5801391.5</v>
      </c>
      <c r="H209" s="153">
        <v>126</v>
      </c>
      <c r="I209" s="155"/>
      <c r="J209" s="155"/>
      <c r="K209" s="155"/>
      <c r="L209" s="155"/>
      <c r="M209" s="155"/>
      <c r="N209" s="155"/>
      <c r="O209" s="148">
        <v>44994</v>
      </c>
      <c r="P209" s="149">
        <v>60</v>
      </c>
      <c r="Q209" s="149">
        <v>61.9</v>
      </c>
      <c r="R209" s="149">
        <v>58.1</v>
      </c>
      <c r="S209" s="149">
        <v>59.9</v>
      </c>
      <c r="T209" s="150">
        <v>12928</v>
      </c>
      <c r="U209" s="151">
        <v>780970.4</v>
      </c>
      <c r="V209" s="149">
        <v>78</v>
      </c>
      <c r="Z209" s="1">
        <v>44875</v>
      </c>
      <c r="AA209">
        <v>37.299999999999997</v>
      </c>
      <c r="AB209">
        <v>91</v>
      </c>
      <c r="AC209">
        <v>15672</v>
      </c>
      <c r="AF209" s="1">
        <v>44875</v>
      </c>
      <c r="AG209">
        <v>47.22</v>
      </c>
      <c r="AJ209" s="156">
        <f t="shared" si="3"/>
        <v>0.21008047437526475</v>
      </c>
    </row>
    <row r="210" spans="1:36" x14ac:dyDescent="0.3">
      <c r="A210" s="152">
        <v>44993</v>
      </c>
      <c r="B210" s="153">
        <v>71.900000000000006</v>
      </c>
      <c r="C210" s="153">
        <v>71.900000000000006</v>
      </c>
      <c r="D210" s="153">
        <v>69.099999999999994</v>
      </c>
      <c r="E210" s="153">
        <v>70.099999999999994</v>
      </c>
      <c r="F210" s="154">
        <v>347603</v>
      </c>
      <c r="G210" s="155">
        <v>24752154.600000001</v>
      </c>
      <c r="H210" s="153">
        <v>313</v>
      </c>
      <c r="I210" s="155"/>
      <c r="J210" s="155"/>
      <c r="K210" s="155"/>
      <c r="L210" s="155"/>
      <c r="M210" s="155"/>
      <c r="N210" s="155"/>
      <c r="O210" s="148">
        <v>44993</v>
      </c>
      <c r="P210" s="149">
        <v>61</v>
      </c>
      <c r="Q210" s="149">
        <v>62</v>
      </c>
      <c r="R210" s="149">
        <v>59.3</v>
      </c>
      <c r="S210" s="149">
        <v>60.2</v>
      </c>
      <c r="T210" s="150">
        <v>210590</v>
      </c>
      <c r="U210" s="151">
        <v>12829476.4</v>
      </c>
      <c r="V210" s="149">
        <v>113</v>
      </c>
      <c r="Z210" s="1">
        <v>44874</v>
      </c>
      <c r="AA210">
        <v>37.299999999999997</v>
      </c>
      <c r="AB210">
        <v>47677</v>
      </c>
      <c r="AC210">
        <v>15817</v>
      </c>
      <c r="AF210" s="1">
        <v>44874</v>
      </c>
      <c r="AG210">
        <v>46.65</v>
      </c>
      <c r="AJ210" s="156">
        <f t="shared" si="3"/>
        <v>0.20042872454448021</v>
      </c>
    </row>
    <row r="211" spans="1:36" x14ac:dyDescent="0.3">
      <c r="A211" s="152">
        <v>44992</v>
      </c>
      <c r="B211" s="153">
        <v>70</v>
      </c>
      <c r="C211" s="153">
        <v>71.400000000000006</v>
      </c>
      <c r="D211" s="153">
        <v>69.2</v>
      </c>
      <c r="E211" s="153">
        <v>70.3</v>
      </c>
      <c r="F211" s="154">
        <v>708334</v>
      </c>
      <c r="G211" s="155">
        <v>49664546.5</v>
      </c>
      <c r="H211" s="153">
        <v>383</v>
      </c>
      <c r="I211" s="155"/>
      <c r="J211" s="155"/>
      <c r="K211" s="155"/>
      <c r="L211" s="155"/>
      <c r="M211" s="155"/>
      <c r="N211" s="155"/>
      <c r="O211" s="148">
        <v>44992</v>
      </c>
      <c r="P211" s="149">
        <v>59</v>
      </c>
      <c r="Q211" s="149">
        <v>62</v>
      </c>
      <c r="R211" s="149">
        <v>59</v>
      </c>
      <c r="S211" s="149">
        <v>61</v>
      </c>
      <c r="T211" s="150">
        <v>721510</v>
      </c>
      <c r="U211" s="151">
        <v>43400229.799999997</v>
      </c>
      <c r="V211" s="149">
        <v>202</v>
      </c>
      <c r="Z211" s="1">
        <v>44873</v>
      </c>
      <c r="AA211">
        <v>37.49</v>
      </c>
      <c r="AB211">
        <v>21543</v>
      </c>
      <c r="AC211">
        <v>12860</v>
      </c>
      <c r="AF211" s="1">
        <v>44873</v>
      </c>
      <c r="AG211">
        <v>46.28</v>
      </c>
      <c r="AJ211" s="156">
        <f t="shared" si="3"/>
        <v>0.18993085566119272</v>
      </c>
    </row>
    <row r="212" spans="1:36" x14ac:dyDescent="0.3">
      <c r="A212" s="152">
        <v>44988</v>
      </c>
      <c r="B212" s="153">
        <v>68</v>
      </c>
      <c r="C212" s="153">
        <v>70.400000000000006</v>
      </c>
      <c r="D212" s="153">
        <v>68</v>
      </c>
      <c r="E212" s="153">
        <v>69</v>
      </c>
      <c r="F212" s="154">
        <v>579021</v>
      </c>
      <c r="G212" s="155">
        <v>40058082.799999997</v>
      </c>
      <c r="H212" s="153">
        <v>325</v>
      </c>
      <c r="I212" s="155"/>
      <c r="J212" s="155"/>
      <c r="K212" s="155"/>
      <c r="L212" s="155"/>
      <c r="M212" s="155"/>
      <c r="N212" s="155"/>
      <c r="O212" s="148">
        <v>44988</v>
      </c>
      <c r="P212" s="149">
        <v>56.5</v>
      </c>
      <c r="Q212" s="149">
        <v>59.5</v>
      </c>
      <c r="R212" s="149">
        <v>56.5</v>
      </c>
      <c r="S212" s="149">
        <v>59.3</v>
      </c>
      <c r="T212" s="150">
        <v>65649</v>
      </c>
      <c r="U212" s="151">
        <v>3860323.6</v>
      </c>
      <c r="V212" s="149">
        <v>125</v>
      </c>
      <c r="Z212" s="1">
        <v>44869</v>
      </c>
      <c r="AA212">
        <v>37.58</v>
      </c>
      <c r="AB212">
        <v>670</v>
      </c>
      <c r="AC212">
        <v>15049</v>
      </c>
      <c r="AF212" s="1">
        <v>44869</v>
      </c>
      <c r="AG212">
        <v>47.22</v>
      </c>
      <c r="AJ212" s="156">
        <f t="shared" si="3"/>
        <v>0.20415078356628549</v>
      </c>
    </row>
    <row r="213" spans="1:36" x14ac:dyDescent="0.3">
      <c r="A213" s="152">
        <v>44987</v>
      </c>
      <c r="B213" s="153">
        <v>65.900000000000006</v>
      </c>
      <c r="C213" s="153">
        <v>67</v>
      </c>
      <c r="D213" s="153">
        <v>64.900000000000006</v>
      </c>
      <c r="E213" s="153">
        <v>67</v>
      </c>
      <c r="F213" s="154">
        <v>2242266</v>
      </c>
      <c r="G213" s="155">
        <v>148534706.19999999</v>
      </c>
      <c r="H213" s="153">
        <v>198</v>
      </c>
      <c r="I213" s="155"/>
      <c r="J213" s="155"/>
      <c r="K213" s="155"/>
      <c r="L213" s="155"/>
      <c r="M213" s="155"/>
      <c r="N213" s="155"/>
      <c r="O213" s="148">
        <v>44987</v>
      </c>
      <c r="P213" s="149">
        <v>53.5</v>
      </c>
      <c r="Q213" s="149">
        <v>56</v>
      </c>
      <c r="R213" s="149">
        <v>53.1</v>
      </c>
      <c r="S213" s="149">
        <v>55.4</v>
      </c>
      <c r="T213" s="150">
        <v>52874</v>
      </c>
      <c r="U213" s="151">
        <v>2907961.7</v>
      </c>
      <c r="V213" s="149">
        <v>68</v>
      </c>
      <c r="Z213" s="1">
        <v>44868</v>
      </c>
      <c r="AA213">
        <v>37.58</v>
      </c>
      <c r="AB213">
        <v>1379</v>
      </c>
      <c r="AC213">
        <v>16408</v>
      </c>
      <c r="AF213" s="1">
        <v>44868</v>
      </c>
      <c r="AG213">
        <v>47.22</v>
      </c>
      <c r="AJ213" s="156">
        <f t="shared" si="3"/>
        <v>0.20415078356628549</v>
      </c>
    </row>
    <row r="214" spans="1:36" x14ac:dyDescent="0.3">
      <c r="A214" s="152">
        <v>44986</v>
      </c>
      <c r="B214" s="153">
        <v>64.900000000000006</v>
      </c>
      <c r="C214" s="153">
        <v>65.5</v>
      </c>
      <c r="D214" s="153">
        <v>64.7</v>
      </c>
      <c r="E214" s="153">
        <v>65</v>
      </c>
      <c r="F214" s="154">
        <v>148619</v>
      </c>
      <c r="G214" s="155">
        <v>9661694</v>
      </c>
      <c r="H214" s="153">
        <v>105</v>
      </c>
      <c r="I214" s="155"/>
      <c r="J214" s="155"/>
      <c r="K214" s="155"/>
      <c r="L214" s="155"/>
      <c r="M214" s="155"/>
      <c r="N214" s="155"/>
      <c r="O214" s="148">
        <v>44986</v>
      </c>
      <c r="P214" s="149">
        <v>53</v>
      </c>
      <c r="Q214" s="149">
        <v>53.8</v>
      </c>
      <c r="R214" s="149">
        <v>52.9</v>
      </c>
      <c r="S214" s="149">
        <v>53.1</v>
      </c>
      <c r="T214" s="150">
        <v>10761</v>
      </c>
      <c r="U214" s="151">
        <v>571490.80000000005</v>
      </c>
      <c r="V214" s="149">
        <v>46</v>
      </c>
      <c r="Z214" s="1">
        <v>44867</v>
      </c>
      <c r="AA214">
        <v>37.68</v>
      </c>
      <c r="AB214">
        <v>1684</v>
      </c>
      <c r="AC214">
        <v>20139</v>
      </c>
      <c r="AF214" s="1">
        <v>44867</v>
      </c>
      <c r="AG214">
        <v>47.22</v>
      </c>
      <c r="AJ214" s="156">
        <f t="shared" si="3"/>
        <v>0.20203303684879287</v>
      </c>
    </row>
    <row r="215" spans="1:36" x14ac:dyDescent="0.3">
      <c r="A215" s="152">
        <v>44985</v>
      </c>
      <c r="B215" s="153">
        <v>65</v>
      </c>
      <c r="C215" s="153">
        <v>66</v>
      </c>
      <c r="D215" s="153">
        <v>64.900000000000006</v>
      </c>
      <c r="E215" s="153">
        <v>65</v>
      </c>
      <c r="F215" s="154">
        <v>345869</v>
      </c>
      <c r="G215" s="155">
        <v>22486379.699999999</v>
      </c>
      <c r="H215" s="153">
        <v>95</v>
      </c>
      <c r="I215" s="155"/>
      <c r="J215" s="155"/>
      <c r="K215" s="155"/>
      <c r="L215" s="155"/>
      <c r="M215" s="155"/>
      <c r="N215" s="155"/>
      <c r="O215" s="148">
        <v>44985</v>
      </c>
      <c r="P215" s="149">
        <v>52.8</v>
      </c>
      <c r="Q215" s="149">
        <v>53.9</v>
      </c>
      <c r="R215" s="149">
        <v>52</v>
      </c>
      <c r="S215" s="149">
        <v>53.4</v>
      </c>
      <c r="T215" s="150">
        <v>16295</v>
      </c>
      <c r="U215" s="151">
        <v>857855.8</v>
      </c>
      <c r="V215" s="149">
        <v>46</v>
      </c>
      <c r="Z215" s="1">
        <v>44866</v>
      </c>
      <c r="AA215">
        <v>38.049999999999997</v>
      </c>
      <c r="AB215">
        <v>13509</v>
      </c>
      <c r="AC215">
        <v>21127</v>
      </c>
      <c r="AF215" s="1">
        <v>44866</v>
      </c>
      <c r="AG215">
        <v>47.22</v>
      </c>
      <c r="AJ215" s="156">
        <f t="shared" si="3"/>
        <v>0.19419737399407036</v>
      </c>
    </row>
    <row r="216" spans="1:36" x14ac:dyDescent="0.3">
      <c r="A216" s="152">
        <v>44984</v>
      </c>
      <c r="B216" s="153">
        <v>68.900000000000006</v>
      </c>
      <c r="C216" s="153">
        <v>68.900000000000006</v>
      </c>
      <c r="D216" s="153">
        <v>63.5</v>
      </c>
      <c r="E216" s="153">
        <v>65</v>
      </c>
      <c r="F216" s="154">
        <v>351060</v>
      </c>
      <c r="G216" s="155">
        <v>22854674</v>
      </c>
      <c r="H216" s="153">
        <v>188</v>
      </c>
      <c r="I216" s="155"/>
      <c r="J216" s="155"/>
      <c r="K216" s="155"/>
      <c r="L216" s="155"/>
      <c r="M216" s="155"/>
      <c r="N216" s="155"/>
      <c r="O216" s="148">
        <v>44984</v>
      </c>
      <c r="P216" s="149">
        <v>58</v>
      </c>
      <c r="Q216" s="149">
        <v>58</v>
      </c>
      <c r="R216" s="149">
        <v>52</v>
      </c>
      <c r="S216" s="149">
        <v>53</v>
      </c>
      <c r="T216" s="150">
        <v>80749</v>
      </c>
      <c r="U216" s="151">
        <v>4319577.9000000004</v>
      </c>
      <c r="V216" s="149">
        <v>146</v>
      </c>
      <c r="Z216" s="1">
        <v>44865</v>
      </c>
      <c r="AA216">
        <v>37.49</v>
      </c>
      <c r="AB216">
        <v>4252</v>
      </c>
      <c r="AC216">
        <v>25990</v>
      </c>
      <c r="AF216" s="1">
        <v>44865</v>
      </c>
      <c r="AG216">
        <v>47.41</v>
      </c>
      <c r="AJ216" s="156">
        <f t="shared" si="3"/>
        <v>0.20923855726639939</v>
      </c>
    </row>
    <row r="217" spans="1:36" x14ac:dyDescent="0.3">
      <c r="A217" s="152">
        <v>44981</v>
      </c>
      <c r="B217" s="153">
        <v>66</v>
      </c>
      <c r="C217" s="153">
        <v>69</v>
      </c>
      <c r="D217" s="153">
        <v>65.5</v>
      </c>
      <c r="E217" s="153">
        <v>66.099999999999994</v>
      </c>
      <c r="F217" s="154">
        <v>877090</v>
      </c>
      <c r="G217" s="155">
        <v>57757066.799999997</v>
      </c>
      <c r="H217" s="153">
        <v>212</v>
      </c>
      <c r="I217" s="155"/>
      <c r="J217" s="155"/>
      <c r="K217" s="155"/>
      <c r="L217" s="155"/>
      <c r="M217" s="155"/>
      <c r="N217" s="155"/>
      <c r="O217" s="148">
        <v>44981</v>
      </c>
      <c r="P217" s="149">
        <v>55</v>
      </c>
      <c r="Q217" s="149">
        <v>58</v>
      </c>
      <c r="R217" s="149">
        <v>55</v>
      </c>
      <c r="S217" s="149">
        <v>57.1</v>
      </c>
      <c r="T217" s="150">
        <v>57566</v>
      </c>
      <c r="U217" s="151">
        <v>3258062</v>
      </c>
      <c r="V217" s="149">
        <v>97</v>
      </c>
      <c r="Z217" s="1">
        <v>44862</v>
      </c>
      <c r="AA217">
        <v>37.49</v>
      </c>
      <c r="AB217">
        <v>1076</v>
      </c>
      <c r="AC217">
        <v>28004</v>
      </c>
      <c r="AF217" s="1">
        <v>44862</v>
      </c>
      <c r="AG217">
        <v>47.32</v>
      </c>
      <c r="AJ217" s="156">
        <f t="shared" si="3"/>
        <v>0.20773457311918847</v>
      </c>
    </row>
    <row r="218" spans="1:36" x14ac:dyDescent="0.3">
      <c r="A218" s="152">
        <v>44980</v>
      </c>
      <c r="B218" s="153">
        <v>64</v>
      </c>
      <c r="C218" s="153">
        <v>66</v>
      </c>
      <c r="D218" s="153">
        <v>63.9</v>
      </c>
      <c r="E218" s="153">
        <v>65</v>
      </c>
      <c r="F218" s="154">
        <v>136272</v>
      </c>
      <c r="G218" s="155">
        <v>8860205.0999999996</v>
      </c>
      <c r="H218" s="153">
        <v>90</v>
      </c>
      <c r="I218" s="155"/>
      <c r="J218" s="155"/>
      <c r="K218" s="155"/>
      <c r="L218" s="155"/>
      <c r="M218" s="155"/>
      <c r="N218" s="155"/>
      <c r="O218" s="148">
        <v>44980</v>
      </c>
      <c r="P218" s="149">
        <v>54.5</v>
      </c>
      <c r="Q218" s="149">
        <v>55.1</v>
      </c>
      <c r="R218" s="149">
        <v>54</v>
      </c>
      <c r="S218" s="149">
        <v>54.9</v>
      </c>
      <c r="T218" s="150">
        <v>26730</v>
      </c>
      <c r="U218" s="151">
        <v>1466260.3</v>
      </c>
      <c r="V218" s="149">
        <v>47</v>
      </c>
      <c r="Z218" s="1">
        <v>44861</v>
      </c>
      <c r="AA218">
        <v>37.770000000000003</v>
      </c>
      <c r="AB218">
        <v>11328</v>
      </c>
      <c r="AC218">
        <v>31091</v>
      </c>
      <c r="AF218" s="1">
        <v>44861</v>
      </c>
      <c r="AG218">
        <v>47.32</v>
      </c>
      <c r="AJ218" s="156">
        <f t="shared" si="3"/>
        <v>0.20181741335587483</v>
      </c>
    </row>
    <row r="219" spans="1:36" x14ac:dyDescent="0.3">
      <c r="A219" s="152">
        <v>44979</v>
      </c>
      <c r="B219" s="153">
        <v>65</v>
      </c>
      <c r="C219" s="153">
        <v>69</v>
      </c>
      <c r="D219" s="153">
        <v>64</v>
      </c>
      <c r="E219" s="153">
        <v>64.599999999999994</v>
      </c>
      <c r="F219" s="154">
        <v>95310</v>
      </c>
      <c r="G219" s="155">
        <v>6232625.2999999998</v>
      </c>
      <c r="H219" s="153">
        <v>146</v>
      </c>
      <c r="I219" s="155"/>
      <c r="J219" s="155"/>
      <c r="K219" s="155"/>
      <c r="L219" s="155"/>
      <c r="M219" s="155"/>
      <c r="N219" s="155"/>
      <c r="O219" s="148">
        <v>44979</v>
      </c>
      <c r="P219" s="149">
        <v>53.2</v>
      </c>
      <c r="Q219" s="149">
        <v>54.6</v>
      </c>
      <c r="R219" s="149">
        <v>53</v>
      </c>
      <c r="S219" s="149">
        <v>53.6</v>
      </c>
      <c r="T219" s="150">
        <v>44006</v>
      </c>
      <c r="U219" s="151">
        <v>2382493.9</v>
      </c>
      <c r="V219" s="149">
        <v>55</v>
      </c>
      <c r="Z219" s="1">
        <v>44860</v>
      </c>
      <c r="AA219">
        <v>38.33</v>
      </c>
      <c r="AB219">
        <v>5256</v>
      </c>
      <c r="AC219">
        <v>32548</v>
      </c>
      <c r="AF219" s="1">
        <v>44860</v>
      </c>
      <c r="AG219">
        <v>47.13</v>
      </c>
      <c r="AJ219" s="156">
        <f t="shared" si="3"/>
        <v>0.18671758964566101</v>
      </c>
    </row>
    <row r="220" spans="1:36" x14ac:dyDescent="0.3">
      <c r="A220" s="152">
        <v>44978</v>
      </c>
      <c r="B220" s="153">
        <v>65</v>
      </c>
      <c r="C220" s="153">
        <v>66</v>
      </c>
      <c r="D220" s="153">
        <v>63</v>
      </c>
      <c r="E220" s="153">
        <v>64.599999999999994</v>
      </c>
      <c r="F220" s="154">
        <v>334707</v>
      </c>
      <c r="G220" s="155">
        <v>21511354.199999999</v>
      </c>
      <c r="H220" s="153">
        <v>186</v>
      </c>
      <c r="I220" s="155"/>
      <c r="J220" s="155"/>
      <c r="K220" s="155"/>
      <c r="L220" s="155"/>
      <c r="M220" s="155"/>
      <c r="N220" s="155"/>
      <c r="O220" s="148">
        <v>44978</v>
      </c>
      <c r="P220" s="149">
        <v>52</v>
      </c>
      <c r="Q220" s="149">
        <v>53.9</v>
      </c>
      <c r="R220" s="149">
        <v>51.1</v>
      </c>
      <c r="S220" s="149">
        <v>53.1</v>
      </c>
      <c r="T220" s="150">
        <v>22743</v>
      </c>
      <c r="U220" s="151">
        <v>1199890.7</v>
      </c>
      <c r="V220" s="149">
        <v>56</v>
      </c>
      <c r="Z220" s="1">
        <v>44859</v>
      </c>
      <c r="AA220">
        <v>37.299999999999997</v>
      </c>
      <c r="AB220">
        <v>51255</v>
      </c>
      <c r="AC220">
        <v>33772</v>
      </c>
      <c r="AF220" s="1">
        <v>44859</v>
      </c>
      <c r="AG220">
        <v>47.22</v>
      </c>
      <c r="AJ220" s="156">
        <f t="shared" si="3"/>
        <v>0.21008047437526475</v>
      </c>
    </row>
    <row r="221" spans="1:36" x14ac:dyDescent="0.3">
      <c r="A221" s="152">
        <v>44977</v>
      </c>
      <c r="B221" s="153">
        <v>62.7</v>
      </c>
      <c r="C221" s="153">
        <v>70</v>
      </c>
      <c r="D221" s="153">
        <v>62.7</v>
      </c>
      <c r="E221" s="153">
        <v>65.3</v>
      </c>
      <c r="F221" s="154">
        <v>322034</v>
      </c>
      <c r="G221" s="155">
        <v>21101319.5</v>
      </c>
      <c r="H221" s="153">
        <v>303</v>
      </c>
      <c r="I221" s="155"/>
      <c r="J221" s="155"/>
      <c r="K221" s="155"/>
      <c r="L221" s="155"/>
      <c r="M221" s="155"/>
      <c r="N221" s="155"/>
      <c r="O221" s="148">
        <v>44977</v>
      </c>
      <c r="P221" s="149">
        <v>51</v>
      </c>
      <c r="Q221" s="149">
        <v>54.4</v>
      </c>
      <c r="R221" s="149">
        <v>49.2</v>
      </c>
      <c r="S221" s="149">
        <v>52</v>
      </c>
      <c r="T221" s="150">
        <v>180843</v>
      </c>
      <c r="U221" s="151">
        <v>9538305.5999999996</v>
      </c>
      <c r="V221" s="149">
        <v>174</v>
      </c>
      <c r="Z221" s="1">
        <v>44855</v>
      </c>
      <c r="AA221">
        <v>38.42</v>
      </c>
      <c r="AB221">
        <v>3023</v>
      </c>
      <c r="AC221">
        <v>31525</v>
      </c>
      <c r="AF221" s="1">
        <v>44855</v>
      </c>
      <c r="AG221">
        <v>47.41</v>
      </c>
      <c r="AJ221" s="156">
        <f t="shared" si="3"/>
        <v>0.18962244252267443</v>
      </c>
    </row>
    <row r="222" spans="1:36" x14ac:dyDescent="0.3">
      <c r="A222" s="152">
        <v>44974</v>
      </c>
      <c r="B222" s="153">
        <v>62</v>
      </c>
      <c r="C222" s="153">
        <v>64</v>
      </c>
      <c r="D222" s="153">
        <v>61.5</v>
      </c>
      <c r="E222" s="153">
        <v>62.5</v>
      </c>
      <c r="F222" s="154">
        <v>421861</v>
      </c>
      <c r="G222" s="155">
        <v>26259667.899999999</v>
      </c>
      <c r="H222" s="153">
        <v>176</v>
      </c>
      <c r="I222" s="155"/>
      <c r="J222" s="155"/>
      <c r="K222" s="155"/>
      <c r="L222" s="155"/>
      <c r="M222" s="155"/>
      <c r="N222" s="155"/>
      <c r="O222" s="148">
        <v>44974</v>
      </c>
      <c r="P222" s="149">
        <v>47</v>
      </c>
      <c r="Q222" s="149">
        <v>50</v>
      </c>
      <c r="R222" s="149">
        <v>47</v>
      </c>
      <c r="S222" s="149">
        <v>49</v>
      </c>
      <c r="T222" s="150">
        <v>222539</v>
      </c>
      <c r="U222" s="151">
        <v>10912976.4</v>
      </c>
      <c r="V222" s="149">
        <v>46</v>
      </c>
      <c r="Z222" s="1">
        <v>44854</v>
      </c>
      <c r="AA222">
        <v>37.58</v>
      </c>
      <c r="AB222">
        <v>8084</v>
      </c>
      <c r="AC222">
        <v>34826</v>
      </c>
      <c r="AF222" s="1">
        <v>44854</v>
      </c>
      <c r="AG222">
        <v>47.22</v>
      </c>
      <c r="AJ222" s="156">
        <f t="shared" si="3"/>
        <v>0.20415078356628549</v>
      </c>
    </row>
    <row r="223" spans="1:36" x14ac:dyDescent="0.3">
      <c r="A223" s="152">
        <v>44973</v>
      </c>
      <c r="B223" s="153">
        <v>59</v>
      </c>
      <c r="C223" s="153">
        <v>62</v>
      </c>
      <c r="D223" s="153">
        <v>58</v>
      </c>
      <c r="E223" s="153">
        <v>60.3</v>
      </c>
      <c r="F223" s="154">
        <v>34909</v>
      </c>
      <c r="G223" s="155">
        <v>2105092.1</v>
      </c>
      <c r="H223" s="153">
        <v>118</v>
      </c>
      <c r="I223" s="155"/>
      <c r="J223" s="155"/>
      <c r="K223" s="155"/>
      <c r="L223" s="155"/>
      <c r="M223" s="155"/>
      <c r="N223" s="155"/>
      <c r="O223" s="148">
        <v>44973</v>
      </c>
      <c r="P223" s="149">
        <v>46.2</v>
      </c>
      <c r="Q223" s="149">
        <v>48.6</v>
      </c>
      <c r="R223" s="149">
        <v>46.2</v>
      </c>
      <c r="S223" s="149">
        <v>48.3</v>
      </c>
      <c r="T223" s="150">
        <v>13975</v>
      </c>
      <c r="U223" s="151">
        <v>666315.1</v>
      </c>
      <c r="V223" s="149">
        <v>26</v>
      </c>
      <c r="Z223" s="1">
        <v>44853</v>
      </c>
      <c r="AA223">
        <v>37.49</v>
      </c>
      <c r="AB223">
        <v>64256</v>
      </c>
      <c r="AC223">
        <v>38830</v>
      </c>
      <c r="AF223" s="1">
        <v>44853</v>
      </c>
      <c r="AG223">
        <v>47.5</v>
      </c>
      <c r="AJ223" s="156">
        <f t="shared" si="3"/>
        <v>0.21073684210526311</v>
      </c>
    </row>
    <row r="224" spans="1:36" x14ac:dyDescent="0.3">
      <c r="A224" s="152">
        <v>44972</v>
      </c>
      <c r="B224" s="153">
        <v>59</v>
      </c>
      <c r="C224" s="153">
        <v>60.4</v>
      </c>
      <c r="D224" s="153">
        <v>58</v>
      </c>
      <c r="E224" s="153">
        <v>58.5</v>
      </c>
      <c r="F224" s="154">
        <v>8527</v>
      </c>
      <c r="G224" s="155">
        <v>503109</v>
      </c>
      <c r="H224" s="153">
        <v>48</v>
      </c>
      <c r="I224" s="155"/>
      <c r="J224" s="155"/>
      <c r="K224" s="155"/>
      <c r="L224" s="155"/>
      <c r="M224" s="155"/>
      <c r="N224" s="155"/>
      <c r="O224" s="148">
        <v>44972</v>
      </c>
      <c r="P224" s="149">
        <v>47.4</v>
      </c>
      <c r="Q224" s="149">
        <v>47.4</v>
      </c>
      <c r="R224" s="149">
        <v>46.1</v>
      </c>
      <c r="S224" s="149">
        <v>47</v>
      </c>
      <c r="T224" s="150">
        <v>4851</v>
      </c>
      <c r="U224" s="151">
        <v>225202</v>
      </c>
      <c r="V224" s="149">
        <v>6</v>
      </c>
      <c r="Z224" s="1">
        <v>44852</v>
      </c>
      <c r="AA224">
        <v>38.520000000000003</v>
      </c>
      <c r="AB224">
        <v>2268</v>
      </c>
      <c r="AC224">
        <v>39337</v>
      </c>
      <c r="AF224" s="1">
        <v>44852</v>
      </c>
      <c r="AG224">
        <v>47.22</v>
      </c>
      <c r="AJ224" s="156">
        <f t="shared" si="3"/>
        <v>0.18424396442185506</v>
      </c>
    </row>
    <row r="225" spans="1:36" x14ac:dyDescent="0.3">
      <c r="A225" s="152">
        <v>44971</v>
      </c>
      <c r="B225" s="153">
        <v>60</v>
      </c>
      <c r="C225" s="153">
        <v>61.6</v>
      </c>
      <c r="D225" s="153">
        <v>58</v>
      </c>
      <c r="E225" s="153">
        <v>58.6</v>
      </c>
      <c r="F225" s="154">
        <v>32685</v>
      </c>
      <c r="G225" s="155">
        <v>1921015.9</v>
      </c>
      <c r="H225" s="153">
        <v>110</v>
      </c>
      <c r="I225" s="155"/>
      <c r="J225" s="155"/>
      <c r="K225" s="155"/>
      <c r="L225" s="155"/>
      <c r="M225" s="155"/>
      <c r="N225" s="155"/>
      <c r="O225" s="148">
        <v>44971</v>
      </c>
      <c r="P225" s="149">
        <v>48.2</v>
      </c>
      <c r="Q225" s="149">
        <v>48.2</v>
      </c>
      <c r="R225" s="149">
        <v>46.5</v>
      </c>
      <c r="S225" s="149">
        <v>46.8</v>
      </c>
      <c r="T225" s="150">
        <v>5802</v>
      </c>
      <c r="U225" s="151">
        <v>272196.7</v>
      </c>
      <c r="V225" s="149">
        <v>38</v>
      </c>
      <c r="Z225" s="1">
        <v>44851</v>
      </c>
      <c r="AA225">
        <v>38.979999999999997</v>
      </c>
      <c r="AB225">
        <v>3312</v>
      </c>
      <c r="AC225">
        <v>39817</v>
      </c>
      <c r="AF225" s="1">
        <v>44851</v>
      </c>
      <c r="AG225">
        <v>47.98</v>
      </c>
      <c r="AJ225" s="156">
        <f t="shared" si="3"/>
        <v>0.18757815756565235</v>
      </c>
    </row>
    <row r="226" spans="1:36" x14ac:dyDescent="0.3">
      <c r="A226" s="152">
        <v>44970</v>
      </c>
      <c r="B226" s="153">
        <v>61.6</v>
      </c>
      <c r="C226" s="153">
        <v>62</v>
      </c>
      <c r="D226" s="153">
        <v>59.1</v>
      </c>
      <c r="E226" s="153">
        <v>60.1</v>
      </c>
      <c r="F226" s="154">
        <v>20546</v>
      </c>
      <c r="G226" s="155">
        <v>1234983.3</v>
      </c>
      <c r="H226" s="153">
        <v>74</v>
      </c>
      <c r="I226" s="155"/>
      <c r="J226" s="155"/>
      <c r="K226" s="155"/>
      <c r="L226" s="155"/>
      <c r="M226" s="155"/>
      <c r="N226" s="155"/>
      <c r="O226" s="148">
        <v>44970</v>
      </c>
      <c r="P226" s="149">
        <v>49.3</v>
      </c>
      <c r="Q226" s="149">
        <v>49.3</v>
      </c>
      <c r="R226" s="149">
        <v>48</v>
      </c>
      <c r="S226" s="149">
        <v>48.1</v>
      </c>
      <c r="T226" s="150">
        <v>3731</v>
      </c>
      <c r="U226" s="151">
        <v>179919.8</v>
      </c>
      <c r="V226" s="149">
        <v>17</v>
      </c>
      <c r="Z226" s="1">
        <v>44848</v>
      </c>
      <c r="AA226">
        <v>38.33</v>
      </c>
      <c r="AB226">
        <v>54383</v>
      </c>
      <c r="AC226">
        <v>43526</v>
      </c>
      <c r="AF226" s="1">
        <v>44848</v>
      </c>
      <c r="AG226">
        <v>48.17</v>
      </c>
      <c r="AJ226" s="156">
        <f t="shared" si="3"/>
        <v>0.20427652065601004</v>
      </c>
    </row>
    <row r="227" spans="1:36" x14ac:dyDescent="0.3">
      <c r="A227" s="152">
        <v>44967</v>
      </c>
      <c r="B227" s="153">
        <v>61.9</v>
      </c>
      <c r="C227" s="153">
        <v>62</v>
      </c>
      <c r="D227" s="153">
        <v>60.5</v>
      </c>
      <c r="E227" s="153">
        <v>61.6</v>
      </c>
      <c r="F227" s="154">
        <v>41635</v>
      </c>
      <c r="G227" s="155">
        <v>2569904.7000000002</v>
      </c>
      <c r="H227" s="153">
        <v>84</v>
      </c>
      <c r="I227" s="155"/>
      <c r="J227" s="155"/>
      <c r="K227" s="155"/>
      <c r="L227" s="155"/>
      <c r="M227" s="155"/>
      <c r="N227" s="155"/>
      <c r="O227" s="148">
        <v>44967</v>
      </c>
      <c r="P227" s="149">
        <v>49.9</v>
      </c>
      <c r="Q227" s="149">
        <v>49.9</v>
      </c>
      <c r="R227" s="149">
        <v>49</v>
      </c>
      <c r="S227" s="149">
        <v>49.3</v>
      </c>
      <c r="T227" s="150">
        <v>2422</v>
      </c>
      <c r="U227" s="151">
        <v>120078.8</v>
      </c>
      <c r="V227" s="149">
        <v>13</v>
      </c>
      <c r="Z227" s="1">
        <v>44847</v>
      </c>
      <c r="AA227">
        <v>38.33</v>
      </c>
      <c r="AB227">
        <v>21055</v>
      </c>
      <c r="AC227">
        <v>43810</v>
      </c>
      <c r="AF227" s="1">
        <v>44847</v>
      </c>
      <c r="AG227">
        <v>48.17</v>
      </c>
      <c r="AJ227" s="156">
        <f t="shared" si="3"/>
        <v>0.20427652065601004</v>
      </c>
    </row>
    <row r="228" spans="1:36" x14ac:dyDescent="0.3">
      <c r="A228" s="152">
        <v>44966</v>
      </c>
      <c r="B228" s="153">
        <v>61.1</v>
      </c>
      <c r="C228" s="153">
        <v>62</v>
      </c>
      <c r="D228" s="153">
        <v>60</v>
      </c>
      <c r="E228" s="153">
        <v>61.5</v>
      </c>
      <c r="F228" s="154">
        <v>33119</v>
      </c>
      <c r="G228" s="155">
        <v>2027472.2</v>
      </c>
      <c r="H228" s="153">
        <v>76</v>
      </c>
      <c r="I228" s="155"/>
      <c r="J228" s="155"/>
      <c r="K228" s="155"/>
      <c r="L228" s="155"/>
      <c r="M228" s="155"/>
      <c r="N228" s="155"/>
      <c r="O228" s="148">
        <v>44966</v>
      </c>
      <c r="P228" s="149">
        <v>49.9</v>
      </c>
      <c r="Q228" s="149">
        <v>49.9</v>
      </c>
      <c r="R228" s="149">
        <v>48.5</v>
      </c>
      <c r="S228" s="149">
        <v>49.8</v>
      </c>
      <c r="T228" s="150">
        <v>23445</v>
      </c>
      <c r="U228" s="151">
        <v>1149755</v>
      </c>
      <c r="V228" s="149">
        <v>10</v>
      </c>
      <c r="Z228" s="1">
        <v>44846</v>
      </c>
      <c r="AA228">
        <v>37.68</v>
      </c>
      <c r="AB228">
        <v>57339</v>
      </c>
      <c r="AC228">
        <v>44000</v>
      </c>
      <c r="AF228" s="1">
        <v>44846</v>
      </c>
      <c r="AG228">
        <v>48.17</v>
      </c>
      <c r="AJ228" s="156">
        <f t="shared" si="3"/>
        <v>0.21777039651235211</v>
      </c>
    </row>
    <row r="229" spans="1:36" x14ac:dyDescent="0.3">
      <c r="A229" s="152">
        <v>44965</v>
      </c>
      <c r="B229" s="153">
        <v>61.6</v>
      </c>
      <c r="C229" s="153">
        <v>62</v>
      </c>
      <c r="D229" s="153">
        <v>59.1</v>
      </c>
      <c r="E229" s="153">
        <v>61.7</v>
      </c>
      <c r="F229" s="154">
        <v>34195</v>
      </c>
      <c r="G229" s="155">
        <v>2097151.8</v>
      </c>
      <c r="H229" s="153">
        <v>86</v>
      </c>
      <c r="I229" s="155"/>
      <c r="J229" s="155"/>
      <c r="K229" s="155"/>
      <c r="L229" s="155"/>
      <c r="M229" s="155"/>
      <c r="N229" s="155"/>
      <c r="O229" s="148">
        <v>44965</v>
      </c>
      <c r="P229" s="149">
        <v>49.9</v>
      </c>
      <c r="Q229" s="149">
        <v>50</v>
      </c>
      <c r="R229" s="149">
        <v>49.2</v>
      </c>
      <c r="S229" s="149">
        <v>49.8</v>
      </c>
      <c r="T229" s="150">
        <v>12995</v>
      </c>
      <c r="U229" s="151">
        <v>646934.1</v>
      </c>
      <c r="V229" s="149">
        <v>33</v>
      </c>
      <c r="Z229" s="1">
        <v>44845</v>
      </c>
      <c r="AA229">
        <v>37.49</v>
      </c>
      <c r="AB229">
        <v>16504</v>
      </c>
      <c r="AC229">
        <v>42071</v>
      </c>
      <c r="AF229" s="1">
        <v>44845</v>
      </c>
      <c r="AG229">
        <v>48.26</v>
      </c>
      <c r="AJ229" s="156">
        <f t="shared" si="3"/>
        <v>0.22316618317447154</v>
      </c>
    </row>
    <row r="230" spans="1:36" x14ac:dyDescent="0.3">
      <c r="A230" s="152">
        <v>44964</v>
      </c>
      <c r="B230" s="153">
        <v>62</v>
      </c>
      <c r="C230" s="153">
        <v>63</v>
      </c>
      <c r="D230" s="153">
        <v>59</v>
      </c>
      <c r="E230" s="153">
        <v>61.6</v>
      </c>
      <c r="F230" s="154">
        <v>62179</v>
      </c>
      <c r="G230" s="155">
        <v>3773370.1</v>
      </c>
      <c r="H230" s="153">
        <v>167</v>
      </c>
      <c r="I230" s="155"/>
      <c r="J230" s="155"/>
      <c r="K230" s="155"/>
      <c r="L230" s="155"/>
      <c r="M230" s="155"/>
      <c r="N230" s="155"/>
      <c r="O230" s="148">
        <v>44964</v>
      </c>
      <c r="P230" s="149">
        <v>49.7</v>
      </c>
      <c r="Q230" s="149">
        <v>50</v>
      </c>
      <c r="R230" s="149">
        <v>48.3</v>
      </c>
      <c r="S230" s="149">
        <v>49.9</v>
      </c>
      <c r="T230" s="150">
        <v>38841</v>
      </c>
      <c r="U230" s="151">
        <v>1930524.4</v>
      </c>
      <c r="V230" s="149">
        <v>46</v>
      </c>
      <c r="Z230" s="1">
        <v>44841</v>
      </c>
      <c r="AA230">
        <v>37.770000000000003</v>
      </c>
      <c r="AB230">
        <v>86466</v>
      </c>
      <c r="AC230">
        <v>41969</v>
      </c>
      <c r="AF230" s="1">
        <v>44841</v>
      </c>
      <c r="AG230">
        <v>47.79</v>
      </c>
      <c r="AJ230" s="156">
        <f t="shared" si="3"/>
        <v>0.20966729441305704</v>
      </c>
    </row>
    <row r="231" spans="1:36" x14ac:dyDescent="0.3">
      <c r="A231" s="152">
        <v>44963</v>
      </c>
      <c r="B231" s="153">
        <v>64.900000000000006</v>
      </c>
      <c r="C231" s="153">
        <v>65</v>
      </c>
      <c r="D231" s="153">
        <v>60</v>
      </c>
      <c r="E231" s="153">
        <v>61.9</v>
      </c>
      <c r="F231" s="154">
        <v>102916</v>
      </c>
      <c r="G231" s="155">
        <v>6528815.9000000004</v>
      </c>
      <c r="H231" s="153">
        <v>198</v>
      </c>
      <c r="I231" s="155"/>
      <c r="J231" s="155"/>
      <c r="K231" s="155"/>
      <c r="L231" s="155"/>
      <c r="M231" s="155"/>
      <c r="N231" s="155"/>
      <c r="O231" s="148">
        <v>44963</v>
      </c>
      <c r="P231" s="149">
        <v>51.5</v>
      </c>
      <c r="Q231" s="149">
        <v>51.5</v>
      </c>
      <c r="R231" s="149">
        <v>48.2</v>
      </c>
      <c r="S231" s="149">
        <v>49.7</v>
      </c>
      <c r="T231" s="150">
        <v>32149</v>
      </c>
      <c r="U231" s="151">
        <v>1611930.1</v>
      </c>
      <c r="V231" s="149">
        <v>71</v>
      </c>
      <c r="Z231" s="1">
        <v>44840</v>
      </c>
      <c r="AA231">
        <v>38.33</v>
      </c>
      <c r="AB231">
        <v>34449</v>
      </c>
      <c r="AC231">
        <v>41503</v>
      </c>
      <c r="AF231" s="1">
        <v>44840</v>
      </c>
      <c r="AG231">
        <v>48.17</v>
      </c>
      <c r="AJ231" s="156">
        <f t="shared" si="3"/>
        <v>0.20427652065601004</v>
      </c>
    </row>
    <row r="232" spans="1:36" x14ac:dyDescent="0.3">
      <c r="A232" s="152">
        <v>44960</v>
      </c>
      <c r="B232" s="153">
        <v>62</v>
      </c>
      <c r="C232" s="153">
        <v>65</v>
      </c>
      <c r="D232" s="153">
        <v>62</v>
      </c>
      <c r="E232" s="153">
        <v>64.5</v>
      </c>
      <c r="F232" s="154">
        <v>245321</v>
      </c>
      <c r="G232" s="155">
        <v>15694222.300000001</v>
      </c>
      <c r="H232" s="153">
        <v>313</v>
      </c>
      <c r="I232" s="155"/>
      <c r="J232" s="155"/>
      <c r="K232" s="155"/>
      <c r="L232" s="155"/>
      <c r="M232" s="155"/>
      <c r="N232" s="155"/>
      <c r="O232" s="148">
        <v>44960</v>
      </c>
      <c r="P232" s="149">
        <v>49.6</v>
      </c>
      <c r="Q232" s="149">
        <v>53</v>
      </c>
      <c r="R232" s="149">
        <v>49.6</v>
      </c>
      <c r="S232" s="149">
        <v>51.8</v>
      </c>
      <c r="T232" s="150">
        <v>37026</v>
      </c>
      <c r="U232" s="151">
        <v>1912123.8</v>
      </c>
      <c r="V232" s="149">
        <v>75</v>
      </c>
      <c r="Z232" s="1">
        <v>44839</v>
      </c>
      <c r="AA232">
        <v>39.64</v>
      </c>
      <c r="AB232">
        <v>47394</v>
      </c>
      <c r="AC232">
        <v>45687</v>
      </c>
      <c r="AF232" s="1">
        <v>44839</v>
      </c>
      <c r="AG232">
        <v>49.39</v>
      </c>
      <c r="AJ232" s="156">
        <f t="shared" si="3"/>
        <v>0.19740838226361612</v>
      </c>
    </row>
    <row r="233" spans="1:36" x14ac:dyDescent="0.3">
      <c r="A233" s="152">
        <v>44959</v>
      </c>
      <c r="B233" s="153">
        <v>59</v>
      </c>
      <c r="C233" s="153">
        <v>61.5</v>
      </c>
      <c r="D233" s="153">
        <v>59</v>
      </c>
      <c r="E233" s="153">
        <v>60.3</v>
      </c>
      <c r="F233" s="154">
        <v>343400</v>
      </c>
      <c r="G233" s="155">
        <v>20851053.100000001</v>
      </c>
      <c r="H233" s="153">
        <v>267</v>
      </c>
      <c r="I233" s="155"/>
      <c r="J233" s="155"/>
      <c r="K233" s="155"/>
      <c r="L233" s="155"/>
      <c r="M233" s="155"/>
      <c r="N233" s="155"/>
      <c r="O233" s="148">
        <v>44959</v>
      </c>
      <c r="P233" s="149">
        <v>46.6</v>
      </c>
      <c r="Q233" s="149">
        <v>50</v>
      </c>
      <c r="R233" s="149">
        <v>45.6</v>
      </c>
      <c r="S233" s="149">
        <v>49.6</v>
      </c>
      <c r="T233" s="150">
        <v>111636</v>
      </c>
      <c r="U233" s="151">
        <v>5479318.5999999996</v>
      </c>
      <c r="V233" s="149">
        <v>152</v>
      </c>
      <c r="Z233" s="1">
        <v>44838</v>
      </c>
      <c r="AA233">
        <v>38.89</v>
      </c>
      <c r="AB233">
        <v>33178</v>
      </c>
      <c r="AC233">
        <v>49058</v>
      </c>
      <c r="AF233" s="1">
        <v>44838</v>
      </c>
      <c r="AG233">
        <v>50.62</v>
      </c>
      <c r="AJ233" s="156">
        <f t="shared" si="3"/>
        <v>0.23172659028052148</v>
      </c>
    </row>
    <row r="234" spans="1:36" x14ac:dyDescent="0.3">
      <c r="A234" s="152">
        <v>44958</v>
      </c>
      <c r="B234" s="153">
        <v>56.8</v>
      </c>
      <c r="C234" s="153">
        <v>60.5</v>
      </c>
      <c r="D234" s="153">
        <v>56.4</v>
      </c>
      <c r="E234" s="153">
        <v>59.1</v>
      </c>
      <c r="F234" s="154">
        <v>166917</v>
      </c>
      <c r="G234" s="155">
        <v>9802113.5999999996</v>
      </c>
      <c r="H234" s="153">
        <v>192</v>
      </c>
      <c r="I234" s="155"/>
      <c r="J234" s="155"/>
      <c r="K234" s="155"/>
      <c r="L234" s="155"/>
      <c r="M234" s="155"/>
      <c r="N234" s="155"/>
      <c r="O234" s="148">
        <v>44958</v>
      </c>
      <c r="P234" s="149">
        <v>45.1</v>
      </c>
      <c r="Q234" s="149">
        <v>46.6</v>
      </c>
      <c r="R234" s="149">
        <v>45.1</v>
      </c>
      <c r="S234" s="149">
        <v>46</v>
      </c>
      <c r="T234" s="150">
        <v>16019</v>
      </c>
      <c r="U234" s="151">
        <v>734921.6</v>
      </c>
      <c r="V234" s="149">
        <v>30</v>
      </c>
      <c r="Z234" s="1">
        <v>44837</v>
      </c>
      <c r="AA234">
        <v>39.26</v>
      </c>
      <c r="AB234">
        <v>23609</v>
      </c>
      <c r="AC234">
        <v>49819</v>
      </c>
      <c r="AF234" s="1">
        <v>44837</v>
      </c>
      <c r="AG234">
        <v>51.57</v>
      </c>
      <c r="AJ234" s="156">
        <f t="shared" si="3"/>
        <v>0.23870467325964712</v>
      </c>
    </row>
    <row r="235" spans="1:36" x14ac:dyDescent="0.3">
      <c r="A235" s="152">
        <v>44957</v>
      </c>
      <c r="B235" s="153">
        <v>55.5</v>
      </c>
      <c r="C235" s="153">
        <v>57.6</v>
      </c>
      <c r="D235" s="153">
        <v>55.5</v>
      </c>
      <c r="E235" s="153">
        <v>56.2</v>
      </c>
      <c r="F235" s="154">
        <v>44200</v>
      </c>
      <c r="G235" s="155">
        <v>2491300.7000000002</v>
      </c>
      <c r="H235" s="153">
        <v>78</v>
      </c>
      <c r="I235" s="155"/>
      <c r="J235" s="155"/>
      <c r="K235" s="155"/>
      <c r="L235" s="155"/>
      <c r="M235" s="155"/>
      <c r="N235" s="155"/>
      <c r="O235" s="148">
        <v>44957</v>
      </c>
      <c r="P235" s="149">
        <v>44.7</v>
      </c>
      <c r="Q235" s="149">
        <v>46</v>
      </c>
      <c r="R235" s="149">
        <v>44.7</v>
      </c>
      <c r="S235" s="149">
        <v>45.1</v>
      </c>
      <c r="T235" s="150">
        <v>70063</v>
      </c>
      <c r="U235" s="151">
        <v>3162639.8</v>
      </c>
      <c r="V235" s="149">
        <v>51</v>
      </c>
      <c r="Z235" s="1">
        <v>44834</v>
      </c>
      <c r="AA235">
        <v>39.36</v>
      </c>
      <c r="AB235">
        <v>17561</v>
      </c>
      <c r="AC235">
        <v>50122</v>
      </c>
      <c r="AF235" s="1">
        <v>44834</v>
      </c>
      <c r="AG235">
        <v>51.94</v>
      </c>
      <c r="AJ235" s="156">
        <f t="shared" si="3"/>
        <v>0.24220254139391603</v>
      </c>
    </row>
    <row r="236" spans="1:36" x14ac:dyDescent="0.3">
      <c r="A236" s="152">
        <v>44956</v>
      </c>
      <c r="B236" s="153">
        <v>54</v>
      </c>
      <c r="C236" s="153">
        <v>56.8</v>
      </c>
      <c r="D236" s="153">
        <v>54</v>
      </c>
      <c r="E236" s="153">
        <v>55.9</v>
      </c>
      <c r="F236" s="154">
        <v>33293</v>
      </c>
      <c r="G236" s="155">
        <v>1815826.6</v>
      </c>
      <c r="H236" s="153">
        <v>80</v>
      </c>
      <c r="I236" s="155"/>
      <c r="J236" s="155"/>
      <c r="K236" s="155"/>
      <c r="L236" s="155"/>
      <c r="M236" s="155"/>
      <c r="N236" s="155"/>
      <c r="O236" s="148">
        <v>44956</v>
      </c>
      <c r="P236" s="149">
        <v>43</v>
      </c>
      <c r="Q236" s="149">
        <v>44.9</v>
      </c>
      <c r="R236" s="149">
        <v>43</v>
      </c>
      <c r="S236" s="149">
        <v>44.2</v>
      </c>
      <c r="T236" s="150">
        <v>9066</v>
      </c>
      <c r="U236" s="151">
        <v>401327.9</v>
      </c>
      <c r="V236" s="149">
        <v>21</v>
      </c>
      <c r="Z236" s="1">
        <v>44833</v>
      </c>
      <c r="AA236">
        <v>38.24</v>
      </c>
      <c r="AB236">
        <v>52527</v>
      </c>
      <c r="AC236">
        <v>50605</v>
      </c>
      <c r="AF236" s="1">
        <v>44833</v>
      </c>
      <c r="AG236">
        <v>51.94</v>
      </c>
      <c r="AJ236" s="156">
        <f t="shared" si="3"/>
        <v>0.26376588371197529</v>
      </c>
    </row>
    <row r="237" spans="1:36" x14ac:dyDescent="0.3">
      <c r="A237" s="152">
        <v>44953</v>
      </c>
      <c r="B237" s="153">
        <v>55.9</v>
      </c>
      <c r="C237" s="153">
        <v>57.7</v>
      </c>
      <c r="D237" s="153">
        <v>55</v>
      </c>
      <c r="E237" s="153">
        <v>56.2</v>
      </c>
      <c r="F237" s="154">
        <v>100271</v>
      </c>
      <c r="G237" s="155">
        <v>5596920</v>
      </c>
      <c r="H237" s="153">
        <v>132</v>
      </c>
      <c r="I237" s="155"/>
      <c r="J237" s="155"/>
      <c r="K237" s="155"/>
      <c r="L237" s="155"/>
      <c r="M237" s="155"/>
      <c r="N237" s="155"/>
      <c r="O237" s="148">
        <v>44953</v>
      </c>
      <c r="P237" s="149">
        <v>44</v>
      </c>
      <c r="Q237" s="149">
        <v>44</v>
      </c>
      <c r="R237" s="149">
        <v>43.1</v>
      </c>
      <c r="S237" s="149">
        <v>43.6</v>
      </c>
      <c r="T237" s="150">
        <v>13657</v>
      </c>
      <c r="U237" s="151">
        <v>595593.30000000005</v>
      </c>
      <c r="V237" s="149">
        <v>22</v>
      </c>
      <c r="Z237" s="1">
        <v>44832</v>
      </c>
      <c r="AA237">
        <v>37.68</v>
      </c>
      <c r="AB237">
        <v>68154</v>
      </c>
      <c r="AC237">
        <v>48577</v>
      </c>
      <c r="AF237" s="1">
        <v>44832</v>
      </c>
      <c r="AG237">
        <v>51.94</v>
      </c>
      <c r="AJ237" s="156">
        <f t="shared" si="3"/>
        <v>0.27454755487100496</v>
      </c>
    </row>
    <row r="238" spans="1:36" x14ac:dyDescent="0.3">
      <c r="A238" s="152">
        <v>44952</v>
      </c>
      <c r="B238" s="153">
        <v>55.5</v>
      </c>
      <c r="C238" s="153">
        <v>56</v>
      </c>
      <c r="D238" s="153">
        <v>55.1</v>
      </c>
      <c r="E238" s="153">
        <v>55.9</v>
      </c>
      <c r="F238" s="154">
        <v>22570</v>
      </c>
      <c r="G238" s="155">
        <v>1254937.6000000001</v>
      </c>
      <c r="H238" s="153">
        <v>68</v>
      </c>
      <c r="I238" s="155"/>
      <c r="J238" s="155"/>
      <c r="K238" s="155"/>
      <c r="L238" s="155"/>
      <c r="M238" s="155"/>
      <c r="N238" s="155"/>
      <c r="O238" s="148">
        <v>44952</v>
      </c>
      <c r="P238" s="149">
        <v>43.9</v>
      </c>
      <c r="Q238" s="149">
        <v>43.9</v>
      </c>
      <c r="R238" s="149">
        <v>43</v>
      </c>
      <c r="S238" s="149">
        <v>43.1</v>
      </c>
      <c r="T238" s="150">
        <v>3004</v>
      </c>
      <c r="U238" s="151">
        <v>130492.6</v>
      </c>
      <c r="V238" s="149">
        <v>32</v>
      </c>
      <c r="Z238" s="1">
        <v>44831</v>
      </c>
      <c r="AA238">
        <v>38.700000000000003</v>
      </c>
      <c r="AB238">
        <v>71856</v>
      </c>
      <c r="AC238">
        <v>51910</v>
      </c>
      <c r="AF238" s="1">
        <v>44831</v>
      </c>
      <c r="AG238">
        <v>51.57</v>
      </c>
      <c r="AJ238" s="156">
        <f t="shared" si="3"/>
        <v>0.24956369982547988</v>
      </c>
    </row>
    <row r="239" spans="1:36" x14ac:dyDescent="0.3">
      <c r="A239" s="152">
        <v>44951</v>
      </c>
      <c r="B239" s="153">
        <v>56</v>
      </c>
      <c r="C239" s="153">
        <v>56.5</v>
      </c>
      <c r="D239" s="153">
        <v>55</v>
      </c>
      <c r="E239" s="153">
        <v>55.6</v>
      </c>
      <c r="F239" s="154">
        <v>24685</v>
      </c>
      <c r="G239" s="155">
        <v>1378643.6</v>
      </c>
      <c r="H239" s="153">
        <v>88</v>
      </c>
      <c r="I239" s="155"/>
      <c r="J239" s="155"/>
      <c r="K239" s="155"/>
      <c r="L239" s="155"/>
      <c r="M239" s="155"/>
      <c r="N239" s="155"/>
      <c r="O239" s="148">
        <v>44951</v>
      </c>
      <c r="P239" s="149">
        <v>44.8</v>
      </c>
      <c r="Q239" s="149">
        <v>44.8</v>
      </c>
      <c r="R239" s="149">
        <v>43.6</v>
      </c>
      <c r="S239" s="149">
        <v>43.7</v>
      </c>
      <c r="T239" s="150">
        <v>3186</v>
      </c>
      <c r="U239" s="151">
        <v>140523.9</v>
      </c>
      <c r="V239" s="149">
        <v>17</v>
      </c>
      <c r="Z239" s="1">
        <v>44830</v>
      </c>
      <c r="AA239">
        <v>39.17</v>
      </c>
      <c r="AB239">
        <v>9462</v>
      </c>
      <c r="AC239">
        <v>52891</v>
      </c>
      <c r="AF239" s="1">
        <v>44830</v>
      </c>
      <c r="AG239">
        <v>49.3</v>
      </c>
      <c r="AJ239" s="156">
        <f t="shared" si="3"/>
        <v>0.20547667342799181</v>
      </c>
    </row>
    <row r="240" spans="1:36" x14ac:dyDescent="0.3">
      <c r="A240" s="152">
        <v>44950</v>
      </c>
      <c r="B240" s="153">
        <v>57.6</v>
      </c>
      <c r="C240" s="153">
        <v>57.6</v>
      </c>
      <c r="D240" s="153">
        <v>55.1</v>
      </c>
      <c r="E240" s="153">
        <v>56</v>
      </c>
      <c r="F240" s="154">
        <v>78659</v>
      </c>
      <c r="G240" s="155">
        <v>4378189</v>
      </c>
      <c r="H240" s="153">
        <v>158</v>
      </c>
      <c r="I240" s="155"/>
      <c r="J240" s="155"/>
      <c r="K240" s="155"/>
      <c r="L240" s="155"/>
      <c r="M240" s="155"/>
      <c r="N240" s="155"/>
      <c r="O240" s="148">
        <v>44950</v>
      </c>
      <c r="P240" s="149">
        <v>45</v>
      </c>
      <c r="Q240" s="149">
        <v>45</v>
      </c>
      <c r="R240" s="149">
        <v>43.2</v>
      </c>
      <c r="S240" s="149">
        <v>44.9</v>
      </c>
      <c r="T240" s="150">
        <v>61188</v>
      </c>
      <c r="U240" s="151">
        <v>2747669.3</v>
      </c>
      <c r="V240" s="149">
        <v>47</v>
      </c>
      <c r="Z240" s="1">
        <v>44827</v>
      </c>
      <c r="AA240">
        <v>39.450000000000003</v>
      </c>
      <c r="AB240">
        <v>58952</v>
      </c>
      <c r="AC240">
        <v>53778</v>
      </c>
      <c r="AF240" s="1">
        <v>44827</v>
      </c>
      <c r="AG240">
        <v>51</v>
      </c>
      <c r="AJ240" s="156">
        <f t="shared" si="3"/>
        <v>0.22647058823529406</v>
      </c>
    </row>
    <row r="241" spans="1:36" x14ac:dyDescent="0.3">
      <c r="A241" s="152">
        <v>44949</v>
      </c>
      <c r="B241" s="153">
        <v>52.7</v>
      </c>
      <c r="C241" s="153">
        <v>61</v>
      </c>
      <c r="D241" s="153">
        <v>52.7</v>
      </c>
      <c r="E241" s="153">
        <v>57</v>
      </c>
      <c r="F241" s="154">
        <v>251427</v>
      </c>
      <c r="G241" s="155">
        <v>14044288.699999999</v>
      </c>
      <c r="H241" s="153">
        <v>232</v>
      </c>
      <c r="I241" s="155"/>
      <c r="J241" s="155"/>
      <c r="K241" s="155"/>
      <c r="L241" s="155"/>
      <c r="M241" s="155"/>
      <c r="N241" s="155"/>
      <c r="O241" s="148">
        <v>44949</v>
      </c>
      <c r="P241" s="149">
        <v>42.7</v>
      </c>
      <c r="Q241" s="149">
        <v>46</v>
      </c>
      <c r="R241" s="149">
        <v>42.7</v>
      </c>
      <c r="S241" s="149">
        <v>45</v>
      </c>
      <c r="T241" s="150">
        <v>86952</v>
      </c>
      <c r="U241" s="151">
        <v>3878037.4</v>
      </c>
      <c r="V241" s="149">
        <v>93</v>
      </c>
      <c r="Z241" s="1">
        <v>44826</v>
      </c>
      <c r="AA241">
        <v>40.479999999999997</v>
      </c>
      <c r="AB241">
        <v>58643</v>
      </c>
      <c r="AC241">
        <v>51632</v>
      </c>
      <c r="AF241" s="1">
        <v>44826</v>
      </c>
      <c r="AG241">
        <v>51.38</v>
      </c>
      <c r="AJ241" s="156">
        <f t="shared" si="3"/>
        <v>0.21214480342545747</v>
      </c>
    </row>
    <row r="242" spans="1:36" x14ac:dyDescent="0.3">
      <c r="A242" s="152">
        <v>44946</v>
      </c>
      <c r="B242" s="153">
        <v>50.2</v>
      </c>
      <c r="C242" s="153">
        <v>52.6</v>
      </c>
      <c r="D242" s="153">
        <v>50.2</v>
      </c>
      <c r="E242" s="153">
        <v>52.5</v>
      </c>
      <c r="F242" s="154">
        <v>33177</v>
      </c>
      <c r="G242" s="155">
        <v>1724411.2</v>
      </c>
      <c r="H242" s="153">
        <v>93</v>
      </c>
      <c r="I242" s="155"/>
      <c r="J242" s="155"/>
      <c r="K242" s="155"/>
      <c r="L242" s="155"/>
      <c r="M242" s="155"/>
      <c r="N242" s="155"/>
      <c r="O242" s="148">
        <v>44946</v>
      </c>
      <c r="P242" s="149">
        <v>40.6</v>
      </c>
      <c r="Q242" s="149">
        <v>42.7</v>
      </c>
      <c r="R242" s="149">
        <v>40.6</v>
      </c>
      <c r="S242" s="149">
        <v>42.1</v>
      </c>
      <c r="T242" s="150">
        <v>14648</v>
      </c>
      <c r="U242" s="151">
        <v>613258.1</v>
      </c>
      <c r="V242" s="149">
        <v>25</v>
      </c>
      <c r="Z242" s="1">
        <v>44825</v>
      </c>
      <c r="AA242">
        <v>39.83</v>
      </c>
      <c r="AB242">
        <v>23911</v>
      </c>
      <c r="AC242">
        <v>49930</v>
      </c>
      <c r="AF242" s="1">
        <v>44825</v>
      </c>
      <c r="AG242">
        <v>51.66</v>
      </c>
      <c r="AJ242" s="156">
        <f t="shared" si="3"/>
        <v>0.2289972899728997</v>
      </c>
    </row>
    <row r="243" spans="1:36" x14ac:dyDescent="0.3">
      <c r="A243" s="152">
        <v>44945</v>
      </c>
      <c r="B243" s="153">
        <v>50.2</v>
      </c>
      <c r="C243" s="153">
        <v>51</v>
      </c>
      <c r="D243" s="153">
        <v>50.1</v>
      </c>
      <c r="E243" s="153">
        <v>50.3</v>
      </c>
      <c r="F243" s="154">
        <v>62696</v>
      </c>
      <c r="G243" s="155">
        <v>3151995.1</v>
      </c>
      <c r="H243" s="153">
        <v>68</v>
      </c>
      <c r="I243" s="155"/>
      <c r="J243" s="155"/>
      <c r="K243" s="155"/>
      <c r="L243" s="155"/>
      <c r="M243" s="155"/>
      <c r="N243" s="155"/>
      <c r="O243" s="148">
        <v>44945</v>
      </c>
      <c r="P243" s="149">
        <v>40.299999999999997</v>
      </c>
      <c r="Q243" s="149">
        <v>42.7</v>
      </c>
      <c r="R243" s="149">
        <v>40</v>
      </c>
      <c r="S243" s="149">
        <v>42.5</v>
      </c>
      <c r="T243" s="150">
        <v>13535</v>
      </c>
      <c r="U243" s="151">
        <v>561861.4</v>
      </c>
      <c r="V243" s="149">
        <v>29</v>
      </c>
      <c r="Z243" s="1">
        <v>44824</v>
      </c>
      <c r="AA243">
        <v>41.23</v>
      </c>
      <c r="AB243">
        <v>28403</v>
      </c>
      <c r="AC243">
        <v>57368</v>
      </c>
      <c r="AF243" s="1">
        <v>44824</v>
      </c>
      <c r="AG243">
        <v>52.04</v>
      </c>
      <c r="AJ243" s="156">
        <f t="shared" si="3"/>
        <v>0.20772482705611073</v>
      </c>
    </row>
    <row r="244" spans="1:36" x14ac:dyDescent="0.3">
      <c r="A244" s="152">
        <v>44944</v>
      </c>
      <c r="B244" s="153">
        <v>51.5</v>
      </c>
      <c r="C244" s="153">
        <v>51.6</v>
      </c>
      <c r="D244" s="153">
        <v>50.2</v>
      </c>
      <c r="E244" s="153">
        <v>50.4</v>
      </c>
      <c r="F244" s="154">
        <v>38761</v>
      </c>
      <c r="G244" s="155">
        <v>1955825.3</v>
      </c>
      <c r="H244" s="153">
        <v>50</v>
      </c>
      <c r="I244" s="155"/>
      <c r="J244" s="155"/>
      <c r="K244" s="155"/>
      <c r="L244" s="155"/>
      <c r="M244" s="155"/>
      <c r="N244" s="155"/>
      <c r="O244" s="148">
        <v>44944</v>
      </c>
      <c r="P244" s="149">
        <v>40.299999999999997</v>
      </c>
      <c r="Q244" s="149">
        <v>41</v>
      </c>
      <c r="R244" s="149">
        <v>40.299999999999997</v>
      </c>
      <c r="S244" s="149">
        <v>41</v>
      </c>
      <c r="T244" s="150">
        <v>1320</v>
      </c>
      <c r="U244" s="151">
        <v>53420</v>
      </c>
      <c r="V244" s="149">
        <v>7</v>
      </c>
      <c r="Z244" s="1">
        <v>44823</v>
      </c>
      <c r="AA244">
        <v>42.82</v>
      </c>
      <c r="AB244">
        <v>14975</v>
      </c>
      <c r="AC244">
        <v>56570</v>
      </c>
      <c r="AF244" s="1">
        <v>44823</v>
      </c>
      <c r="AG244">
        <v>52.89</v>
      </c>
      <c r="AJ244" s="156">
        <f t="shared" si="3"/>
        <v>0.19039515976555116</v>
      </c>
    </row>
    <row r="245" spans="1:36" x14ac:dyDescent="0.3">
      <c r="A245" s="152">
        <v>44943</v>
      </c>
      <c r="B245" s="153">
        <v>50.1</v>
      </c>
      <c r="C245" s="153">
        <v>51.8</v>
      </c>
      <c r="D245" s="153">
        <v>50.1</v>
      </c>
      <c r="E245" s="153">
        <v>50.8</v>
      </c>
      <c r="F245" s="154">
        <v>121657</v>
      </c>
      <c r="G245" s="155">
        <v>6116697</v>
      </c>
      <c r="H245" s="153">
        <v>70</v>
      </c>
      <c r="I245" s="155"/>
      <c r="J245" s="155"/>
      <c r="K245" s="155"/>
      <c r="L245" s="155"/>
      <c r="M245" s="155"/>
      <c r="N245" s="155"/>
      <c r="O245" s="148">
        <v>44943</v>
      </c>
      <c r="P245" s="149">
        <v>41.7</v>
      </c>
      <c r="Q245" s="149">
        <v>41.7</v>
      </c>
      <c r="R245" s="149">
        <v>40.1</v>
      </c>
      <c r="S245" s="149">
        <v>40.299999999999997</v>
      </c>
      <c r="T245" s="149">
        <v>909</v>
      </c>
      <c r="U245" s="151">
        <v>36643.699999999997</v>
      </c>
      <c r="V245" s="149">
        <v>11</v>
      </c>
      <c r="Z245" s="1">
        <v>44820</v>
      </c>
      <c r="AA245">
        <v>43.28</v>
      </c>
      <c r="AB245">
        <v>79465</v>
      </c>
      <c r="AC245">
        <v>60063</v>
      </c>
      <c r="AF245" s="1">
        <v>44820</v>
      </c>
      <c r="AG245">
        <v>54.12</v>
      </c>
      <c r="AJ245" s="156">
        <f t="shared" si="3"/>
        <v>0.2002956393200295</v>
      </c>
    </row>
    <row r="246" spans="1:36" x14ac:dyDescent="0.3">
      <c r="A246" s="152">
        <v>44939</v>
      </c>
      <c r="B246" s="153">
        <v>50.4</v>
      </c>
      <c r="C246" s="153">
        <v>50.5</v>
      </c>
      <c r="D246" s="153">
        <v>50.1</v>
      </c>
      <c r="E246" s="153">
        <v>50.2</v>
      </c>
      <c r="F246" s="154">
        <v>24699</v>
      </c>
      <c r="G246" s="155">
        <v>1239746.3999999999</v>
      </c>
      <c r="H246" s="153">
        <v>56</v>
      </c>
      <c r="I246" s="155"/>
      <c r="J246" s="155"/>
      <c r="K246" s="155"/>
      <c r="L246" s="155"/>
      <c r="M246" s="155"/>
      <c r="N246" s="155"/>
      <c r="O246" s="148">
        <v>44939</v>
      </c>
      <c r="P246" s="149">
        <v>41.5</v>
      </c>
      <c r="Q246" s="149">
        <v>41.7</v>
      </c>
      <c r="R246" s="149">
        <v>40</v>
      </c>
      <c r="S246" s="149">
        <v>41</v>
      </c>
      <c r="T246" s="150">
        <v>9394</v>
      </c>
      <c r="U246" s="151">
        <v>380108.5</v>
      </c>
      <c r="V246" s="149">
        <v>27</v>
      </c>
      <c r="Z246" s="1">
        <v>44819</v>
      </c>
      <c r="AA246">
        <v>42.63</v>
      </c>
      <c r="AB246">
        <v>97208</v>
      </c>
      <c r="AC246">
        <v>61135</v>
      </c>
      <c r="AF246" s="1">
        <v>44819</v>
      </c>
      <c r="AG246">
        <v>55.25</v>
      </c>
      <c r="AJ246" s="156">
        <f t="shared" si="3"/>
        <v>0.22841628959276014</v>
      </c>
    </row>
    <row r="247" spans="1:36" x14ac:dyDescent="0.3">
      <c r="A247" s="152">
        <v>44938</v>
      </c>
      <c r="B247" s="153">
        <v>50.5</v>
      </c>
      <c r="C247" s="153">
        <v>51.9</v>
      </c>
      <c r="D247" s="153">
        <v>50.5</v>
      </c>
      <c r="E247" s="153">
        <v>51.1</v>
      </c>
      <c r="F247" s="154">
        <v>19078</v>
      </c>
      <c r="G247" s="155">
        <v>972796</v>
      </c>
      <c r="H247" s="153">
        <v>38</v>
      </c>
      <c r="I247" s="155"/>
      <c r="J247" s="155"/>
      <c r="K247" s="155"/>
      <c r="L247" s="155"/>
      <c r="M247" s="155"/>
      <c r="N247" s="155"/>
      <c r="O247" s="148">
        <v>44938</v>
      </c>
      <c r="P247" s="149">
        <v>40.1</v>
      </c>
      <c r="Q247" s="149">
        <v>41.9</v>
      </c>
      <c r="R247" s="149">
        <v>40.1</v>
      </c>
      <c r="S247" s="149">
        <v>40.5</v>
      </c>
      <c r="T247" s="149">
        <v>400</v>
      </c>
      <c r="U247" s="151">
        <v>16129.3</v>
      </c>
      <c r="V247" s="149">
        <v>4</v>
      </c>
      <c r="Z247" s="1">
        <v>44818</v>
      </c>
      <c r="AA247">
        <v>40.200000000000003</v>
      </c>
      <c r="AB247">
        <v>97970</v>
      </c>
      <c r="AC247">
        <v>56761</v>
      </c>
      <c r="AF247" s="1">
        <v>44818</v>
      </c>
      <c r="AG247">
        <v>52.89</v>
      </c>
      <c r="AJ247" s="156">
        <f t="shared" si="3"/>
        <v>0.23993193420306291</v>
      </c>
    </row>
    <row r="248" spans="1:36" x14ac:dyDescent="0.3">
      <c r="A248" s="152">
        <v>44937</v>
      </c>
      <c r="B248" s="153">
        <v>51</v>
      </c>
      <c r="C248" s="153">
        <v>52</v>
      </c>
      <c r="D248" s="153">
        <v>50.3</v>
      </c>
      <c r="E248" s="153">
        <v>50.6</v>
      </c>
      <c r="F248" s="154">
        <v>27767</v>
      </c>
      <c r="G248" s="155">
        <v>1413144.6</v>
      </c>
      <c r="H248" s="153">
        <v>41</v>
      </c>
      <c r="I248" s="155"/>
      <c r="J248" s="155"/>
      <c r="K248" s="155"/>
      <c r="L248" s="155"/>
      <c r="M248" s="155"/>
      <c r="N248" s="155"/>
      <c r="O248" s="148">
        <v>44937</v>
      </c>
      <c r="P248" s="149">
        <v>40.6</v>
      </c>
      <c r="Q248" s="149">
        <v>40.6</v>
      </c>
      <c r="R248" s="149">
        <v>40</v>
      </c>
      <c r="S248" s="149">
        <v>40.1</v>
      </c>
      <c r="T248" s="150">
        <v>1285</v>
      </c>
      <c r="U248" s="151">
        <v>51546.400000000001</v>
      </c>
      <c r="V248" s="149">
        <v>14</v>
      </c>
      <c r="Z248" s="1">
        <v>44817</v>
      </c>
      <c r="AA248">
        <v>38.89</v>
      </c>
      <c r="AB248">
        <v>44595</v>
      </c>
      <c r="AC248">
        <v>53033</v>
      </c>
      <c r="AF248" s="1">
        <v>44817</v>
      </c>
      <c r="AG248">
        <v>50.53</v>
      </c>
      <c r="AJ248" s="156">
        <f t="shared" si="3"/>
        <v>0.23035820304769444</v>
      </c>
    </row>
    <row r="249" spans="1:36" x14ac:dyDescent="0.3">
      <c r="A249" s="152">
        <v>44936</v>
      </c>
      <c r="B249" s="153">
        <v>50.9</v>
      </c>
      <c r="C249" s="153">
        <v>52.2</v>
      </c>
      <c r="D249" s="153">
        <v>50.9</v>
      </c>
      <c r="E249" s="153">
        <v>51</v>
      </c>
      <c r="F249" s="154">
        <v>23826</v>
      </c>
      <c r="G249" s="155">
        <v>1222333.7</v>
      </c>
      <c r="H249" s="153">
        <v>55</v>
      </c>
      <c r="I249" s="155"/>
      <c r="J249" s="155"/>
      <c r="K249" s="155"/>
      <c r="L249" s="155"/>
      <c r="M249" s="155"/>
      <c r="N249" s="155"/>
      <c r="O249" s="148">
        <v>44936</v>
      </c>
      <c r="P249" s="149">
        <v>40.1</v>
      </c>
      <c r="Q249" s="149">
        <v>40.4</v>
      </c>
      <c r="R249" s="149">
        <v>40</v>
      </c>
      <c r="S249" s="149">
        <v>40.1</v>
      </c>
      <c r="T249" s="150">
        <v>20953</v>
      </c>
      <c r="U249" s="151">
        <v>840288.9</v>
      </c>
      <c r="V249" s="149">
        <v>36</v>
      </c>
      <c r="Z249" s="1">
        <v>44816</v>
      </c>
      <c r="AA249">
        <v>37.39</v>
      </c>
      <c r="AB249">
        <v>28152</v>
      </c>
      <c r="AC249">
        <v>52338</v>
      </c>
      <c r="AF249" s="1">
        <v>44816</v>
      </c>
      <c r="AG249">
        <v>49.58</v>
      </c>
      <c r="AJ249" s="156">
        <f t="shared" si="3"/>
        <v>0.24586526825332791</v>
      </c>
    </row>
    <row r="250" spans="1:36" x14ac:dyDescent="0.3">
      <c r="A250" s="152">
        <v>44935</v>
      </c>
      <c r="B250" s="153">
        <v>51</v>
      </c>
      <c r="C250" s="153">
        <v>51.9</v>
      </c>
      <c r="D250" s="153">
        <v>50.4</v>
      </c>
      <c r="E250" s="153">
        <v>51.3</v>
      </c>
      <c r="F250" s="154">
        <v>19567</v>
      </c>
      <c r="G250" s="155">
        <v>1005730.5</v>
      </c>
      <c r="H250" s="153">
        <v>57</v>
      </c>
      <c r="I250" s="155"/>
      <c r="J250" s="155"/>
      <c r="K250" s="155"/>
      <c r="L250" s="155"/>
      <c r="M250" s="155"/>
      <c r="N250" s="155"/>
      <c r="O250" s="148">
        <v>44935</v>
      </c>
      <c r="P250" s="149">
        <v>40.4</v>
      </c>
      <c r="Q250" s="149">
        <v>40.4</v>
      </c>
      <c r="R250" s="149">
        <v>40.200000000000003</v>
      </c>
      <c r="S250" s="149">
        <v>40.4</v>
      </c>
      <c r="T250" s="150">
        <v>7581</v>
      </c>
      <c r="U250" s="151">
        <v>306066.7</v>
      </c>
      <c r="V250" s="149">
        <v>20</v>
      </c>
      <c r="Z250" s="1">
        <v>44813</v>
      </c>
      <c r="AA250">
        <v>37.58</v>
      </c>
      <c r="AB250">
        <v>24799</v>
      </c>
      <c r="AC250">
        <v>55368</v>
      </c>
      <c r="AF250" s="1">
        <v>44813</v>
      </c>
      <c r="AG250">
        <v>49.11</v>
      </c>
      <c r="AJ250" s="156">
        <f t="shared" si="3"/>
        <v>0.23477906739971496</v>
      </c>
    </row>
    <row r="251" spans="1:36" x14ac:dyDescent="0.3">
      <c r="A251" s="152">
        <v>44931</v>
      </c>
      <c r="B251" s="153">
        <v>51.5</v>
      </c>
      <c r="C251" s="153">
        <v>51.5</v>
      </c>
      <c r="D251" s="153">
        <v>50.5</v>
      </c>
      <c r="E251" s="153">
        <v>50.6</v>
      </c>
      <c r="F251" s="154">
        <v>31487</v>
      </c>
      <c r="G251" s="155">
        <v>1604657.6</v>
      </c>
      <c r="H251" s="153">
        <v>43</v>
      </c>
      <c r="I251" s="155"/>
      <c r="J251" s="155"/>
      <c r="K251" s="155"/>
      <c r="L251" s="155"/>
      <c r="M251" s="155"/>
      <c r="N251" s="155"/>
      <c r="O251" s="148">
        <v>44931</v>
      </c>
      <c r="P251" s="149">
        <v>40.9</v>
      </c>
      <c r="Q251" s="149">
        <v>40.9</v>
      </c>
      <c r="R251" s="149">
        <v>40.200000000000003</v>
      </c>
      <c r="S251" s="149">
        <v>40.4</v>
      </c>
      <c r="T251" s="150">
        <v>6274</v>
      </c>
      <c r="U251" s="151">
        <v>253053</v>
      </c>
      <c r="V251" s="149">
        <v>21</v>
      </c>
      <c r="Z251" s="1">
        <v>44812</v>
      </c>
      <c r="AA251">
        <v>38.049999999999997</v>
      </c>
      <c r="AB251">
        <v>22109</v>
      </c>
      <c r="AC251">
        <v>59529</v>
      </c>
      <c r="AF251" s="1">
        <v>44812</v>
      </c>
      <c r="AG251">
        <v>49.3</v>
      </c>
      <c r="AJ251" s="156">
        <f t="shared" si="3"/>
        <v>0.2281947261663286</v>
      </c>
    </row>
    <row r="252" spans="1:36" x14ac:dyDescent="0.3">
      <c r="A252" s="152">
        <v>44930</v>
      </c>
      <c r="B252" s="153">
        <v>52.5</v>
      </c>
      <c r="C252" s="153">
        <v>52.5</v>
      </c>
      <c r="D252" s="153">
        <v>51.5</v>
      </c>
      <c r="E252" s="153">
        <v>51.6</v>
      </c>
      <c r="F252" s="154">
        <v>25317</v>
      </c>
      <c r="G252" s="155">
        <v>1306263.3999999999</v>
      </c>
      <c r="H252" s="153">
        <v>46</v>
      </c>
      <c r="I252" s="155"/>
      <c r="J252" s="155"/>
      <c r="K252" s="155"/>
      <c r="L252" s="155"/>
      <c r="M252" s="155"/>
      <c r="N252" s="155"/>
      <c r="O252" s="148">
        <v>44930</v>
      </c>
      <c r="P252" s="149">
        <v>40.9</v>
      </c>
      <c r="Q252" s="149">
        <v>40.9</v>
      </c>
      <c r="R252" s="149">
        <v>40.299999999999997</v>
      </c>
      <c r="S252" s="149">
        <v>40.5</v>
      </c>
      <c r="T252" s="150">
        <v>1908</v>
      </c>
      <c r="U252" s="151">
        <v>77304.800000000003</v>
      </c>
      <c r="V252" s="149">
        <v>26</v>
      </c>
      <c r="Z252" s="1">
        <v>44811</v>
      </c>
      <c r="AA252">
        <v>37.39</v>
      </c>
      <c r="AB252">
        <v>118155</v>
      </c>
      <c r="AC252">
        <v>60664</v>
      </c>
      <c r="AF252" s="1">
        <v>44811</v>
      </c>
      <c r="AG252">
        <v>48.92</v>
      </c>
      <c r="AJ252" s="156">
        <f t="shared" si="3"/>
        <v>0.23569092395748162</v>
      </c>
    </row>
    <row r="253" spans="1:36" x14ac:dyDescent="0.3">
      <c r="A253" s="152">
        <v>44929</v>
      </c>
      <c r="B253" s="153">
        <v>50.8</v>
      </c>
      <c r="C253" s="153">
        <v>52.1</v>
      </c>
      <c r="D253" s="153">
        <v>50.8</v>
      </c>
      <c r="E253" s="153">
        <v>51.7</v>
      </c>
      <c r="F253" s="154">
        <v>21902</v>
      </c>
      <c r="G253" s="155">
        <v>1120766.7</v>
      </c>
      <c r="H253" s="153">
        <v>45</v>
      </c>
      <c r="I253" s="155"/>
      <c r="J253" s="155"/>
      <c r="K253" s="155"/>
      <c r="L253" s="155"/>
      <c r="M253" s="155"/>
      <c r="N253" s="155"/>
      <c r="O253" s="148">
        <v>44929</v>
      </c>
      <c r="P253" s="149">
        <v>41.2</v>
      </c>
      <c r="Q253" s="149">
        <v>41.9</v>
      </c>
      <c r="R253" s="149">
        <v>40.9</v>
      </c>
      <c r="S253" s="149">
        <v>41</v>
      </c>
      <c r="T253" s="150">
        <v>29403</v>
      </c>
      <c r="U253" s="151">
        <v>1205425.6000000001</v>
      </c>
      <c r="V253" s="149">
        <v>44</v>
      </c>
      <c r="Z253" s="1">
        <v>44810</v>
      </c>
      <c r="AA253">
        <v>37.58</v>
      </c>
      <c r="AB253">
        <v>86560</v>
      </c>
      <c r="AC253">
        <v>54448</v>
      </c>
      <c r="AF253" s="1">
        <v>44810</v>
      </c>
      <c r="AG253">
        <v>48.92</v>
      </c>
      <c r="AJ253" s="156">
        <f t="shared" si="3"/>
        <v>0.23180703188879809</v>
      </c>
    </row>
    <row r="254" spans="1:36" x14ac:dyDescent="0.3">
      <c r="A254" s="152">
        <v>44928</v>
      </c>
      <c r="B254" s="153">
        <v>50.5</v>
      </c>
      <c r="C254" s="153">
        <v>50.8</v>
      </c>
      <c r="D254" s="153">
        <v>50</v>
      </c>
      <c r="E254" s="153">
        <v>50.1</v>
      </c>
      <c r="F254" s="154">
        <v>43051</v>
      </c>
      <c r="G254" s="155">
        <v>2165253.4</v>
      </c>
      <c r="H254" s="153">
        <v>69</v>
      </c>
      <c r="I254" s="155"/>
      <c r="J254" s="155"/>
      <c r="K254" s="155"/>
      <c r="L254" s="155"/>
      <c r="M254" s="155"/>
      <c r="N254" s="155"/>
      <c r="O254" s="148">
        <v>44928</v>
      </c>
      <c r="P254" s="149">
        <v>42.4</v>
      </c>
      <c r="Q254" s="149">
        <v>42.4</v>
      </c>
      <c r="R254" s="149">
        <v>41</v>
      </c>
      <c r="S254" s="149">
        <v>41.2</v>
      </c>
      <c r="T254" s="150">
        <v>1140</v>
      </c>
      <c r="U254" s="151">
        <v>46927.3</v>
      </c>
      <c r="V254" s="149">
        <v>12</v>
      </c>
      <c r="Z254" s="1">
        <v>44809</v>
      </c>
      <c r="AA254">
        <v>40.200000000000003</v>
      </c>
      <c r="AB254">
        <v>22768</v>
      </c>
      <c r="AC254">
        <v>54756</v>
      </c>
      <c r="AF254" s="1">
        <v>44809</v>
      </c>
      <c r="AG254">
        <v>50.53</v>
      </c>
      <c r="AJ254" s="156">
        <f t="shared" si="3"/>
        <v>0.20443301009301401</v>
      </c>
    </row>
    <row r="255" spans="1:36" x14ac:dyDescent="0.3">
      <c r="A255" s="152">
        <v>44925</v>
      </c>
      <c r="B255" s="153">
        <v>50.2</v>
      </c>
      <c r="C255" s="153">
        <v>50.7</v>
      </c>
      <c r="D255" s="153">
        <v>50.1</v>
      </c>
      <c r="E255" s="153">
        <v>50.2</v>
      </c>
      <c r="F255" s="154">
        <v>20154</v>
      </c>
      <c r="G255" s="155">
        <v>1014041.5</v>
      </c>
      <c r="H255" s="153">
        <v>59</v>
      </c>
      <c r="I255" s="155"/>
      <c r="J255" s="155"/>
      <c r="K255" s="155"/>
      <c r="L255" s="155"/>
      <c r="M255" s="155"/>
      <c r="N255" s="155"/>
      <c r="O255" s="148">
        <v>44925</v>
      </c>
      <c r="P255" s="149">
        <v>41.8</v>
      </c>
      <c r="Q255" s="149">
        <v>42.5</v>
      </c>
      <c r="R255" s="149">
        <v>41</v>
      </c>
      <c r="S255" s="149">
        <v>41.3</v>
      </c>
      <c r="T255" s="150">
        <v>7286</v>
      </c>
      <c r="U255" s="151">
        <v>301253.59999999998</v>
      </c>
      <c r="V255" s="149">
        <v>19</v>
      </c>
      <c r="Z255" s="1">
        <v>44806</v>
      </c>
      <c r="AA255">
        <v>38.979999999999997</v>
      </c>
      <c r="AB255">
        <v>26761</v>
      </c>
      <c r="AC255">
        <v>54583</v>
      </c>
      <c r="AF255" s="1">
        <v>44806</v>
      </c>
      <c r="AG255">
        <v>50.43</v>
      </c>
      <c r="AJ255" s="156">
        <f t="shared" si="3"/>
        <v>0.22704739242514382</v>
      </c>
    </row>
    <row r="256" spans="1:36" x14ac:dyDescent="0.3">
      <c r="A256" s="152">
        <v>44924</v>
      </c>
      <c r="B256" s="153">
        <v>50.1</v>
      </c>
      <c r="C256" s="153">
        <v>50.3</v>
      </c>
      <c r="D256" s="153">
        <v>50</v>
      </c>
      <c r="E256" s="153">
        <v>50.2</v>
      </c>
      <c r="F256" s="154">
        <v>18061</v>
      </c>
      <c r="G256" s="155">
        <v>905433.1</v>
      </c>
      <c r="H256" s="153">
        <v>47</v>
      </c>
      <c r="I256" s="155"/>
      <c r="J256" s="155"/>
      <c r="K256" s="155"/>
      <c r="L256" s="155"/>
      <c r="M256" s="155"/>
      <c r="N256" s="155"/>
      <c r="O256" s="148">
        <v>44924</v>
      </c>
      <c r="P256" s="149">
        <v>41</v>
      </c>
      <c r="Q256" s="149">
        <v>41.5</v>
      </c>
      <c r="R256" s="149">
        <v>41</v>
      </c>
      <c r="S256" s="149">
        <v>41.5</v>
      </c>
      <c r="T256" s="150">
        <v>3157</v>
      </c>
      <c r="U256" s="151">
        <v>130084.5</v>
      </c>
      <c r="V256" s="149">
        <v>9</v>
      </c>
      <c r="Z256" s="1">
        <v>44805</v>
      </c>
      <c r="AA256">
        <v>39.08</v>
      </c>
      <c r="AB256">
        <v>33123</v>
      </c>
      <c r="AC256">
        <v>55348</v>
      </c>
      <c r="AF256" s="1">
        <v>44805</v>
      </c>
      <c r="AG256">
        <v>50.34</v>
      </c>
      <c r="AJ256" s="156">
        <f t="shared" si="3"/>
        <v>0.22367898291617014</v>
      </c>
    </row>
    <row r="257" spans="1:36" x14ac:dyDescent="0.3">
      <c r="A257" s="152">
        <v>44923</v>
      </c>
      <c r="B257" s="153">
        <v>50.3</v>
      </c>
      <c r="C257" s="153">
        <v>50.3</v>
      </c>
      <c r="D257" s="153">
        <v>50.1</v>
      </c>
      <c r="E257" s="153">
        <v>50.1</v>
      </c>
      <c r="F257" s="154">
        <v>10215</v>
      </c>
      <c r="G257" s="155">
        <v>512353.1</v>
      </c>
      <c r="H257" s="153">
        <v>40</v>
      </c>
      <c r="I257" s="155"/>
      <c r="J257" s="155"/>
      <c r="K257" s="155"/>
      <c r="L257" s="155"/>
      <c r="M257" s="155"/>
      <c r="N257" s="155"/>
      <c r="O257" s="148">
        <v>44923</v>
      </c>
      <c r="P257" s="149">
        <v>41</v>
      </c>
      <c r="Q257" s="149">
        <v>41</v>
      </c>
      <c r="R257" s="149">
        <v>41</v>
      </c>
      <c r="S257" s="149">
        <v>41</v>
      </c>
      <c r="T257" s="149">
        <v>104</v>
      </c>
      <c r="U257" s="151">
        <v>4264</v>
      </c>
      <c r="V257" s="149">
        <v>2</v>
      </c>
      <c r="Z257" s="1">
        <v>44804</v>
      </c>
      <c r="AA257">
        <v>37.39</v>
      </c>
      <c r="AB257">
        <v>135483</v>
      </c>
      <c r="AC257">
        <v>53589</v>
      </c>
      <c r="AF257" s="1">
        <v>44804</v>
      </c>
      <c r="AG257">
        <v>49.02</v>
      </c>
      <c r="AJ257" s="156">
        <f t="shared" si="3"/>
        <v>0.23725010199918403</v>
      </c>
    </row>
    <row r="258" spans="1:36" x14ac:dyDescent="0.3">
      <c r="A258" s="152">
        <v>44922</v>
      </c>
      <c r="B258" s="153">
        <v>50.1</v>
      </c>
      <c r="C258" s="153">
        <v>50.5</v>
      </c>
      <c r="D258" s="153">
        <v>50</v>
      </c>
      <c r="E258" s="153">
        <v>50</v>
      </c>
      <c r="F258" s="154">
        <v>84434</v>
      </c>
      <c r="G258" s="155">
        <v>4224695.7</v>
      </c>
      <c r="H258" s="153">
        <v>97</v>
      </c>
      <c r="I258" s="155"/>
      <c r="J258" s="155"/>
      <c r="K258" s="155"/>
      <c r="L258" s="155"/>
      <c r="M258" s="155"/>
      <c r="N258" s="155"/>
      <c r="O258" s="148">
        <v>44922</v>
      </c>
      <c r="P258" s="149">
        <v>41.4</v>
      </c>
      <c r="Q258" s="149">
        <v>41.4</v>
      </c>
      <c r="R258" s="149">
        <v>40.9</v>
      </c>
      <c r="S258" s="149">
        <v>40.9</v>
      </c>
      <c r="T258" s="150">
        <v>1033</v>
      </c>
      <c r="U258" s="151">
        <v>42323.199999999997</v>
      </c>
      <c r="V258" s="149">
        <v>8</v>
      </c>
      <c r="Z258" s="1">
        <v>44803</v>
      </c>
      <c r="AA258">
        <v>36.93</v>
      </c>
      <c r="AB258">
        <v>16424</v>
      </c>
      <c r="AC258">
        <v>46900</v>
      </c>
      <c r="AF258" s="1">
        <v>44803</v>
      </c>
      <c r="AG258">
        <v>48.92</v>
      </c>
      <c r="AJ258" s="156">
        <f t="shared" si="3"/>
        <v>0.24509403107113659</v>
      </c>
    </row>
    <row r="259" spans="1:36" x14ac:dyDescent="0.3">
      <c r="A259" s="152">
        <v>44918</v>
      </c>
      <c r="B259" s="153">
        <v>50.3</v>
      </c>
      <c r="C259" s="153">
        <v>51</v>
      </c>
      <c r="D259" s="153">
        <v>50</v>
      </c>
      <c r="E259" s="153">
        <v>50.4</v>
      </c>
      <c r="F259" s="154">
        <v>45332</v>
      </c>
      <c r="G259" s="155">
        <v>2271749.9</v>
      </c>
      <c r="H259" s="153">
        <v>51</v>
      </c>
      <c r="I259" s="155"/>
      <c r="J259" s="155"/>
      <c r="K259" s="155"/>
      <c r="L259" s="155"/>
      <c r="M259" s="155"/>
      <c r="N259" s="155"/>
      <c r="O259" s="148">
        <v>44918</v>
      </c>
      <c r="P259" s="149">
        <v>40.6</v>
      </c>
      <c r="Q259" s="149">
        <v>41</v>
      </c>
      <c r="R259" s="149">
        <v>40.6</v>
      </c>
      <c r="S259" s="149">
        <v>41</v>
      </c>
      <c r="T259" s="150">
        <v>2639</v>
      </c>
      <c r="U259" s="151">
        <v>108099.9</v>
      </c>
      <c r="V259" s="149">
        <v>5</v>
      </c>
      <c r="Z259" s="1">
        <v>44802</v>
      </c>
      <c r="AA259">
        <v>37.020000000000003</v>
      </c>
      <c r="AB259">
        <v>67379</v>
      </c>
      <c r="AC259">
        <v>46902</v>
      </c>
      <c r="AF259" s="1">
        <v>44802</v>
      </c>
      <c r="AG259">
        <v>49.11</v>
      </c>
      <c r="AJ259" s="156">
        <f t="shared" si="3"/>
        <v>0.24618204031765417</v>
      </c>
    </row>
    <row r="260" spans="1:36" x14ac:dyDescent="0.3">
      <c r="A260" s="152">
        <v>44917</v>
      </c>
      <c r="B260" s="153">
        <v>50.4</v>
      </c>
      <c r="C260" s="153">
        <v>50.5</v>
      </c>
      <c r="D260" s="153">
        <v>50</v>
      </c>
      <c r="E260" s="153">
        <v>50.1</v>
      </c>
      <c r="F260" s="154">
        <v>37804</v>
      </c>
      <c r="G260" s="155">
        <v>1896196.3</v>
      </c>
      <c r="H260" s="153">
        <v>42</v>
      </c>
      <c r="I260" s="155"/>
      <c r="J260" s="155"/>
      <c r="K260" s="155"/>
      <c r="L260" s="155"/>
      <c r="M260" s="155"/>
      <c r="N260" s="155"/>
      <c r="O260" s="148">
        <v>44917</v>
      </c>
      <c r="P260" s="149">
        <v>40.9</v>
      </c>
      <c r="Q260" s="149">
        <v>41</v>
      </c>
      <c r="R260" s="149">
        <v>40.9</v>
      </c>
      <c r="S260" s="149">
        <v>40.9</v>
      </c>
      <c r="T260" s="150">
        <v>2689</v>
      </c>
      <c r="U260" s="151">
        <v>110213.6</v>
      </c>
      <c r="V260" s="149">
        <v>11</v>
      </c>
      <c r="Z260" s="1">
        <v>44799</v>
      </c>
      <c r="AA260">
        <v>37.21</v>
      </c>
      <c r="AB260">
        <v>95541</v>
      </c>
      <c r="AC260">
        <v>43546</v>
      </c>
      <c r="AF260" s="1">
        <v>44799</v>
      </c>
      <c r="AG260">
        <v>49.39</v>
      </c>
      <c r="AJ260" s="156">
        <f t="shared" si="3"/>
        <v>0.2466086252277789</v>
      </c>
    </row>
    <row r="261" spans="1:36" x14ac:dyDescent="0.3">
      <c r="A261" s="152">
        <v>44916</v>
      </c>
      <c r="B261" s="153">
        <v>51</v>
      </c>
      <c r="C261" s="153">
        <v>51</v>
      </c>
      <c r="D261" s="153">
        <v>50</v>
      </c>
      <c r="E261" s="153">
        <v>50</v>
      </c>
      <c r="F261" s="154">
        <v>19948</v>
      </c>
      <c r="G261" s="155">
        <v>998594.9</v>
      </c>
      <c r="H261" s="153">
        <v>52</v>
      </c>
      <c r="I261" s="155"/>
      <c r="J261" s="155"/>
      <c r="K261" s="155"/>
      <c r="L261" s="155"/>
      <c r="M261" s="155"/>
      <c r="N261" s="155"/>
      <c r="O261" s="148">
        <v>44916</v>
      </c>
      <c r="P261" s="149">
        <v>41.5</v>
      </c>
      <c r="Q261" s="149">
        <v>41.5</v>
      </c>
      <c r="R261" s="149">
        <v>41</v>
      </c>
      <c r="S261" s="149">
        <v>41</v>
      </c>
      <c r="T261" s="150">
        <v>13505</v>
      </c>
      <c r="U261" s="151">
        <v>554471.19999999995</v>
      </c>
      <c r="V261" s="149">
        <v>16</v>
      </c>
      <c r="Z261" s="1">
        <v>44798</v>
      </c>
      <c r="AA261">
        <v>37.21</v>
      </c>
      <c r="AB261">
        <v>31594</v>
      </c>
      <c r="AC261">
        <v>38026</v>
      </c>
      <c r="AF261" s="1">
        <v>44798</v>
      </c>
      <c r="AG261">
        <v>49.02</v>
      </c>
      <c r="AJ261" s="156">
        <f t="shared" si="3"/>
        <v>0.24092207262341905</v>
      </c>
    </row>
    <row r="262" spans="1:36" x14ac:dyDescent="0.3">
      <c r="A262" s="152">
        <v>44915</v>
      </c>
      <c r="B262" s="153">
        <v>50.2</v>
      </c>
      <c r="C262" s="153">
        <v>51</v>
      </c>
      <c r="D262" s="153">
        <v>50.1</v>
      </c>
      <c r="E262" s="153">
        <v>50.3</v>
      </c>
      <c r="F262" s="154">
        <v>23421</v>
      </c>
      <c r="G262" s="155">
        <v>1178210.5</v>
      </c>
      <c r="H262" s="153">
        <v>66</v>
      </c>
      <c r="I262" s="155"/>
      <c r="J262" s="155"/>
      <c r="K262" s="155"/>
      <c r="L262" s="155"/>
      <c r="M262" s="155"/>
      <c r="N262" s="155"/>
      <c r="O262" s="148">
        <v>44915</v>
      </c>
      <c r="P262" s="149">
        <v>41.9</v>
      </c>
      <c r="Q262" s="149">
        <v>41.9</v>
      </c>
      <c r="R262" s="149">
        <v>41.5</v>
      </c>
      <c r="S262" s="149">
        <v>41.6</v>
      </c>
      <c r="T262" s="150">
        <v>3975</v>
      </c>
      <c r="U262" s="151">
        <v>165514.79999999999</v>
      </c>
      <c r="V262" s="149">
        <v>17</v>
      </c>
      <c r="Z262" s="1">
        <v>44797</v>
      </c>
      <c r="AA262">
        <v>37.39</v>
      </c>
      <c r="AB262">
        <v>42048</v>
      </c>
      <c r="AC262">
        <v>39295</v>
      </c>
      <c r="AF262" s="1">
        <v>44797</v>
      </c>
      <c r="AG262">
        <v>49.2</v>
      </c>
      <c r="AJ262" s="156">
        <f t="shared" ref="AJ262:AJ325" si="4">(AG262-AA262)/AG262</f>
        <v>0.2400406504065041</v>
      </c>
    </row>
    <row r="263" spans="1:36" x14ac:dyDescent="0.3">
      <c r="A263" s="152">
        <v>44914</v>
      </c>
      <c r="B263" s="153">
        <v>52</v>
      </c>
      <c r="C263" s="153">
        <v>52</v>
      </c>
      <c r="D263" s="153">
        <v>50.5</v>
      </c>
      <c r="E263" s="153">
        <v>50.9</v>
      </c>
      <c r="F263" s="154">
        <v>17243</v>
      </c>
      <c r="G263" s="155">
        <v>880478.4</v>
      </c>
      <c r="H263" s="153">
        <v>29</v>
      </c>
      <c r="I263" s="155"/>
      <c r="J263" s="155"/>
      <c r="K263" s="155"/>
      <c r="L263" s="155"/>
      <c r="M263" s="155"/>
      <c r="N263" s="155"/>
      <c r="O263" s="148">
        <v>44914</v>
      </c>
      <c r="P263" s="149">
        <v>42</v>
      </c>
      <c r="Q263" s="149">
        <v>42</v>
      </c>
      <c r="R263" s="149">
        <v>42</v>
      </c>
      <c r="S263" s="149">
        <v>42</v>
      </c>
      <c r="T263" s="149">
        <v>665</v>
      </c>
      <c r="U263" s="151">
        <v>27930</v>
      </c>
      <c r="V263" s="149">
        <v>3</v>
      </c>
      <c r="Z263" s="1">
        <v>44796</v>
      </c>
      <c r="AA263">
        <v>37.49</v>
      </c>
      <c r="AB263">
        <v>34176</v>
      </c>
      <c r="AC263">
        <v>43679</v>
      </c>
      <c r="AF263" s="1">
        <v>44796</v>
      </c>
      <c r="AG263">
        <v>49.58</v>
      </c>
      <c r="AJ263" s="156">
        <f t="shared" si="4"/>
        <v>0.24384832593787811</v>
      </c>
    </row>
    <row r="264" spans="1:36" x14ac:dyDescent="0.3">
      <c r="A264" s="152">
        <v>44911</v>
      </c>
      <c r="B264" s="153">
        <v>51.1</v>
      </c>
      <c r="C264" s="153">
        <v>51.5</v>
      </c>
      <c r="D264" s="153">
        <v>51.1</v>
      </c>
      <c r="E264" s="153">
        <v>51.5</v>
      </c>
      <c r="F264" s="154">
        <v>19373</v>
      </c>
      <c r="G264" s="155">
        <v>996003.8</v>
      </c>
      <c r="H264" s="153">
        <v>25</v>
      </c>
      <c r="I264" s="155"/>
      <c r="J264" s="155"/>
      <c r="K264" s="155"/>
      <c r="L264" s="155"/>
      <c r="M264" s="155"/>
      <c r="N264" s="155"/>
      <c r="O264" s="148">
        <v>44911</v>
      </c>
      <c r="P264" s="149">
        <v>42.2</v>
      </c>
      <c r="Q264" s="149">
        <v>42.2</v>
      </c>
      <c r="R264" s="149">
        <v>41.5</v>
      </c>
      <c r="S264" s="149">
        <v>41.5</v>
      </c>
      <c r="T264" s="150">
        <v>2570</v>
      </c>
      <c r="U264" s="151">
        <v>107816.5</v>
      </c>
      <c r="V264" s="149">
        <v>12</v>
      </c>
      <c r="Z264" s="1">
        <v>44795</v>
      </c>
      <c r="AA264">
        <v>37.49</v>
      </c>
      <c r="AB264">
        <v>73605</v>
      </c>
      <c r="AC264">
        <v>41709</v>
      </c>
      <c r="AF264" s="1">
        <v>44795</v>
      </c>
      <c r="AG264">
        <v>48.73</v>
      </c>
      <c r="AJ264" s="156">
        <f t="shared" si="4"/>
        <v>0.23065873178739987</v>
      </c>
    </row>
    <row r="265" spans="1:36" x14ac:dyDescent="0.3">
      <c r="A265" s="152">
        <v>44910</v>
      </c>
      <c r="B265" s="153">
        <v>51.8</v>
      </c>
      <c r="C265" s="153">
        <v>52.5</v>
      </c>
      <c r="D265" s="153">
        <v>51</v>
      </c>
      <c r="E265" s="153">
        <v>51.1</v>
      </c>
      <c r="F265" s="154">
        <v>16053</v>
      </c>
      <c r="G265" s="155">
        <v>826982.8</v>
      </c>
      <c r="H265" s="153">
        <v>58</v>
      </c>
      <c r="I265" s="155"/>
      <c r="J265" s="155"/>
      <c r="K265" s="155"/>
      <c r="L265" s="155"/>
      <c r="M265" s="155"/>
      <c r="N265" s="155"/>
      <c r="O265" s="148">
        <v>44910</v>
      </c>
      <c r="P265" s="149">
        <v>42.2</v>
      </c>
      <c r="Q265" s="149">
        <v>42.5</v>
      </c>
      <c r="R265" s="149">
        <v>42.2</v>
      </c>
      <c r="S265" s="149">
        <v>42.2</v>
      </c>
      <c r="T265" s="150">
        <v>11361</v>
      </c>
      <c r="U265" s="151">
        <v>479648.4</v>
      </c>
      <c r="V265" s="149">
        <v>19</v>
      </c>
      <c r="Z265" s="1">
        <v>44792</v>
      </c>
      <c r="AA265">
        <v>37.299999999999997</v>
      </c>
      <c r="AB265">
        <v>87212</v>
      </c>
      <c r="AC265">
        <v>40622</v>
      </c>
      <c r="AF265" s="1">
        <v>44792</v>
      </c>
      <c r="AG265">
        <v>48.73</v>
      </c>
      <c r="AJ265" s="156">
        <f t="shared" si="4"/>
        <v>0.23455776728914426</v>
      </c>
    </row>
    <row r="266" spans="1:36" x14ac:dyDescent="0.3">
      <c r="A266" s="152">
        <v>44909</v>
      </c>
      <c r="B266" s="153">
        <v>52.4</v>
      </c>
      <c r="C266" s="153">
        <v>52.8</v>
      </c>
      <c r="D266" s="153">
        <v>51.8</v>
      </c>
      <c r="E266" s="153">
        <v>52.3</v>
      </c>
      <c r="F266" s="154">
        <v>13636</v>
      </c>
      <c r="G266" s="155">
        <v>715123.1</v>
      </c>
      <c r="H266" s="153">
        <v>38</v>
      </c>
      <c r="I266" s="155"/>
      <c r="J266" s="155"/>
      <c r="K266" s="155"/>
      <c r="L266" s="155"/>
      <c r="M266" s="155"/>
      <c r="N266" s="155"/>
      <c r="O266" s="148">
        <v>44909</v>
      </c>
      <c r="P266" s="149">
        <v>42.5</v>
      </c>
      <c r="Q266" s="149">
        <v>42.5</v>
      </c>
      <c r="R266" s="149">
        <v>42.3</v>
      </c>
      <c r="S266" s="149">
        <v>42.4</v>
      </c>
      <c r="T266" s="149">
        <v>615</v>
      </c>
      <c r="U266" s="151">
        <v>26108.5</v>
      </c>
      <c r="V266" s="149">
        <v>6</v>
      </c>
      <c r="Z266" s="1">
        <v>44791</v>
      </c>
      <c r="AA266">
        <v>37.49</v>
      </c>
      <c r="AB266">
        <v>39133</v>
      </c>
      <c r="AC266">
        <v>36303</v>
      </c>
      <c r="AF266" s="1">
        <v>44791</v>
      </c>
      <c r="AG266">
        <v>48.35</v>
      </c>
      <c r="AJ266" s="156">
        <f t="shared" si="4"/>
        <v>0.224612202688728</v>
      </c>
    </row>
    <row r="267" spans="1:36" x14ac:dyDescent="0.3">
      <c r="A267" s="152">
        <v>44908</v>
      </c>
      <c r="B267" s="153">
        <v>50.2</v>
      </c>
      <c r="C267" s="153">
        <v>52.4</v>
      </c>
      <c r="D267" s="153">
        <v>50</v>
      </c>
      <c r="E267" s="153">
        <v>52</v>
      </c>
      <c r="F267" s="154">
        <v>106940</v>
      </c>
      <c r="G267" s="155">
        <v>5547135.7999999998</v>
      </c>
      <c r="H267" s="153">
        <v>92</v>
      </c>
      <c r="I267" s="155"/>
      <c r="J267" s="155"/>
      <c r="K267" s="155"/>
      <c r="L267" s="155"/>
      <c r="M267" s="155"/>
      <c r="N267" s="155"/>
      <c r="O267" s="148">
        <v>44908</v>
      </c>
      <c r="P267" s="149">
        <v>42.8</v>
      </c>
      <c r="Q267" s="149">
        <v>42.8</v>
      </c>
      <c r="R267" s="149">
        <v>42.5</v>
      </c>
      <c r="S267" s="149">
        <v>42.8</v>
      </c>
      <c r="T267" s="149">
        <v>319</v>
      </c>
      <c r="U267" s="151">
        <v>13652.3</v>
      </c>
      <c r="V267" s="149">
        <v>3</v>
      </c>
      <c r="Z267" s="1">
        <v>44790</v>
      </c>
      <c r="AA267">
        <v>38.33</v>
      </c>
      <c r="AB267">
        <v>24909</v>
      </c>
      <c r="AC267">
        <v>37062</v>
      </c>
      <c r="AF267" s="1">
        <v>44790</v>
      </c>
      <c r="AG267">
        <v>49.58</v>
      </c>
      <c r="AJ267" s="156">
        <f t="shared" si="4"/>
        <v>0.22690601048810005</v>
      </c>
    </row>
    <row r="268" spans="1:36" x14ac:dyDescent="0.3">
      <c r="A268" s="152">
        <v>44907</v>
      </c>
      <c r="B268" s="153">
        <v>51.9</v>
      </c>
      <c r="C268" s="153">
        <v>51.9</v>
      </c>
      <c r="D268" s="153">
        <v>50</v>
      </c>
      <c r="E268" s="153">
        <v>50.8</v>
      </c>
      <c r="F268" s="154">
        <v>35894</v>
      </c>
      <c r="G268" s="155">
        <v>1801914.6</v>
      </c>
      <c r="H268" s="153">
        <v>71</v>
      </c>
      <c r="I268" s="155"/>
      <c r="J268" s="155"/>
      <c r="K268" s="155"/>
      <c r="L268" s="155"/>
      <c r="M268" s="155"/>
      <c r="N268" s="155"/>
      <c r="O268" s="148">
        <v>44907</v>
      </c>
      <c r="P268" s="149">
        <v>42.5</v>
      </c>
      <c r="Q268" s="149">
        <v>42.9</v>
      </c>
      <c r="R268" s="149">
        <v>42.2</v>
      </c>
      <c r="S268" s="149">
        <v>42.4</v>
      </c>
      <c r="T268" s="150">
        <v>3159</v>
      </c>
      <c r="U268" s="151">
        <v>134052.20000000001</v>
      </c>
      <c r="V268" s="149">
        <v>12</v>
      </c>
      <c r="Z268" s="1">
        <v>44789</v>
      </c>
      <c r="AA268">
        <v>38.42</v>
      </c>
      <c r="AB268">
        <v>91191</v>
      </c>
      <c r="AC268">
        <v>36971</v>
      </c>
      <c r="AF268" s="1">
        <v>44789</v>
      </c>
      <c r="AG268">
        <v>50.72</v>
      </c>
      <c r="AJ268" s="156">
        <f t="shared" si="4"/>
        <v>0.24250788643533117</v>
      </c>
    </row>
    <row r="269" spans="1:36" x14ac:dyDescent="0.3">
      <c r="A269" s="152">
        <v>44904</v>
      </c>
      <c r="B269" s="153">
        <v>51.8</v>
      </c>
      <c r="C269" s="153">
        <v>51.8</v>
      </c>
      <c r="D269" s="153">
        <v>50</v>
      </c>
      <c r="E269" s="153">
        <v>50.5</v>
      </c>
      <c r="F269" s="154">
        <v>47972</v>
      </c>
      <c r="G269" s="155">
        <v>2407537.9</v>
      </c>
      <c r="H269" s="153">
        <v>68</v>
      </c>
      <c r="I269" s="155"/>
      <c r="J269" s="155"/>
      <c r="K269" s="155"/>
      <c r="L269" s="155"/>
      <c r="M269" s="155"/>
      <c r="N269" s="155"/>
      <c r="O269" s="148">
        <v>44904</v>
      </c>
      <c r="P269" s="149">
        <v>42.8</v>
      </c>
      <c r="Q269" s="149">
        <v>42.8</v>
      </c>
      <c r="R269" s="149">
        <v>42.2</v>
      </c>
      <c r="S269" s="149">
        <v>42.3</v>
      </c>
      <c r="T269" s="150">
        <v>19851</v>
      </c>
      <c r="U269" s="151">
        <v>846883</v>
      </c>
      <c r="V269" s="149">
        <v>24</v>
      </c>
      <c r="Z269" s="1">
        <v>44788</v>
      </c>
      <c r="AA269">
        <v>40.200000000000003</v>
      </c>
      <c r="AB269">
        <v>20168</v>
      </c>
      <c r="AC269">
        <v>31074</v>
      </c>
      <c r="AF269" s="1">
        <v>44788</v>
      </c>
      <c r="AG269">
        <v>52.7</v>
      </c>
      <c r="AJ269" s="156">
        <f t="shared" si="4"/>
        <v>0.23719165085388993</v>
      </c>
    </row>
    <row r="270" spans="1:36" x14ac:dyDescent="0.3">
      <c r="A270" s="152">
        <v>44903</v>
      </c>
      <c r="B270" s="153">
        <v>51</v>
      </c>
      <c r="C270" s="153">
        <v>51.5</v>
      </c>
      <c r="D270" s="153">
        <v>50</v>
      </c>
      <c r="E270" s="153">
        <v>51.2</v>
      </c>
      <c r="F270" s="154">
        <v>94282</v>
      </c>
      <c r="G270" s="155">
        <v>4727157.5</v>
      </c>
      <c r="H270" s="153">
        <v>67</v>
      </c>
      <c r="I270" s="155"/>
      <c r="J270" s="155"/>
      <c r="K270" s="155"/>
      <c r="L270" s="155"/>
      <c r="M270" s="155"/>
      <c r="N270" s="155"/>
      <c r="O270" s="148">
        <v>44903</v>
      </c>
      <c r="P270" s="149">
        <v>43.1</v>
      </c>
      <c r="Q270" s="149">
        <v>43.1</v>
      </c>
      <c r="R270" s="149">
        <v>42.7</v>
      </c>
      <c r="S270" s="149">
        <v>42.9</v>
      </c>
      <c r="T270" s="150">
        <v>5991</v>
      </c>
      <c r="U270" s="151">
        <v>256012.1</v>
      </c>
      <c r="V270" s="149">
        <v>14</v>
      </c>
      <c r="Z270" s="1">
        <v>44785</v>
      </c>
      <c r="AA270">
        <v>40.29</v>
      </c>
      <c r="AB270">
        <v>38229</v>
      </c>
      <c r="AC270">
        <v>30395</v>
      </c>
      <c r="AF270" s="1">
        <v>44785</v>
      </c>
      <c r="AG270">
        <v>51.75</v>
      </c>
      <c r="AJ270" s="156">
        <f t="shared" si="4"/>
        <v>0.22144927536231887</v>
      </c>
    </row>
    <row r="271" spans="1:36" x14ac:dyDescent="0.3">
      <c r="A271" s="152">
        <v>44901</v>
      </c>
      <c r="B271" s="153">
        <v>52.1</v>
      </c>
      <c r="C271" s="153">
        <v>52.1</v>
      </c>
      <c r="D271" s="153">
        <v>50</v>
      </c>
      <c r="E271" s="153">
        <v>50.5</v>
      </c>
      <c r="F271" s="154">
        <v>39347</v>
      </c>
      <c r="G271" s="155">
        <v>1990429.6</v>
      </c>
      <c r="H271" s="153">
        <v>112</v>
      </c>
      <c r="I271" s="155"/>
      <c r="J271" s="155"/>
      <c r="K271" s="155"/>
      <c r="L271" s="155"/>
      <c r="M271" s="155"/>
      <c r="N271" s="155"/>
      <c r="O271" s="148">
        <v>44901</v>
      </c>
      <c r="P271" s="149">
        <v>43</v>
      </c>
      <c r="Q271" s="149">
        <v>43.1</v>
      </c>
      <c r="R271" s="149">
        <v>42.6</v>
      </c>
      <c r="S271" s="149">
        <v>42.7</v>
      </c>
      <c r="T271" s="150">
        <v>14665</v>
      </c>
      <c r="U271" s="151">
        <v>627406.69999999995</v>
      </c>
      <c r="V271" s="149">
        <v>22</v>
      </c>
      <c r="Z271" s="1">
        <v>44783</v>
      </c>
      <c r="AA271">
        <v>40.76</v>
      </c>
      <c r="AB271">
        <v>6750</v>
      </c>
      <c r="AC271">
        <v>28378</v>
      </c>
      <c r="AF271" s="1">
        <v>44783</v>
      </c>
      <c r="AG271">
        <v>51.57</v>
      </c>
      <c r="AJ271" s="156">
        <f t="shared" si="4"/>
        <v>0.20961799495830913</v>
      </c>
    </row>
    <row r="272" spans="1:36" x14ac:dyDescent="0.3">
      <c r="A272" s="152">
        <v>44900</v>
      </c>
      <c r="B272" s="153">
        <v>52</v>
      </c>
      <c r="C272" s="153">
        <v>52.1</v>
      </c>
      <c r="D272" s="153">
        <v>50</v>
      </c>
      <c r="E272" s="153">
        <v>50.4</v>
      </c>
      <c r="F272" s="154">
        <v>40769</v>
      </c>
      <c r="G272" s="155">
        <v>2069715.9</v>
      </c>
      <c r="H272" s="153">
        <v>77</v>
      </c>
      <c r="I272" s="155"/>
      <c r="J272" s="155"/>
      <c r="K272" s="155"/>
      <c r="L272" s="155"/>
      <c r="M272" s="155"/>
      <c r="N272" s="155"/>
      <c r="O272" s="148">
        <v>44900</v>
      </c>
      <c r="P272" s="149">
        <v>42.6</v>
      </c>
      <c r="Q272" s="149">
        <v>43.1</v>
      </c>
      <c r="R272" s="149">
        <v>42.6</v>
      </c>
      <c r="S272" s="149">
        <v>42.8</v>
      </c>
      <c r="T272" s="150">
        <v>1394</v>
      </c>
      <c r="U272" s="151">
        <v>59481.1</v>
      </c>
      <c r="V272" s="149">
        <v>11</v>
      </c>
      <c r="Z272" s="1">
        <v>44782</v>
      </c>
      <c r="AA272">
        <v>40.76</v>
      </c>
      <c r="AB272">
        <v>35147</v>
      </c>
      <c r="AC272">
        <v>33174</v>
      </c>
      <c r="AF272" s="1">
        <v>44782</v>
      </c>
      <c r="AG272">
        <v>51</v>
      </c>
      <c r="AJ272" s="156">
        <f t="shared" si="4"/>
        <v>0.20078431372549024</v>
      </c>
    </row>
    <row r="273" spans="1:36" x14ac:dyDescent="0.3">
      <c r="A273" s="152">
        <v>44897</v>
      </c>
      <c r="B273" s="153">
        <v>50.2</v>
      </c>
      <c r="C273" s="153">
        <v>51.5</v>
      </c>
      <c r="D273" s="153">
        <v>50</v>
      </c>
      <c r="E273" s="153">
        <v>51</v>
      </c>
      <c r="F273" s="154">
        <v>182441</v>
      </c>
      <c r="G273" s="155">
        <v>9290766.1999999993</v>
      </c>
      <c r="H273" s="153">
        <v>103</v>
      </c>
      <c r="I273" s="155"/>
      <c r="J273" s="155"/>
      <c r="K273" s="155"/>
      <c r="L273" s="155"/>
      <c r="M273" s="155"/>
      <c r="N273" s="155"/>
      <c r="O273" s="148">
        <v>44897</v>
      </c>
      <c r="P273" s="149">
        <v>41.3</v>
      </c>
      <c r="Q273" s="149">
        <v>42.9</v>
      </c>
      <c r="R273" s="149">
        <v>41.3</v>
      </c>
      <c r="S273" s="149">
        <v>42.6</v>
      </c>
      <c r="T273" s="150">
        <v>15725</v>
      </c>
      <c r="U273" s="151">
        <v>667198.69999999995</v>
      </c>
      <c r="V273" s="149">
        <v>29</v>
      </c>
      <c r="Z273" s="1">
        <v>44781</v>
      </c>
      <c r="AA273">
        <v>39.08</v>
      </c>
      <c r="AB273">
        <v>16453</v>
      </c>
      <c r="AC273">
        <v>31379</v>
      </c>
      <c r="AF273" s="1">
        <v>44781</v>
      </c>
      <c r="AG273">
        <v>50.05</v>
      </c>
      <c r="AJ273" s="156">
        <f t="shared" si="4"/>
        <v>0.21918081918081916</v>
      </c>
    </row>
    <row r="274" spans="1:36" x14ac:dyDescent="0.3">
      <c r="A274" s="152">
        <v>44896</v>
      </c>
      <c r="B274" s="153">
        <v>52</v>
      </c>
      <c r="C274" s="153">
        <v>52</v>
      </c>
      <c r="D274" s="153">
        <v>50</v>
      </c>
      <c r="E274" s="153">
        <v>50.1</v>
      </c>
      <c r="F274" s="154">
        <v>37670</v>
      </c>
      <c r="G274" s="155">
        <v>1904352.7</v>
      </c>
      <c r="H274" s="153">
        <v>68</v>
      </c>
      <c r="I274" s="155"/>
      <c r="J274" s="155"/>
      <c r="K274" s="155"/>
      <c r="L274" s="155"/>
      <c r="M274" s="155"/>
      <c r="N274" s="155"/>
      <c r="O274" s="148">
        <v>44896</v>
      </c>
      <c r="P274" s="149">
        <v>41.7</v>
      </c>
      <c r="Q274" s="149">
        <v>42.5</v>
      </c>
      <c r="R274" s="149">
        <v>41.7</v>
      </c>
      <c r="S274" s="149">
        <v>41.8</v>
      </c>
      <c r="T274" s="149">
        <v>994</v>
      </c>
      <c r="U274" s="151">
        <v>41502.199999999997</v>
      </c>
      <c r="V274" s="149">
        <v>7</v>
      </c>
      <c r="Z274" s="1">
        <v>44778</v>
      </c>
      <c r="AA274">
        <v>39.450000000000003</v>
      </c>
      <c r="AB274">
        <v>17029</v>
      </c>
      <c r="AC274">
        <v>30699</v>
      </c>
      <c r="AF274" s="1">
        <v>44778</v>
      </c>
      <c r="AG274">
        <v>50.05</v>
      </c>
      <c r="AJ274" s="156">
        <f t="shared" si="4"/>
        <v>0.21178821178821169</v>
      </c>
    </row>
    <row r="275" spans="1:36" x14ac:dyDescent="0.3">
      <c r="A275" s="152">
        <v>44895</v>
      </c>
      <c r="B275" s="153">
        <v>50.1</v>
      </c>
      <c r="C275" s="153">
        <v>51.4</v>
      </c>
      <c r="D275" s="153">
        <v>50.1</v>
      </c>
      <c r="E275" s="153">
        <v>51.4</v>
      </c>
      <c r="F275" s="154">
        <v>20883</v>
      </c>
      <c r="G275" s="155">
        <v>1060606.8999999999</v>
      </c>
      <c r="H275" s="153">
        <v>50</v>
      </c>
      <c r="I275" s="155"/>
      <c r="J275" s="155"/>
      <c r="K275" s="155"/>
      <c r="L275" s="155"/>
      <c r="M275" s="155"/>
      <c r="N275" s="155"/>
      <c r="O275" s="148">
        <v>44895</v>
      </c>
      <c r="P275" s="149">
        <v>41.1</v>
      </c>
      <c r="Q275" s="149">
        <v>41.5</v>
      </c>
      <c r="R275" s="149">
        <v>40.1</v>
      </c>
      <c r="S275" s="149">
        <v>41.4</v>
      </c>
      <c r="T275" s="150">
        <v>8639</v>
      </c>
      <c r="U275" s="151">
        <v>355010.3</v>
      </c>
      <c r="V275" s="149">
        <v>44</v>
      </c>
      <c r="Z275" s="1">
        <v>44777</v>
      </c>
      <c r="AA275">
        <v>38.61</v>
      </c>
      <c r="AB275">
        <v>12742</v>
      </c>
      <c r="AC275">
        <v>29781</v>
      </c>
      <c r="AF275" s="1">
        <v>44777</v>
      </c>
      <c r="AG275">
        <v>49.58</v>
      </c>
      <c r="AJ275" s="156">
        <f t="shared" si="4"/>
        <v>0.22125857200484064</v>
      </c>
    </row>
    <row r="276" spans="1:36" x14ac:dyDescent="0.3">
      <c r="A276" s="152">
        <v>44894</v>
      </c>
      <c r="B276" s="153">
        <v>50.3</v>
      </c>
      <c r="C276" s="153">
        <v>51</v>
      </c>
      <c r="D276" s="153">
        <v>50</v>
      </c>
      <c r="E276" s="153">
        <v>50.1</v>
      </c>
      <c r="F276" s="154">
        <v>7997</v>
      </c>
      <c r="G276" s="155">
        <v>401269.8</v>
      </c>
      <c r="H276" s="153">
        <v>57</v>
      </c>
      <c r="I276" s="155"/>
      <c r="J276" s="155"/>
      <c r="K276" s="155"/>
      <c r="L276" s="155"/>
      <c r="M276" s="155"/>
      <c r="N276" s="155"/>
      <c r="O276" s="148">
        <v>44894</v>
      </c>
      <c r="P276" s="149">
        <v>41.3</v>
      </c>
      <c r="Q276" s="149">
        <v>41.5</v>
      </c>
      <c r="R276" s="149">
        <v>41</v>
      </c>
      <c r="S276" s="149">
        <v>41.2</v>
      </c>
      <c r="T276" s="150">
        <v>3863</v>
      </c>
      <c r="U276" s="151">
        <v>159549.6</v>
      </c>
      <c r="V276" s="149">
        <v>14</v>
      </c>
      <c r="Z276" s="1">
        <v>44776</v>
      </c>
      <c r="AA276">
        <v>38.42</v>
      </c>
      <c r="AB276">
        <v>50633</v>
      </c>
      <c r="AC276">
        <v>30605</v>
      </c>
      <c r="AF276" s="1">
        <v>44776</v>
      </c>
      <c r="AG276">
        <v>49.77</v>
      </c>
      <c r="AJ276" s="156">
        <f t="shared" si="4"/>
        <v>0.22804902551737996</v>
      </c>
    </row>
    <row r="277" spans="1:36" x14ac:dyDescent="0.3">
      <c r="A277" s="152">
        <v>44893</v>
      </c>
      <c r="B277" s="153">
        <v>50.8</v>
      </c>
      <c r="C277" s="153">
        <v>50.8</v>
      </c>
      <c r="D277" s="153">
        <v>50</v>
      </c>
      <c r="E277" s="153">
        <v>50.3</v>
      </c>
      <c r="F277" s="154">
        <v>29526</v>
      </c>
      <c r="G277" s="155">
        <v>1479688.5</v>
      </c>
      <c r="H277" s="153">
        <v>69</v>
      </c>
      <c r="I277" s="155"/>
      <c r="J277" s="155"/>
      <c r="K277" s="155"/>
      <c r="L277" s="155"/>
      <c r="M277" s="155"/>
      <c r="N277" s="155"/>
      <c r="O277" s="148">
        <v>44893</v>
      </c>
      <c r="P277" s="149">
        <v>41.2</v>
      </c>
      <c r="Q277" s="149">
        <v>41.4</v>
      </c>
      <c r="R277" s="149">
        <v>41</v>
      </c>
      <c r="S277" s="149">
        <v>41.1</v>
      </c>
      <c r="T277" s="150">
        <v>1510</v>
      </c>
      <c r="U277" s="151">
        <v>62120</v>
      </c>
      <c r="V277" s="149">
        <v>7</v>
      </c>
      <c r="Z277" s="1">
        <v>44775</v>
      </c>
      <c r="AA277">
        <v>38.42</v>
      </c>
      <c r="AB277">
        <v>107811</v>
      </c>
      <c r="AC277">
        <v>32856</v>
      </c>
      <c r="AF277" s="1">
        <v>44775</v>
      </c>
      <c r="AG277">
        <v>49.58</v>
      </c>
      <c r="AJ277" s="156">
        <f t="shared" si="4"/>
        <v>0.22509076240419518</v>
      </c>
    </row>
    <row r="278" spans="1:36" x14ac:dyDescent="0.3">
      <c r="A278" s="152">
        <v>44890</v>
      </c>
      <c r="B278" s="153">
        <v>51</v>
      </c>
      <c r="C278" s="153">
        <v>51</v>
      </c>
      <c r="D278" s="153">
        <v>50</v>
      </c>
      <c r="E278" s="153">
        <v>50.4</v>
      </c>
      <c r="F278" s="154">
        <v>48040</v>
      </c>
      <c r="G278" s="155">
        <v>2411460.9</v>
      </c>
      <c r="H278" s="153">
        <v>35</v>
      </c>
      <c r="I278" s="155"/>
      <c r="J278" s="155"/>
      <c r="K278" s="155"/>
      <c r="L278" s="155"/>
      <c r="M278" s="155"/>
      <c r="N278" s="155"/>
      <c r="O278" s="148">
        <v>44890</v>
      </c>
      <c r="P278" s="149">
        <v>41.2</v>
      </c>
      <c r="Q278" s="149">
        <v>41.3</v>
      </c>
      <c r="R278" s="149">
        <v>41.2</v>
      </c>
      <c r="S278" s="149">
        <v>41.2</v>
      </c>
      <c r="T278" s="150">
        <v>1730</v>
      </c>
      <c r="U278" s="151">
        <v>71286</v>
      </c>
      <c r="V278" s="149">
        <v>10</v>
      </c>
      <c r="Z278" s="1">
        <v>44774</v>
      </c>
      <c r="AA278">
        <v>39.83</v>
      </c>
      <c r="AB278">
        <v>4626</v>
      </c>
      <c r="AC278">
        <v>30077</v>
      </c>
      <c r="AF278" s="1">
        <v>44774</v>
      </c>
      <c r="AG278">
        <v>49.77</v>
      </c>
      <c r="AJ278" s="156">
        <f t="shared" si="4"/>
        <v>0.19971870604782005</v>
      </c>
    </row>
    <row r="279" spans="1:36" x14ac:dyDescent="0.3">
      <c r="A279" s="152">
        <v>44889</v>
      </c>
      <c r="B279" s="153">
        <v>50.5</v>
      </c>
      <c r="C279" s="153">
        <v>50.5</v>
      </c>
      <c r="D279" s="153">
        <v>49.9</v>
      </c>
      <c r="E279" s="153">
        <v>50.2</v>
      </c>
      <c r="F279" s="154">
        <v>5280</v>
      </c>
      <c r="G279" s="155">
        <v>264283.90000000002</v>
      </c>
      <c r="H279" s="153">
        <v>22</v>
      </c>
      <c r="I279" s="155"/>
      <c r="J279" s="155"/>
      <c r="K279" s="155"/>
      <c r="L279" s="155"/>
      <c r="M279" s="155"/>
      <c r="N279" s="155"/>
      <c r="O279" s="148">
        <v>44889</v>
      </c>
      <c r="P279" s="149">
        <v>40.6</v>
      </c>
      <c r="Q279" s="149">
        <v>40.799999999999997</v>
      </c>
      <c r="R279" s="149">
        <v>40.5</v>
      </c>
      <c r="S279" s="149">
        <v>40.6</v>
      </c>
      <c r="T279" s="150">
        <v>1449</v>
      </c>
      <c r="U279" s="151">
        <v>58899.199999999997</v>
      </c>
      <c r="V279" s="149">
        <v>6</v>
      </c>
      <c r="Z279" s="1">
        <v>44771</v>
      </c>
      <c r="AA279">
        <v>38.979999999999997</v>
      </c>
      <c r="AB279">
        <v>57294</v>
      </c>
      <c r="AC279">
        <v>31516</v>
      </c>
      <c r="AF279" s="1">
        <v>44771</v>
      </c>
      <c r="AG279">
        <v>49.77</v>
      </c>
      <c r="AJ279" s="156">
        <f t="shared" si="4"/>
        <v>0.21679726743017894</v>
      </c>
    </row>
    <row r="280" spans="1:36" x14ac:dyDescent="0.3">
      <c r="A280" s="152">
        <v>44888</v>
      </c>
      <c r="B280" s="153">
        <v>50.1</v>
      </c>
      <c r="C280" s="153">
        <v>50.4</v>
      </c>
      <c r="D280" s="153">
        <v>50</v>
      </c>
      <c r="E280" s="153">
        <v>50.3</v>
      </c>
      <c r="F280" s="154">
        <v>619370</v>
      </c>
      <c r="G280" s="155">
        <v>30971480.100000001</v>
      </c>
      <c r="H280" s="153">
        <v>44</v>
      </c>
      <c r="I280" s="155"/>
      <c r="J280" s="155"/>
      <c r="K280" s="155"/>
      <c r="L280" s="155"/>
      <c r="M280" s="155"/>
      <c r="N280" s="155"/>
      <c r="O280" s="148">
        <v>44888</v>
      </c>
      <c r="P280" s="149">
        <v>40.299999999999997</v>
      </c>
      <c r="Q280" s="149">
        <v>40.4</v>
      </c>
      <c r="R280" s="149">
        <v>40</v>
      </c>
      <c r="S280" s="149">
        <v>40.200000000000003</v>
      </c>
      <c r="T280" s="150">
        <v>12523</v>
      </c>
      <c r="U280" s="151">
        <v>503947.5</v>
      </c>
      <c r="V280" s="149">
        <v>18</v>
      </c>
      <c r="Z280" s="1">
        <v>44770</v>
      </c>
      <c r="AA280">
        <v>39.26</v>
      </c>
      <c r="AB280">
        <v>22430</v>
      </c>
      <c r="AC280">
        <v>29313</v>
      </c>
      <c r="AF280" s="1">
        <v>44770</v>
      </c>
      <c r="AG280">
        <v>49.2</v>
      </c>
      <c r="AJ280" s="156">
        <f t="shared" si="4"/>
        <v>0.20203252032520333</v>
      </c>
    </row>
    <row r="281" spans="1:36" x14ac:dyDescent="0.3">
      <c r="A281" s="152">
        <v>44887</v>
      </c>
      <c r="B281" s="153">
        <v>50</v>
      </c>
      <c r="C281" s="153">
        <v>50.4</v>
      </c>
      <c r="D281" s="153">
        <v>50</v>
      </c>
      <c r="E281" s="153">
        <v>50</v>
      </c>
      <c r="F281" s="154">
        <v>738669</v>
      </c>
      <c r="G281" s="155">
        <v>36933898.399999999</v>
      </c>
      <c r="H281" s="153">
        <v>46</v>
      </c>
      <c r="I281" s="155"/>
      <c r="J281" s="155"/>
      <c r="K281" s="155"/>
      <c r="L281" s="155"/>
      <c r="M281" s="155"/>
      <c r="N281" s="155"/>
      <c r="O281" s="148">
        <v>44887</v>
      </c>
      <c r="P281" s="149">
        <v>40.200000000000003</v>
      </c>
      <c r="Q281" s="149">
        <v>40.299999999999997</v>
      </c>
      <c r="R281" s="149">
        <v>40</v>
      </c>
      <c r="S281" s="149">
        <v>40.1</v>
      </c>
      <c r="T281" s="150">
        <v>10934</v>
      </c>
      <c r="U281" s="151">
        <v>437990</v>
      </c>
      <c r="V281" s="149">
        <v>15</v>
      </c>
      <c r="Z281" s="1">
        <v>44769</v>
      </c>
      <c r="AA281">
        <v>40.29</v>
      </c>
      <c r="AB281">
        <v>50514</v>
      </c>
      <c r="AC281">
        <v>28690</v>
      </c>
      <c r="AF281" s="1">
        <v>44769</v>
      </c>
      <c r="AG281">
        <v>49.11</v>
      </c>
      <c r="AJ281" s="156">
        <f t="shared" si="4"/>
        <v>0.1795968234575443</v>
      </c>
    </row>
    <row r="282" spans="1:36" x14ac:dyDescent="0.3">
      <c r="A282" s="152">
        <v>44886</v>
      </c>
      <c r="B282" s="153">
        <v>50</v>
      </c>
      <c r="C282" s="153">
        <v>50.5</v>
      </c>
      <c r="D282" s="153">
        <v>49.9</v>
      </c>
      <c r="E282" s="153">
        <v>50</v>
      </c>
      <c r="F282" s="154">
        <v>1171803</v>
      </c>
      <c r="G282" s="155">
        <v>58592179.799999997</v>
      </c>
      <c r="H282" s="153">
        <v>71</v>
      </c>
      <c r="I282" s="155"/>
      <c r="J282" s="155"/>
      <c r="K282" s="155"/>
      <c r="L282" s="155"/>
      <c r="M282" s="155"/>
      <c r="N282" s="155"/>
      <c r="O282" s="148">
        <v>44886</v>
      </c>
      <c r="P282" s="149">
        <v>40</v>
      </c>
      <c r="Q282" s="149">
        <v>40.299999999999997</v>
      </c>
      <c r="R282" s="149">
        <v>40</v>
      </c>
      <c r="S282" s="149">
        <v>40.1</v>
      </c>
      <c r="T282" s="150">
        <v>5549</v>
      </c>
      <c r="U282" s="151">
        <v>222047.1</v>
      </c>
      <c r="V282" s="149">
        <v>9</v>
      </c>
      <c r="Z282" s="1">
        <v>44768</v>
      </c>
      <c r="AA282">
        <v>42.07</v>
      </c>
      <c r="AB282">
        <v>23542</v>
      </c>
      <c r="AC282">
        <v>28889</v>
      </c>
      <c r="AF282" s="1">
        <v>44768</v>
      </c>
      <c r="AG282">
        <v>49.2</v>
      </c>
      <c r="AJ282" s="156">
        <f t="shared" si="4"/>
        <v>0.14491869918699191</v>
      </c>
    </row>
    <row r="283" spans="1:36" x14ac:dyDescent="0.3">
      <c r="A283" s="152">
        <v>44883</v>
      </c>
      <c r="B283" s="153">
        <v>51</v>
      </c>
      <c r="C283" s="153">
        <v>51.1</v>
      </c>
      <c r="D283" s="153">
        <v>50</v>
      </c>
      <c r="E283" s="153">
        <v>50</v>
      </c>
      <c r="F283" s="154">
        <v>186326</v>
      </c>
      <c r="G283" s="155">
        <v>9366875.5</v>
      </c>
      <c r="H283" s="153">
        <v>60</v>
      </c>
      <c r="I283" s="155"/>
      <c r="J283" s="155"/>
      <c r="K283" s="155"/>
      <c r="L283" s="155"/>
      <c r="M283" s="155"/>
      <c r="N283" s="155"/>
      <c r="O283" s="148">
        <v>44883</v>
      </c>
      <c r="P283" s="149">
        <v>40.1</v>
      </c>
      <c r="Q283" s="149">
        <v>40.799999999999997</v>
      </c>
      <c r="R283" s="149">
        <v>39.9</v>
      </c>
      <c r="S283" s="149">
        <v>40</v>
      </c>
      <c r="T283" s="150">
        <v>41155</v>
      </c>
      <c r="U283" s="151">
        <v>1646680.6</v>
      </c>
      <c r="V283" s="149">
        <v>29</v>
      </c>
      <c r="Z283" s="1">
        <v>44767</v>
      </c>
      <c r="AA283">
        <v>41.98</v>
      </c>
      <c r="AB283">
        <v>2748</v>
      </c>
      <c r="AC283">
        <v>32402</v>
      </c>
      <c r="AF283" s="1">
        <v>44767</v>
      </c>
      <c r="AG283">
        <v>50.05</v>
      </c>
      <c r="AJ283" s="156">
        <f t="shared" si="4"/>
        <v>0.16123876123876124</v>
      </c>
    </row>
    <row r="284" spans="1:36" x14ac:dyDescent="0.3">
      <c r="A284" s="152">
        <v>44882</v>
      </c>
      <c r="B284" s="153">
        <v>50</v>
      </c>
      <c r="C284" s="153">
        <v>52</v>
      </c>
      <c r="D284" s="153">
        <v>50</v>
      </c>
      <c r="E284" s="153">
        <v>50.9</v>
      </c>
      <c r="F284" s="154">
        <v>65264</v>
      </c>
      <c r="G284" s="155">
        <v>3315279.9</v>
      </c>
      <c r="H284" s="153">
        <v>53</v>
      </c>
      <c r="I284" s="155"/>
      <c r="J284" s="155"/>
      <c r="K284" s="155"/>
      <c r="L284" s="155"/>
      <c r="M284" s="155"/>
      <c r="N284" s="155"/>
      <c r="O284" s="148">
        <v>44882</v>
      </c>
      <c r="P284" s="149">
        <v>40.9</v>
      </c>
      <c r="Q284" s="149">
        <v>40.9</v>
      </c>
      <c r="R284" s="149">
        <v>40.1</v>
      </c>
      <c r="S284" s="149">
        <v>40.1</v>
      </c>
      <c r="T284" s="149">
        <v>552</v>
      </c>
      <c r="U284" s="151">
        <v>22150.400000000001</v>
      </c>
      <c r="V284" s="149">
        <v>7</v>
      </c>
      <c r="Z284" s="1">
        <v>44764</v>
      </c>
      <c r="AA284">
        <v>41.79</v>
      </c>
      <c r="AB284">
        <v>9971</v>
      </c>
      <c r="AC284">
        <v>32770</v>
      </c>
      <c r="AF284" s="1">
        <v>44764</v>
      </c>
      <c r="AG284">
        <v>50.15</v>
      </c>
      <c r="AJ284" s="156">
        <f t="shared" si="4"/>
        <v>0.1666999002991027</v>
      </c>
    </row>
    <row r="285" spans="1:36" x14ac:dyDescent="0.3">
      <c r="A285" s="152">
        <v>44881</v>
      </c>
      <c r="B285" s="153">
        <v>51</v>
      </c>
      <c r="C285" s="153">
        <v>51</v>
      </c>
      <c r="D285" s="153">
        <v>50</v>
      </c>
      <c r="E285" s="153">
        <v>50</v>
      </c>
      <c r="F285" s="154">
        <v>34594</v>
      </c>
      <c r="G285" s="155">
        <v>1731461.1</v>
      </c>
      <c r="H285" s="153">
        <v>57</v>
      </c>
      <c r="I285" s="155"/>
      <c r="J285" s="155"/>
      <c r="K285" s="155"/>
      <c r="L285" s="155"/>
      <c r="M285" s="155"/>
      <c r="N285" s="155"/>
      <c r="O285" s="148">
        <v>44881</v>
      </c>
      <c r="P285" s="149">
        <v>40.1</v>
      </c>
      <c r="Q285" s="149">
        <v>40.1</v>
      </c>
      <c r="R285" s="149">
        <v>40</v>
      </c>
      <c r="S285" s="149">
        <v>40.1</v>
      </c>
      <c r="T285" s="150">
        <v>30349</v>
      </c>
      <c r="U285" s="151">
        <v>1215661.2</v>
      </c>
      <c r="V285" s="149">
        <v>9</v>
      </c>
      <c r="Z285" s="1">
        <v>44763</v>
      </c>
      <c r="AA285">
        <v>40.76</v>
      </c>
      <c r="AB285">
        <v>7977</v>
      </c>
      <c r="AC285">
        <v>36118</v>
      </c>
      <c r="AF285" s="1">
        <v>44763</v>
      </c>
      <c r="AG285">
        <v>51</v>
      </c>
      <c r="AJ285" s="156">
        <f t="shared" si="4"/>
        <v>0.20078431372549024</v>
      </c>
    </row>
    <row r="286" spans="1:36" x14ac:dyDescent="0.3">
      <c r="A286" s="152">
        <v>44880</v>
      </c>
      <c r="B286" s="153">
        <v>51.5</v>
      </c>
      <c r="C286" s="153">
        <v>51.9</v>
      </c>
      <c r="D286" s="153">
        <v>51</v>
      </c>
      <c r="E286" s="153">
        <v>51</v>
      </c>
      <c r="F286" s="154">
        <v>19991</v>
      </c>
      <c r="G286" s="155">
        <v>1022387.2</v>
      </c>
      <c r="H286" s="153">
        <v>57</v>
      </c>
      <c r="I286" s="155"/>
      <c r="J286" s="155"/>
      <c r="K286" s="155"/>
      <c r="L286" s="155"/>
      <c r="M286" s="155"/>
      <c r="N286" s="155"/>
      <c r="O286" s="148">
        <v>44880</v>
      </c>
      <c r="P286" s="149">
        <v>40.9</v>
      </c>
      <c r="Q286" s="149">
        <v>40.9</v>
      </c>
      <c r="R286" s="149">
        <v>40</v>
      </c>
      <c r="S286" s="149">
        <v>40</v>
      </c>
      <c r="T286" s="150">
        <v>5749</v>
      </c>
      <c r="U286" s="151">
        <v>230134.5</v>
      </c>
      <c r="V286" s="149">
        <v>22</v>
      </c>
      <c r="Z286" s="1">
        <v>44762</v>
      </c>
      <c r="AA286">
        <v>39.54</v>
      </c>
      <c r="AB286">
        <v>78698</v>
      </c>
      <c r="AC286">
        <v>35955</v>
      </c>
      <c r="AF286" s="1">
        <v>44762</v>
      </c>
      <c r="AG286">
        <v>50.9</v>
      </c>
      <c r="AJ286" s="156">
        <f t="shared" si="4"/>
        <v>0.22318271119842828</v>
      </c>
    </row>
    <row r="287" spans="1:36" x14ac:dyDescent="0.3">
      <c r="A287" s="152">
        <v>44879</v>
      </c>
      <c r="B287" s="153">
        <v>50.9</v>
      </c>
      <c r="C287" s="153">
        <v>51.4</v>
      </c>
      <c r="D287" s="153">
        <v>50.2</v>
      </c>
      <c r="E287" s="153">
        <v>50.9</v>
      </c>
      <c r="F287" s="154">
        <v>44214</v>
      </c>
      <c r="G287" s="155">
        <v>2247111.2000000002</v>
      </c>
      <c r="H287" s="153">
        <v>39</v>
      </c>
      <c r="I287" s="155"/>
      <c r="J287" s="155"/>
      <c r="K287" s="155"/>
      <c r="L287" s="155"/>
      <c r="M287" s="155"/>
      <c r="N287" s="155"/>
      <c r="O287" s="148">
        <v>44879</v>
      </c>
      <c r="P287" s="149">
        <v>41</v>
      </c>
      <c r="Q287" s="149">
        <v>41</v>
      </c>
      <c r="R287" s="149">
        <v>40</v>
      </c>
      <c r="S287" s="149">
        <v>40.299999999999997</v>
      </c>
      <c r="T287" s="150">
        <v>2327</v>
      </c>
      <c r="U287" s="151">
        <v>93852.7</v>
      </c>
      <c r="V287" s="149">
        <v>23</v>
      </c>
      <c r="Z287" s="1">
        <v>44761</v>
      </c>
      <c r="AA287">
        <v>39.729999999999997</v>
      </c>
      <c r="AB287">
        <v>8212</v>
      </c>
      <c r="AC287">
        <v>37003</v>
      </c>
      <c r="AF287" s="1">
        <v>44761</v>
      </c>
      <c r="AG287">
        <v>50.24</v>
      </c>
      <c r="AJ287" s="156">
        <f t="shared" si="4"/>
        <v>0.20919585987261155</v>
      </c>
    </row>
    <row r="288" spans="1:36" x14ac:dyDescent="0.3">
      <c r="A288" s="152">
        <v>44876</v>
      </c>
      <c r="B288" s="153">
        <v>50.5</v>
      </c>
      <c r="C288" s="153">
        <v>50.6</v>
      </c>
      <c r="D288" s="153">
        <v>49.9</v>
      </c>
      <c r="E288" s="153">
        <v>50.4</v>
      </c>
      <c r="F288" s="154">
        <v>29662</v>
      </c>
      <c r="G288" s="155">
        <v>1486911.1</v>
      </c>
      <c r="H288" s="153">
        <v>58</v>
      </c>
      <c r="I288" s="155"/>
      <c r="J288" s="155"/>
      <c r="K288" s="155"/>
      <c r="L288" s="155"/>
      <c r="M288" s="155"/>
      <c r="N288" s="155"/>
      <c r="O288" s="148">
        <v>44876</v>
      </c>
      <c r="P288" s="149">
        <v>40</v>
      </c>
      <c r="Q288" s="149">
        <v>41.6</v>
      </c>
      <c r="R288" s="149">
        <v>40</v>
      </c>
      <c r="S288" s="149">
        <v>41</v>
      </c>
      <c r="T288" s="150">
        <v>11042</v>
      </c>
      <c r="U288" s="151">
        <v>443601.7</v>
      </c>
      <c r="V288" s="149">
        <v>22</v>
      </c>
      <c r="Z288" s="1">
        <v>44760</v>
      </c>
      <c r="AA288">
        <v>38.979999999999997</v>
      </c>
      <c r="AB288">
        <v>6262</v>
      </c>
      <c r="AC288">
        <v>38816</v>
      </c>
      <c r="AF288" s="1">
        <v>44760</v>
      </c>
      <c r="AG288">
        <v>49.02</v>
      </c>
      <c r="AJ288" s="156">
        <f t="shared" si="4"/>
        <v>0.20481436148510823</v>
      </c>
    </row>
    <row r="289" spans="1:36" x14ac:dyDescent="0.3">
      <c r="A289" s="152">
        <v>44875</v>
      </c>
      <c r="B289" s="153">
        <v>49.5</v>
      </c>
      <c r="C289" s="153">
        <v>50.8</v>
      </c>
      <c r="D289" s="153">
        <v>49</v>
      </c>
      <c r="E289" s="153">
        <v>50</v>
      </c>
      <c r="F289" s="154">
        <v>21711955</v>
      </c>
      <c r="G289" s="155">
        <v>1085594719</v>
      </c>
      <c r="H289" s="153">
        <v>110</v>
      </c>
      <c r="I289" s="155"/>
      <c r="J289" s="155"/>
      <c r="K289" s="155"/>
      <c r="L289" s="155"/>
      <c r="M289" s="155"/>
      <c r="N289" s="155"/>
      <c r="O289" s="148">
        <v>44875</v>
      </c>
      <c r="P289" s="149">
        <v>40</v>
      </c>
      <c r="Q289" s="149">
        <v>40</v>
      </c>
      <c r="R289" s="149">
        <v>40</v>
      </c>
      <c r="S289" s="149">
        <v>39.9</v>
      </c>
      <c r="T289" s="149">
        <v>85</v>
      </c>
      <c r="U289" s="151">
        <v>3400</v>
      </c>
      <c r="V289" s="149">
        <v>2</v>
      </c>
      <c r="Z289" s="1">
        <v>44757</v>
      </c>
      <c r="AA289">
        <v>39.92</v>
      </c>
      <c r="AB289">
        <v>3256</v>
      </c>
      <c r="AC289">
        <v>42976</v>
      </c>
      <c r="AF289" s="1">
        <v>44757</v>
      </c>
      <c r="AG289">
        <v>49.11</v>
      </c>
      <c r="AJ289" s="156">
        <f t="shared" si="4"/>
        <v>0.18713093056403987</v>
      </c>
    </row>
    <row r="290" spans="1:36" x14ac:dyDescent="0.3">
      <c r="A290" s="152">
        <v>44874</v>
      </c>
      <c r="B290" s="153">
        <v>50</v>
      </c>
      <c r="C290" s="153">
        <v>50</v>
      </c>
      <c r="D290" s="153">
        <v>48.9</v>
      </c>
      <c r="E290" s="153">
        <v>49.4</v>
      </c>
      <c r="F290" s="154">
        <v>29663</v>
      </c>
      <c r="G290" s="155">
        <v>1456431.6</v>
      </c>
      <c r="H290" s="153">
        <v>39</v>
      </c>
      <c r="I290" s="155"/>
      <c r="J290" s="155"/>
      <c r="K290" s="155"/>
      <c r="L290" s="155"/>
      <c r="M290" s="155"/>
      <c r="N290" s="155"/>
      <c r="O290" s="148">
        <v>44874</v>
      </c>
      <c r="P290" s="149">
        <v>40</v>
      </c>
      <c r="Q290" s="149">
        <v>40.1</v>
      </c>
      <c r="R290" s="149">
        <v>39.6</v>
      </c>
      <c r="S290" s="149">
        <v>39.9</v>
      </c>
      <c r="T290" s="150">
        <v>44572</v>
      </c>
      <c r="U290" s="151">
        <v>1782617.4</v>
      </c>
      <c r="V290" s="149">
        <v>30</v>
      </c>
      <c r="Z290" s="1">
        <v>44756</v>
      </c>
      <c r="AA290">
        <v>37.39</v>
      </c>
      <c r="AB290">
        <v>25096</v>
      </c>
      <c r="AC290">
        <v>47521</v>
      </c>
      <c r="AF290" s="1">
        <v>44756</v>
      </c>
      <c r="AG290">
        <v>48.64</v>
      </c>
      <c r="AJ290" s="156">
        <f t="shared" si="4"/>
        <v>0.23129111842105263</v>
      </c>
    </row>
    <row r="291" spans="1:36" x14ac:dyDescent="0.3">
      <c r="A291" s="152">
        <v>44873</v>
      </c>
      <c r="B291" s="153">
        <v>50.1</v>
      </c>
      <c r="C291" s="153">
        <v>50.1</v>
      </c>
      <c r="D291" s="153">
        <v>48.7</v>
      </c>
      <c r="E291" s="153">
        <v>49</v>
      </c>
      <c r="F291" s="154">
        <v>66861</v>
      </c>
      <c r="G291" s="155">
        <v>3303881.7</v>
      </c>
      <c r="H291" s="153">
        <v>123</v>
      </c>
      <c r="I291" s="155"/>
      <c r="J291" s="155"/>
      <c r="K291" s="155"/>
      <c r="L291" s="155"/>
      <c r="M291" s="155"/>
      <c r="N291" s="155"/>
      <c r="O291" s="148">
        <v>44873</v>
      </c>
      <c r="P291" s="149">
        <v>40.4</v>
      </c>
      <c r="Q291" s="149">
        <v>40.5</v>
      </c>
      <c r="R291" s="149">
        <v>40</v>
      </c>
      <c r="S291" s="149">
        <v>40.1</v>
      </c>
      <c r="T291" s="150">
        <v>20140</v>
      </c>
      <c r="U291" s="151">
        <v>807309.3</v>
      </c>
      <c r="V291" s="149">
        <v>35</v>
      </c>
      <c r="Z291" s="1">
        <v>44754</v>
      </c>
      <c r="AA291">
        <v>37.39</v>
      </c>
      <c r="AB291">
        <v>84400</v>
      </c>
      <c r="AC291">
        <v>46927</v>
      </c>
      <c r="AF291" s="1">
        <v>44754</v>
      </c>
      <c r="AG291">
        <v>48.73</v>
      </c>
      <c r="AJ291" s="156">
        <f t="shared" si="4"/>
        <v>0.23271085573568637</v>
      </c>
    </row>
    <row r="292" spans="1:36" x14ac:dyDescent="0.3">
      <c r="A292" s="152">
        <v>44869</v>
      </c>
      <c r="B292" s="153">
        <v>50.5</v>
      </c>
      <c r="C292" s="153">
        <v>50.5</v>
      </c>
      <c r="D292" s="153">
        <v>49.8</v>
      </c>
      <c r="E292" s="153">
        <v>50</v>
      </c>
      <c r="F292" s="154">
        <v>9928</v>
      </c>
      <c r="G292" s="155">
        <v>496337.3</v>
      </c>
      <c r="H292" s="153">
        <v>37</v>
      </c>
      <c r="I292" s="155"/>
      <c r="J292" s="155"/>
      <c r="K292" s="155"/>
      <c r="L292" s="155"/>
      <c r="M292" s="155"/>
      <c r="N292" s="155"/>
      <c r="O292" s="148">
        <v>44869</v>
      </c>
      <c r="P292" s="149">
        <v>40.1</v>
      </c>
      <c r="Q292" s="149">
        <v>40.200000000000003</v>
      </c>
      <c r="R292" s="149">
        <v>40.1</v>
      </c>
      <c r="S292" s="149">
        <v>40.200000000000003</v>
      </c>
      <c r="T292" s="149">
        <v>626</v>
      </c>
      <c r="U292" s="151">
        <v>25133.200000000001</v>
      </c>
      <c r="V292" s="149">
        <v>7</v>
      </c>
      <c r="Z292" s="1">
        <v>44753</v>
      </c>
      <c r="AA292">
        <v>37.39</v>
      </c>
      <c r="AB292">
        <v>66128</v>
      </c>
      <c r="AC292">
        <v>41512</v>
      </c>
      <c r="AF292" s="1">
        <v>44753</v>
      </c>
      <c r="AG292">
        <v>49.11</v>
      </c>
      <c r="AJ292" s="156">
        <f t="shared" si="4"/>
        <v>0.2386479332111586</v>
      </c>
    </row>
    <row r="293" spans="1:36" x14ac:dyDescent="0.3">
      <c r="A293" s="152">
        <v>44868</v>
      </c>
      <c r="B293" s="153">
        <v>50</v>
      </c>
      <c r="C293" s="153">
        <v>50.9</v>
      </c>
      <c r="D293" s="153">
        <v>49.5</v>
      </c>
      <c r="E293" s="153">
        <v>50</v>
      </c>
      <c r="F293" s="154">
        <v>14972</v>
      </c>
      <c r="G293" s="155">
        <v>749511.9</v>
      </c>
      <c r="H293" s="153">
        <v>55</v>
      </c>
      <c r="I293" s="155"/>
      <c r="J293" s="155"/>
      <c r="K293" s="155"/>
      <c r="L293" s="155"/>
      <c r="M293" s="155"/>
      <c r="N293" s="155"/>
      <c r="O293" s="148">
        <v>44868</v>
      </c>
      <c r="P293" s="149">
        <v>40.299999999999997</v>
      </c>
      <c r="Q293" s="149">
        <v>40.299999999999997</v>
      </c>
      <c r="R293" s="149">
        <v>40</v>
      </c>
      <c r="S293" s="149">
        <v>40.200000000000003</v>
      </c>
      <c r="T293" s="150">
        <v>1289</v>
      </c>
      <c r="U293" s="151">
        <v>51864.5</v>
      </c>
      <c r="V293" s="149">
        <v>14</v>
      </c>
      <c r="Z293" s="1">
        <v>44750</v>
      </c>
      <c r="AA293">
        <v>37.39</v>
      </c>
      <c r="AB293">
        <v>26210</v>
      </c>
      <c r="AC293">
        <v>37127</v>
      </c>
      <c r="AF293" s="1">
        <v>44750</v>
      </c>
      <c r="AG293">
        <v>47.41</v>
      </c>
      <c r="AJ293" s="156">
        <f t="shared" si="4"/>
        <v>0.21134781691626231</v>
      </c>
    </row>
    <row r="294" spans="1:36" x14ac:dyDescent="0.3">
      <c r="A294" s="152">
        <v>44867</v>
      </c>
      <c r="B294" s="153">
        <v>51.2</v>
      </c>
      <c r="C294" s="153">
        <v>51.2</v>
      </c>
      <c r="D294" s="153">
        <v>49.7</v>
      </c>
      <c r="E294" s="153">
        <v>50</v>
      </c>
      <c r="F294" s="154">
        <v>28552</v>
      </c>
      <c r="G294" s="155">
        <v>1424867.4</v>
      </c>
      <c r="H294" s="153">
        <v>68</v>
      </c>
      <c r="I294" s="155"/>
      <c r="J294" s="155"/>
      <c r="K294" s="155"/>
      <c r="L294" s="155"/>
      <c r="M294" s="155"/>
      <c r="N294" s="155"/>
      <c r="O294" s="148">
        <v>44867</v>
      </c>
      <c r="P294" s="149">
        <v>40.299999999999997</v>
      </c>
      <c r="Q294" s="149">
        <v>40.299999999999997</v>
      </c>
      <c r="R294" s="149">
        <v>40.200000000000003</v>
      </c>
      <c r="S294" s="149">
        <v>40.299999999999997</v>
      </c>
      <c r="T294" s="150">
        <v>1574</v>
      </c>
      <c r="U294" s="151">
        <v>63409.8</v>
      </c>
      <c r="V294" s="149">
        <v>7</v>
      </c>
      <c r="Z294" s="1">
        <v>44749</v>
      </c>
      <c r="AA294">
        <v>36.93</v>
      </c>
      <c r="AB294">
        <v>24256</v>
      </c>
      <c r="AC294">
        <v>38534</v>
      </c>
      <c r="AF294" s="1">
        <v>44749</v>
      </c>
      <c r="AG294">
        <v>47.22</v>
      </c>
      <c r="AJ294" s="156">
        <f t="shared" si="4"/>
        <v>0.21791613722998729</v>
      </c>
    </row>
    <row r="295" spans="1:36" x14ac:dyDescent="0.3">
      <c r="A295" s="152">
        <v>44866</v>
      </c>
      <c r="B295" s="153">
        <v>50.1</v>
      </c>
      <c r="C295" s="153">
        <v>51</v>
      </c>
      <c r="D295" s="153">
        <v>49.9</v>
      </c>
      <c r="E295" s="153">
        <v>50</v>
      </c>
      <c r="F295" s="154">
        <v>33432</v>
      </c>
      <c r="G295" s="155">
        <v>1671452.8</v>
      </c>
      <c r="H295" s="153">
        <v>94</v>
      </c>
      <c r="I295" s="155"/>
      <c r="J295" s="155"/>
      <c r="K295" s="155"/>
      <c r="L295" s="155"/>
      <c r="M295" s="155"/>
      <c r="N295" s="155"/>
      <c r="O295" s="148">
        <v>44866</v>
      </c>
      <c r="P295" s="149">
        <v>40.1</v>
      </c>
      <c r="Q295" s="149">
        <v>40.9</v>
      </c>
      <c r="R295" s="149">
        <v>40</v>
      </c>
      <c r="S295" s="149">
        <v>40.700000000000003</v>
      </c>
      <c r="T295" s="150">
        <v>12629</v>
      </c>
      <c r="U295" s="151">
        <v>511389.9</v>
      </c>
      <c r="V295" s="149">
        <v>21</v>
      </c>
      <c r="Z295" s="1">
        <v>44748</v>
      </c>
      <c r="AA295">
        <v>37.39</v>
      </c>
      <c r="AB295">
        <v>13079</v>
      </c>
      <c r="AC295">
        <v>37428</v>
      </c>
      <c r="AF295" s="1">
        <v>44748</v>
      </c>
      <c r="AG295">
        <v>47.22</v>
      </c>
      <c r="AJ295" s="156">
        <f t="shared" si="4"/>
        <v>0.20817450232952137</v>
      </c>
    </row>
    <row r="296" spans="1:36" x14ac:dyDescent="0.3">
      <c r="A296" s="152">
        <v>44865</v>
      </c>
      <c r="B296" s="153">
        <v>50.5</v>
      </c>
      <c r="C296" s="153">
        <v>50.5</v>
      </c>
      <c r="D296" s="153">
        <v>50</v>
      </c>
      <c r="E296" s="153">
        <v>50.2</v>
      </c>
      <c r="F296" s="154">
        <v>36996</v>
      </c>
      <c r="G296" s="155">
        <v>1856342.8</v>
      </c>
      <c r="H296" s="153">
        <v>64</v>
      </c>
      <c r="I296" s="155"/>
      <c r="J296" s="155"/>
      <c r="K296" s="155"/>
      <c r="L296" s="155"/>
      <c r="M296" s="155"/>
      <c r="N296" s="155"/>
      <c r="O296" s="148">
        <v>44865</v>
      </c>
      <c r="P296" s="149">
        <v>40.1</v>
      </c>
      <c r="Q296" s="149">
        <v>40.200000000000003</v>
      </c>
      <c r="R296" s="149">
        <v>40.1</v>
      </c>
      <c r="S296" s="149">
        <v>40.1</v>
      </c>
      <c r="T296" s="150">
        <v>3975</v>
      </c>
      <c r="U296" s="151">
        <v>159400.1</v>
      </c>
      <c r="V296" s="149">
        <v>17</v>
      </c>
      <c r="Z296" s="1">
        <v>44747</v>
      </c>
      <c r="AA296">
        <v>37.39</v>
      </c>
      <c r="AB296">
        <v>53494</v>
      </c>
      <c r="AC296">
        <v>36678</v>
      </c>
      <c r="AF296" s="1">
        <v>44747</v>
      </c>
      <c r="AG296">
        <v>47.22</v>
      </c>
      <c r="AJ296" s="156">
        <f t="shared" si="4"/>
        <v>0.20817450232952137</v>
      </c>
    </row>
    <row r="297" spans="1:36" x14ac:dyDescent="0.3">
      <c r="A297" s="152">
        <v>44862</v>
      </c>
      <c r="B297" s="153">
        <v>50.5</v>
      </c>
      <c r="C297" s="153">
        <v>51</v>
      </c>
      <c r="D297" s="153">
        <v>50</v>
      </c>
      <c r="E297" s="153">
        <v>50.1</v>
      </c>
      <c r="F297" s="154">
        <v>25487</v>
      </c>
      <c r="G297" s="155">
        <v>1278288.8999999999</v>
      </c>
      <c r="H297" s="153">
        <v>56</v>
      </c>
      <c r="I297" s="155"/>
      <c r="J297" s="155"/>
      <c r="K297" s="155"/>
      <c r="L297" s="155"/>
      <c r="M297" s="155"/>
      <c r="N297" s="155"/>
      <c r="O297" s="148">
        <v>44862</v>
      </c>
      <c r="P297" s="149">
        <v>40.4</v>
      </c>
      <c r="Q297" s="149">
        <v>41</v>
      </c>
      <c r="R297" s="149">
        <v>40.1</v>
      </c>
      <c r="S297" s="149">
        <v>40.1</v>
      </c>
      <c r="T297" s="150">
        <v>1006</v>
      </c>
      <c r="U297" s="151">
        <v>40353.5</v>
      </c>
      <c r="V297" s="149">
        <v>15</v>
      </c>
      <c r="Z297" s="1">
        <v>44746</v>
      </c>
      <c r="AA297">
        <v>37.39</v>
      </c>
      <c r="AB297">
        <v>76238</v>
      </c>
      <c r="AC297">
        <v>33268</v>
      </c>
      <c r="AF297" s="1">
        <v>44746</v>
      </c>
      <c r="AG297">
        <v>47.41</v>
      </c>
      <c r="AJ297" s="156">
        <f t="shared" si="4"/>
        <v>0.21134781691626231</v>
      </c>
    </row>
    <row r="298" spans="1:36" x14ac:dyDescent="0.3">
      <c r="A298" s="152">
        <v>44861</v>
      </c>
      <c r="B298" s="153">
        <v>50</v>
      </c>
      <c r="C298" s="153">
        <v>50.5</v>
      </c>
      <c r="D298" s="153">
        <v>49.5</v>
      </c>
      <c r="E298" s="153">
        <v>50.1</v>
      </c>
      <c r="F298" s="154">
        <v>84101</v>
      </c>
      <c r="G298" s="155">
        <v>4203413.0999999996</v>
      </c>
      <c r="H298" s="153">
        <v>105</v>
      </c>
      <c r="I298" s="155"/>
      <c r="J298" s="155"/>
      <c r="K298" s="155"/>
      <c r="L298" s="155"/>
      <c r="M298" s="155"/>
      <c r="N298" s="155"/>
      <c r="O298" s="148">
        <v>44861</v>
      </c>
      <c r="P298" s="149">
        <v>40</v>
      </c>
      <c r="Q298" s="149">
        <v>41.1</v>
      </c>
      <c r="R298" s="149">
        <v>40</v>
      </c>
      <c r="S298" s="149">
        <v>40.4</v>
      </c>
      <c r="T298" s="150">
        <v>10590</v>
      </c>
      <c r="U298" s="151">
        <v>428308.3</v>
      </c>
      <c r="V298" s="149">
        <v>38</v>
      </c>
      <c r="Z298" s="1">
        <v>44743</v>
      </c>
      <c r="AA298">
        <v>39.36</v>
      </c>
      <c r="AB298">
        <v>8278</v>
      </c>
      <c r="AC298">
        <v>30142</v>
      </c>
      <c r="AF298" s="1">
        <v>44743</v>
      </c>
      <c r="AG298">
        <v>47.69</v>
      </c>
      <c r="AJ298" s="156">
        <f t="shared" si="4"/>
        <v>0.17466974208429437</v>
      </c>
    </row>
    <row r="299" spans="1:36" x14ac:dyDescent="0.3">
      <c r="A299" s="152">
        <v>44860</v>
      </c>
      <c r="B299" s="153">
        <v>50.1</v>
      </c>
      <c r="C299" s="153">
        <v>50.2</v>
      </c>
      <c r="D299" s="153">
        <v>49.8</v>
      </c>
      <c r="E299" s="153">
        <v>49.9</v>
      </c>
      <c r="F299" s="154">
        <v>44997</v>
      </c>
      <c r="G299" s="155">
        <v>2246304.5</v>
      </c>
      <c r="H299" s="153">
        <v>100</v>
      </c>
      <c r="I299" s="155"/>
      <c r="J299" s="155"/>
      <c r="K299" s="155"/>
      <c r="L299" s="155"/>
      <c r="M299" s="155"/>
      <c r="N299" s="155"/>
      <c r="O299" s="148">
        <v>44860</v>
      </c>
      <c r="P299" s="149">
        <v>40</v>
      </c>
      <c r="Q299" s="149">
        <v>41.1</v>
      </c>
      <c r="R299" s="149">
        <v>39.9</v>
      </c>
      <c r="S299" s="149">
        <v>41</v>
      </c>
      <c r="T299" s="150">
        <v>4914</v>
      </c>
      <c r="U299" s="151">
        <v>197242.4</v>
      </c>
      <c r="V299" s="149">
        <v>21</v>
      </c>
      <c r="Z299" s="1">
        <v>44742</v>
      </c>
      <c r="AA299">
        <v>38.799999999999997</v>
      </c>
      <c r="AB299">
        <v>60182</v>
      </c>
      <c r="AC299">
        <v>30607</v>
      </c>
      <c r="AF299" s="1">
        <v>44742</v>
      </c>
      <c r="AG299">
        <v>47.79</v>
      </c>
      <c r="AJ299" s="156">
        <f t="shared" si="4"/>
        <v>0.1881146683406571</v>
      </c>
    </row>
    <row r="300" spans="1:36" x14ac:dyDescent="0.3">
      <c r="A300" s="152">
        <v>44859</v>
      </c>
      <c r="B300" s="153">
        <v>51</v>
      </c>
      <c r="C300" s="153">
        <v>51</v>
      </c>
      <c r="D300" s="153">
        <v>49.9</v>
      </c>
      <c r="E300" s="153">
        <v>50</v>
      </c>
      <c r="F300" s="154">
        <v>35814</v>
      </c>
      <c r="G300" s="155">
        <v>1795378.7</v>
      </c>
      <c r="H300" s="153">
        <v>108</v>
      </c>
      <c r="I300" s="155"/>
      <c r="J300" s="155"/>
      <c r="K300" s="155"/>
      <c r="L300" s="155"/>
      <c r="M300" s="155"/>
      <c r="N300" s="155"/>
      <c r="O300" s="148">
        <v>44859</v>
      </c>
      <c r="P300" s="149">
        <v>40.799999999999997</v>
      </c>
      <c r="Q300" s="149">
        <v>41.5</v>
      </c>
      <c r="R300" s="149">
        <v>39.9</v>
      </c>
      <c r="S300" s="149">
        <v>39.9</v>
      </c>
      <c r="T300" s="150">
        <v>47917</v>
      </c>
      <c r="U300" s="151">
        <v>1920152.7</v>
      </c>
      <c r="V300" s="149">
        <v>67</v>
      </c>
      <c r="Z300" s="1">
        <v>44741</v>
      </c>
      <c r="AA300">
        <v>39.450000000000003</v>
      </c>
      <c r="AB300">
        <v>5541</v>
      </c>
      <c r="AC300">
        <v>28110</v>
      </c>
      <c r="AF300" s="1">
        <v>44741</v>
      </c>
      <c r="AG300">
        <v>47.41</v>
      </c>
      <c r="AJ300" s="156">
        <f t="shared" si="4"/>
        <v>0.16789706812908656</v>
      </c>
    </row>
    <row r="301" spans="1:36" x14ac:dyDescent="0.3">
      <c r="A301" s="152">
        <v>44855</v>
      </c>
      <c r="B301" s="153">
        <v>50.9</v>
      </c>
      <c r="C301" s="153">
        <v>51</v>
      </c>
      <c r="D301" s="153">
        <v>50</v>
      </c>
      <c r="E301" s="153">
        <v>50.2</v>
      </c>
      <c r="F301" s="154">
        <v>11776</v>
      </c>
      <c r="G301" s="155">
        <v>591518.6</v>
      </c>
      <c r="H301" s="153">
        <v>44</v>
      </c>
      <c r="I301" s="155"/>
      <c r="J301" s="155"/>
      <c r="K301" s="155"/>
      <c r="L301" s="155"/>
      <c r="M301" s="155"/>
      <c r="N301" s="155"/>
      <c r="O301" s="148">
        <v>44855</v>
      </c>
      <c r="P301" s="149">
        <v>41.5</v>
      </c>
      <c r="Q301" s="149">
        <v>41.5</v>
      </c>
      <c r="R301" s="149">
        <v>41</v>
      </c>
      <c r="S301" s="149">
        <v>41.1</v>
      </c>
      <c r="T301" s="150">
        <v>2826</v>
      </c>
      <c r="U301" s="151">
        <v>116316</v>
      </c>
      <c r="V301" s="149">
        <v>5</v>
      </c>
      <c r="Z301" s="1">
        <v>44740</v>
      </c>
      <c r="AA301">
        <v>39.26</v>
      </c>
      <c r="AB301">
        <v>94407</v>
      </c>
      <c r="AC301">
        <v>28096</v>
      </c>
      <c r="AF301" s="1">
        <v>44740</v>
      </c>
      <c r="AG301">
        <v>47.32</v>
      </c>
      <c r="AJ301" s="156">
        <f t="shared" si="4"/>
        <v>0.17032967032967036</v>
      </c>
    </row>
    <row r="302" spans="1:36" x14ac:dyDescent="0.3">
      <c r="A302" s="152">
        <v>44854</v>
      </c>
      <c r="B302" s="153">
        <v>51.1</v>
      </c>
      <c r="C302" s="153">
        <v>51.1</v>
      </c>
      <c r="D302" s="153">
        <v>49.9</v>
      </c>
      <c r="E302" s="153">
        <v>50</v>
      </c>
      <c r="F302" s="154">
        <v>8060513</v>
      </c>
      <c r="G302" s="155">
        <v>403028705</v>
      </c>
      <c r="H302" s="153">
        <v>65</v>
      </c>
      <c r="I302" s="155"/>
      <c r="J302" s="155"/>
      <c r="K302" s="155"/>
      <c r="L302" s="155"/>
      <c r="M302" s="155"/>
      <c r="N302" s="155"/>
      <c r="O302" s="148">
        <v>44854</v>
      </c>
      <c r="P302" s="149">
        <v>41.5</v>
      </c>
      <c r="Q302" s="149">
        <v>41.5</v>
      </c>
      <c r="R302" s="149">
        <v>40.1</v>
      </c>
      <c r="S302" s="149">
        <v>40.200000000000003</v>
      </c>
      <c r="T302" s="150">
        <v>7557</v>
      </c>
      <c r="U302" s="151">
        <v>305434.5</v>
      </c>
      <c r="V302" s="149">
        <v>22</v>
      </c>
      <c r="Z302" s="1">
        <v>44739</v>
      </c>
      <c r="AA302">
        <v>41.13</v>
      </c>
      <c r="AB302">
        <v>35406</v>
      </c>
      <c r="AC302">
        <v>21943</v>
      </c>
      <c r="AF302" s="1">
        <v>44739</v>
      </c>
      <c r="AG302">
        <v>47.22</v>
      </c>
      <c r="AJ302" s="156">
        <f t="shared" si="4"/>
        <v>0.12897077509529853</v>
      </c>
    </row>
    <row r="303" spans="1:36" x14ac:dyDescent="0.3">
      <c r="A303" s="152">
        <v>44853</v>
      </c>
      <c r="B303" s="153">
        <v>51</v>
      </c>
      <c r="C303" s="153">
        <v>51.5</v>
      </c>
      <c r="D303" s="153">
        <v>50</v>
      </c>
      <c r="E303" s="153">
        <v>50.3</v>
      </c>
      <c r="F303" s="154">
        <v>28544</v>
      </c>
      <c r="G303" s="155">
        <v>1442256.1</v>
      </c>
      <c r="H303" s="153">
        <v>57</v>
      </c>
      <c r="I303" s="155"/>
      <c r="J303" s="155"/>
      <c r="K303" s="155"/>
      <c r="L303" s="155"/>
      <c r="M303" s="155"/>
      <c r="N303" s="155"/>
      <c r="O303" s="148">
        <v>44853</v>
      </c>
      <c r="P303" s="149">
        <v>41.5</v>
      </c>
      <c r="Q303" s="149">
        <v>41.6</v>
      </c>
      <c r="R303" s="149">
        <v>40</v>
      </c>
      <c r="S303" s="149">
        <v>40.1</v>
      </c>
      <c r="T303" s="150">
        <v>60071</v>
      </c>
      <c r="U303" s="151">
        <v>2415926.2000000002</v>
      </c>
      <c r="V303" s="149">
        <v>52</v>
      </c>
      <c r="Z303" s="1">
        <v>44736</v>
      </c>
      <c r="AA303">
        <v>41.98</v>
      </c>
      <c r="AB303">
        <v>68662</v>
      </c>
      <c r="AC303">
        <v>27143</v>
      </c>
      <c r="AF303" s="1">
        <v>44736</v>
      </c>
      <c r="AG303">
        <v>47.5</v>
      </c>
      <c r="AJ303" s="156">
        <f t="shared" si="4"/>
        <v>0.11621052631578954</v>
      </c>
    </row>
    <row r="304" spans="1:36" x14ac:dyDescent="0.3">
      <c r="A304" s="152">
        <v>44852</v>
      </c>
      <c r="B304" s="153">
        <v>51.4</v>
      </c>
      <c r="C304" s="153">
        <v>51.5</v>
      </c>
      <c r="D304" s="153">
        <v>49.9</v>
      </c>
      <c r="E304" s="153">
        <v>50</v>
      </c>
      <c r="F304" s="154">
        <v>65421</v>
      </c>
      <c r="G304" s="155">
        <v>3278690.7</v>
      </c>
      <c r="H304" s="153">
        <v>170</v>
      </c>
      <c r="I304" s="155"/>
      <c r="J304" s="155"/>
      <c r="K304" s="155"/>
      <c r="L304" s="155"/>
      <c r="M304" s="155"/>
      <c r="N304" s="155"/>
      <c r="O304" s="148">
        <v>44852</v>
      </c>
      <c r="P304" s="149">
        <v>41.7</v>
      </c>
      <c r="Q304" s="149">
        <v>41.7</v>
      </c>
      <c r="R304" s="149">
        <v>40.9</v>
      </c>
      <c r="S304" s="149">
        <v>41.2</v>
      </c>
      <c r="T304" s="150">
        <v>2120</v>
      </c>
      <c r="U304" s="151">
        <v>87389</v>
      </c>
      <c r="V304" s="149">
        <v>12</v>
      </c>
      <c r="Z304" s="1">
        <v>44735</v>
      </c>
      <c r="AA304">
        <v>41.79</v>
      </c>
      <c r="AB304">
        <v>71431</v>
      </c>
      <c r="AC304">
        <v>22740</v>
      </c>
      <c r="AF304" s="1">
        <v>44735</v>
      </c>
      <c r="AG304">
        <v>47.69</v>
      </c>
      <c r="AJ304" s="156">
        <f t="shared" si="4"/>
        <v>0.12371566366114486</v>
      </c>
    </row>
    <row r="305" spans="1:36" x14ac:dyDescent="0.3">
      <c r="A305" s="152">
        <v>44851</v>
      </c>
      <c r="B305" s="153">
        <v>51.5</v>
      </c>
      <c r="C305" s="153">
        <v>51.5</v>
      </c>
      <c r="D305" s="153">
        <v>50.2</v>
      </c>
      <c r="E305" s="153">
        <v>50.8</v>
      </c>
      <c r="F305" s="154">
        <v>114903</v>
      </c>
      <c r="G305" s="155">
        <v>5854501.0999999996</v>
      </c>
      <c r="H305" s="153">
        <v>113</v>
      </c>
      <c r="I305" s="155"/>
      <c r="J305" s="155"/>
      <c r="K305" s="155"/>
      <c r="L305" s="155"/>
      <c r="M305" s="155"/>
      <c r="N305" s="155"/>
      <c r="O305" s="148">
        <v>44851</v>
      </c>
      <c r="P305" s="149">
        <v>41.9</v>
      </c>
      <c r="Q305" s="149">
        <v>41.9</v>
      </c>
      <c r="R305" s="149">
        <v>40.9</v>
      </c>
      <c r="S305" s="149">
        <v>41.7</v>
      </c>
      <c r="T305" s="150">
        <v>3096</v>
      </c>
      <c r="U305" s="151">
        <v>128979.8</v>
      </c>
      <c r="V305" s="149">
        <v>9</v>
      </c>
      <c r="Z305" s="1">
        <v>44734</v>
      </c>
      <c r="AA305">
        <v>43</v>
      </c>
      <c r="AB305">
        <v>16200</v>
      </c>
      <c r="AC305">
        <v>18112</v>
      </c>
      <c r="AF305" s="1">
        <v>44734</v>
      </c>
      <c r="AG305">
        <v>48.07</v>
      </c>
      <c r="AJ305" s="156">
        <f t="shared" si="4"/>
        <v>0.10547118785105056</v>
      </c>
    </row>
    <row r="306" spans="1:36" x14ac:dyDescent="0.3">
      <c r="A306" s="152">
        <v>44848</v>
      </c>
      <c r="B306" s="153">
        <v>52.9</v>
      </c>
      <c r="C306" s="153">
        <v>52.9</v>
      </c>
      <c r="D306" s="153">
        <v>51</v>
      </c>
      <c r="E306" s="153">
        <v>51</v>
      </c>
      <c r="F306" s="154">
        <v>124822</v>
      </c>
      <c r="G306" s="155">
        <v>6372134.7000000002</v>
      </c>
      <c r="H306" s="153">
        <v>52</v>
      </c>
      <c r="I306" s="155"/>
      <c r="J306" s="155"/>
      <c r="K306" s="155"/>
      <c r="L306" s="155"/>
      <c r="M306" s="155"/>
      <c r="N306" s="155"/>
      <c r="O306" s="148">
        <v>44848</v>
      </c>
      <c r="P306" s="149">
        <v>41</v>
      </c>
      <c r="Q306" s="149">
        <v>41</v>
      </c>
      <c r="R306" s="149">
        <v>40.9</v>
      </c>
      <c r="S306" s="149">
        <v>41</v>
      </c>
      <c r="T306" s="150">
        <v>50841</v>
      </c>
      <c r="U306" s="151">
        <v>2084411</v>
      </c>
      <c r="V306" s="149">
        <v>26</v>
      </c>
      <c r="Z306" s="1">
        <v>44733</v>
      </c>
      <c r="AA306">
        <v>43.66</v>
      </c>
      <c r="AB306">
        <v>3175</v>
      </c>
      <c r="AC306">
        <v>17143</v>
      </c>
      <c r="AF306" s="1">
        <v>44733</v>
      </c>
      <c r="AG306">
        <v>47.98</v>
      </c>
      <c r="AJ306" s="156">
        <f t="shared" si="4"/>
        <v>9.0037515631513146E-2</v>
      </c>
    </row>
    <row r="307" spans="1:36" x14ac:dyDescent="0.3">
      <c r="A307" s="152">
        <v>44847</v>
      </c>
      <c r="B307" s="153">
        <v>52</v>
      </c>
      <c r="C307" s="153">
        <v>52</v>
      </c>
      <c r="D307" s="153">
        <v>51</v>
      </c>
      <c r="E307" s="153">
        <v>51</v>
      </c>
      <c r="F307" s="154">
        <v>620480</v>
      </c>
      <c r="G307" s="155">
        <v>31648778.5</v>
      </c>
      <c r="H307" s="153">
        <v>70</v>
      </c>
      <c r="I307" s="155"/>
      <c r="J307" s="155"/>
      <c r="K307" s="155"/>
      <c r="L307" s="155"/>
      <c r="M307" s="155"/>
      <c r="N307" s="155"/>
      <c r="O307" s="148">
        <v>44847</v>
      </c>
      <c r="P307" s="149">
        <v>40</v>
      </c>
      <c r="Q307" s="149">
        <v>41</v>
      </c>
      <c r="R307" s="149">
        <v>40</v>
      </c>
      <c r="S307" s="149">
        <v>41</v>
      </c>
      <c r="T307" s="150">
        <v>19684</v>
      </c>
      <c r="U307" s="151">
        <v>799441.3</v>
      </c>
      <c r="V307" s="149">
        <v>30</v>
      </c>
      <c r="Z307" s="1">
        <v>44732</v>
      </c>
      <c r="AA307">
        <v>43.56</v>
      </c>
      <c r="AB307">
        <v>340</v>
      </c>
      <c r="AC307">
        <v>19180</v>
      </c>
      <c r="AF307" s="1">
        <v>44732</v>
      </c>
      <c r="AG307">
        <v>47.5</v>
      </c>
      <c r="AJ307" s="156">
        <f t="shared" si="4"/>
        <v>8.2947368421052589E-2</v>
      </c>
    </row>
    <row r="308" spans="1:36" x14ac:dyDescent="0.3">
      <c r="A308" s="152">
        <v>44846</v>
      </c>
      <c r="B308" s="153">
        <v>51.1</v>
      </c>
      <c r="C308" s="153">
        <v>51.2</v>
      </c>
      <c r="D308" s="153">
        <v>50.5</v>
      </c>
      <c r="E308" s="153">
        <v>51</v>
      </c>
      <c r="F308" s="154">
        <v>448214</v>
      </c>
      <c r="G308" s="155">
        <v>22831850.300000001</v>
      </c>
      <c r="H308" s="153">
        <v>135</v>
      </c>
      <c r="I308" s="155"/>
      <c r="J308" s="155"/>
      <c r="K308" s="155"/>
      <c r="L308" s="155"/>
      <c r="M308" s="155"/>
      <c r="N308" s="155"/>
      <c r="O308" s="148">
        <v>44846</v>
      </c>
      <c r="P308" s="149">
        <v>40.1</v>
      </c>
      <c r="Q308" s="149">
        <v>41.1</v>
      </c>
      <c r="R308" s="149">
        <v>40.1</v>
      </c>
      <c r="S308" s="149">
        <v>40.299999999999997</v>
      </c>
      <c r="T308" s="150">
        <v>53604</v>
      </c>
      <c r="U308" s="151">
        <v>2169320.2000000002</v>
      </c>
      <c r="V308" s="149">
        <v>35</v>
      </c>
      <c r="Z308" s="1">
        <v>44729</v>
      </c>
      <c r="AA308">
        <v>42.26</v>
      </c>
      <c r="AB308">
        <v>47322</v>
      </c>
      <c r="AC308">
        <v>20506</v>
      </c>
      <c r="AF308" s="1">
        <v>44729</v>
      </c>
      <c r="AG308">
        <v>47.5</v>
      </c>
      <c r="AJ308" s="156">
        <f t="shared" si="4"/>
        <v>0.11031578947368426</v>
      </c>
    </row>
    <row r="309" spans="1:36" x14ac:dyDescent="0.3">
      <c r="A309" s="152">
        <v>44845</v>
      </c>
      <c r="B309" s="153">
        <v>51</v>
      </c>
      <c r="C309" s="153">
        <v>52</v>
      </c>
      <c r="D309" s="153">
        <v>50.5</v>
      </c>
      <c r="E309" s="153">
        <v>51.1</v>
      </c>
      <c r="F309" s="154">
        <v>230889</v>
      </c>
      <c r="G309" s="155">
        <v>11731321.199999999</v>
      </c>
      <c r="H309" s="153">
        <v>111</v>
      </c>
      <c r="I309" s="155"/>
      <c r="J309" s="155"/>
      <c r="K309" s="155"/>
      <c r="L309" s="155"/>
      <c r="M309" s="155"/>
      <c r="N309" s="155"/>
      <c r="O309" s="148">
        <v>44845</v>
      </c>
      <c r="P309" s="149">
        <v>42.4</v>
      </c>
      <c r="Q309" s="149">
        <v>42.4</v>
      </c>
      <c r="R309" s="149">
        <v>40</v>
      </c>
      <c r="S309" s="149">
        <v>40.1</v>
      </c>
      <c r="T309" s="150">
        <v>15429</v>
      </c>
      <c r="U309" s="151">
        <v>618902.1</v>
      </c>
      <c r="V309" s="149">
        <v>49</v>
      </c>
      <c r="Z309" s="1">
        <v>44728</v>
      </c>
      <c r="AA309">
        <v>44.22</v>
      </c>
      <c r="AB309">
        <v>7663</v>
      </c>
      <c r="AC309">
        <v>18989</v>
      </c>
      <c r="AF309" s="1">
        <v>44728</v>
      </c>
      <c r="AG309">
        <v>47.98</v>
      </c>
      <c r="AJ309" s="156">
        <f t="shared" si="4"/>
        <v>7.8365985827428056E-2</v>
      </c>
    </row>
    <row r="310" spans="1:36" x14ac:dyDescent="0.3">
      <c r="A310" s="152">
        <v>44841</v>
      </c>
      <c r="B310" s="153">
        <v>50.9</v>
      </c>
      <c r="C310" s="153">
        <v>51.5</v>
      </c>
      <c r="D310" s="153">
        <v>50.5</v>
      </c>
      <c r="E310" s="153">
        <v>50.6</v>
      </c>
      <c r="F310" s="154">
        <v>75354</v>
      </c>
      <c r="G310" s="155">
        <v>3820956.6</v>
      </c>
      <c r="H310" s="153">
        <v>85</v>
      </c>
      <c r="I310" s="155"/>
      <c r="J310" s="155"/>
      <c r="K310" s="155"/>
      <c r="L310" s="155"/>
      <c r="M310" s="155"/>
      <c r="N310" s="155"/>
      <c r="O310" s="148">
        <v>44841</v>
      </c>
      <c r="P310" s="149">
        <v>41</v>
      </c>
      <c r="Q310" s="149">
        <v>41</v>
      </c>
      <c r="R310" s="149">
        <v>40.1</v>
      </c>
      <c r="S310" s="149">
        <v>40.4</v>
      </c>
      <c r="T310" s="150">
        <v>80834</v>
      </c>
      <c r="U310" s="151">
        <v>3268749</v>
      </c>
      <c r="V310" s="149">
        <v>48</v>
      </c>
      <c r="Z310" s="1">
        <v>44727</v>
      </c>
      <c r="AA310">
        <v>44.59</v>
      </c>
      <c r="AB310">
        <v>1834</v>
      </c>
      <c r="AC310">
        <v>19546</v>
      </c>
      <c r="AF310" s="1">
        <v>44727</v>
      </c>
      <c r="AG310">
        <v>48.17</v>
      </c>
      <c r="AJ310" s="156">
        <f t="shared" si="4"/>
        <v>7.4320116254930416E-2</v>
      </c>
    </row>
    <row r="311" spans="1:36" x14ac:dyDescent="0.3">
      <c r="A311" s="152">
        <v>44840</v>
      </c>
      <c r="B311" s="153">
        <v>53</v>
      </c>
      <c r="C311" s="153">
        <v>53</v>
      </c>
      <c r="D311" s="153">
        <v>51</v>
      </c>
      <c r="E311" s="153">
        <v>51</v>
      </c>
      <c r="F311" s="154">
        <v>270897</v>
      </c>
      <c r="G311" s="155">
        <v>13838345.6</v>
      </c>
      <c r="H311" s="153">
        <v>144</v>
      </c>
      <c r="I311" s="155"/>
      <c r="J311" s="155"/>
      <c r="K311" s="155"/>
      <c r="L311" s="155"/>
      <c r="M311" s="155"/>
      <c r="N311" s="155"/>
      <c r="O311" s="148">
        <v>44840</v>
      </c>
      <c r="P311" s="149">
        <v>42.4</v>
      </c>
      <c r="Q311" s="149">
        <v>42.4</v>
      </c>
      <c r="R311" s="149">
        <v>40.799999999999997</v>
      </c>
      <c r="S311" s="149">
        <v>41</v>
      </c>
      <c r="T311" s="150">
        <v>32205</v>
      </c>
      <c r="U311" s="151">
        <v>1324355.3</v>
      </c>
      <c r="V311" s="149">
        <v>42</v>
      </c>
      <c r="Z311" s="1">
        <v>44725</v>
      </c>
      <c r="AA311">
        <v>44.69</v>
      </c>
      <c r="AB311">
        <v>2347</v>
      </c>
      <c r="AC311">
        <v>21467</v>
      </c>
      <c r="AF311" s="1">
        <v>44725</v>
      </c>
      <c r="AG311">
        <v>48.64</v>
      </c>
      <c r="AJ311" s="156">
        <f t="shared" si="4"/>
        <v>8.1208881578947428E-2</v>
      </c>
    </row>
    <row r="312" spans="1:36" x14ac:dyDescent="0.3">
      <c r="A312" s="152">
        <v>44839</v>
      </c>
      <c r="B312" s="153">
        <v>53.5</v>
      </c>
      <c r="C312" s="153">
        <v>53.9</v>
      </c>
      <c r="D312" s="153">
        <v>51.6</v>
      </c>
      <c r="E312" s="153">
        <v>52.3</v>
      </c>
      <c r="F312" s="154">
        <v>92423</v>
      </c>
      <c r="G312" s="155">
        <v>4840119.0999999996</v>
      </c>
      <c r="H312" s="153">
        <v>94</v>
      </c>
      <c r="I312" s="155"/>
      <c r="J312" s="155"/>
      <c r="K312" s="155"/>
      <c r="L312" s="155"/>
      <c r="M312" s="155"/>
      <c r="N312" s="155"/>
      <c r="O312" s="148">
        <v>44839</v>
      </c>
      <c r="P312" s="149">
        <v>41.5</v>
      </c>
      <c r="Q312" s="149">
        <v>43</v>
      </c>
      <c r="R312" s="149">
        <v>41.3</v>
      </c>
      <c r="S312" s="149">
        <v>42.4</v>
      </c>
      <c r="T312" s="150">
        <v>44307</v>
      </c>
      <c r="U312" s="151">
        <v>1893930.9</v>
      </c>
      <c r="V312" s="149">
        <v>33</v>
      </c>
      <c r="Z312" s="1">
        <v>44722</v>
      </c>
      <c r="AA312">
        <v>44.87</v>
      </c>
      <c r="AB312">
        <v>29341</v>
      </c>
      <c r="AC312">
        <v>22137</v>
      </c>
      <c r="AF312" s="1">
        <v>44722</v>
      </c>
      <c r="AG312">
        <v>48.64</v>
      </c>
      <c r="AJ312" s="156">
        <f t="shared" si="4"/>
        <v>7.7508223684210592E-2</v>
      </c>
    </row>
    <row r="313" spans="1:36" x14ac:dyDescent="0.3">
      <c r="A313" s="152">
        <v>44838</v>
      </c>
      <c r="B313" s="153">
        <v>54</v>
      </c>
      <c r="C313" s="153">
        <v>54.5</v>
      </c>
      <c r="D313" s="153">
        <v>53.5</v>
      </c>
      <c r="E313" s="153">
        <v>53.6</v>
      </c>
      <c r="F313" s="154">
        <v>81101</v>
      </c>
      <c r="G313" s="155">
        <v>4366019.7</v>
      </c>
      <c r="H313" s="153">
        <v>102</v>
      </c>
      <c r="I313" s="155"/>
      <c r="J313" s="155"/>
      <c r="K313" s="155"/>
      <c r="L313" s="155"/>
      <c r="M313" s="155"/>
      <c r="N313" s="155"/>
      <c r="O313" s="148">
        <v>44838</v>
      </c>
      <c r="P313" s="149">
        <v>43</v>
      </c>
      <c r="Q313" s="149">
        <v>43</v>
      </c>
      <c r="R313" s="149">
        <v>41.5</v>
      </c>
      <c r="S313" s="149">
        <v>41.6</v>
      </c>
      <c r="T313" s="150">
        <v>31017</v>
      </c>
      <c r="U313" s="151">
        <v>1294332.5</v>
      </c>
      <c r="V313" s="149">
        <v>32</v>
      </c>
      <c r="Z313" s="1">
        <v>44721</v>
      </c>
      <c r="AA313">
        <v>45.43</v>
      </c>
      <c r="AB313">
        <v>15249</v>
      </c>
      <c r="AC313">
        <v>20964</v>
      </c>
      <c r="AF313" s="1">
        <v>44721</v>
      </c>
      <c r="AG313">
        <v>49.2</v>
      </c>
      <c r="AJ313" s="156">
        <f t="shared" si="4"/>
        <v>7.662601626016266E-2</v>
      </c>
    </row>
    <row r="314" spans="1:36" x14ac:dyDescent="0.3">
      <c r="A314" s="152">
        <v>44837</v>
      </c>
      <c r="B314" s="153">
        <v>55.5</v>
      </c>
      <c r="C314" s="153">
        <v>55.5</v>
      </c>
      <c r="D314" s="153">
        <v>54</v>
      </c>
      <c r="E314" s="153">
        <v>54.6</v>
      </c>
      <c r="F314" s="154">
        <v>33642</v>
      </c>
      <c r="G314" s="155">
        <v>1843445.5</v>
      </c>
      <c r="H314" s="153">
        <v>65</v>
      </c>
      <c r="I314" s="155"/>
      <c r="J314" s="155"/>
      <c r="K314" s="155"/>
      <c r="L314" s="155"/>
      <c r="M314" s="155"/>
      <c r="N314" s="155"/>
      <c r="O314" s="148">
        <v>44837</v>
      </c>
      <c r="P314" s="149">
        <v>43</v>
      </c>
      <c r="Q314" s="149">
        <v>45</v>
      </c>
      <c r="R314" s="149">
        <v>41.7</v>
      </c>
      <c r="S314" s="149">
        <v>42</v>
      </c>
      <c r="T314" s="150">
        <v>22071</v>
      </c>
      <c r="U314" s="151">
        <v>948891.7</v>
      </c>
      <c r="V314" s="149">
        <v>26</v>
      </c>
      <c r="Z314" s="1">
        <v>44720</v>
      </c>
      <c r="AA314">
        <v>45.9</v>
      </c>
      <c r="AB314">
        <v>22739</v>
      </c>
      <c r="AC314">
        <v>20972</v>
      </c>
      <c r="AF314" s="1">
        <v>44720</v>
      </c>
      <c r="AG314">
        <v>49.3</v>
      </c>
      <c r="AJ314" s="156">
        <f t="shared" si="4"/>
        <v>6.8965517241379282E-2</v>
      </c>
    </row>
    <row r="315" spans="1:36" x14ac:dyDescent="0.3">
      <c r="A315" s="152">
        <v>44834</v>
      </c>
      <c r="B315" s="153">
        <v>55</v>
      </c>
      <c r="C315" s="153">
        <v>55.5</v>
      </c>
      <c r="D315" s="153">
        <v>54.5</v>
      </c>
      <c r="E315" s="153">
        <v>55</v>
      </c>
      <c r="F315" s="154">
        <v>2419463</v>
      </c>
      <c r="G315" s="155">
        <v>133071113.3</v>
      </c>
      <c r="H315" s="153">
        <v>66</v>
      </c>
      <c r="I315" s="155"/>
      <c r="J315" s="155"/>
      <c r="K315" s="155"/>
      <c r="L315" s="155"/>
      <c r="M315" s="155"/>
      <c r="N315" s="155"/>
      <c r="O315" s="148">
        <v>44834</v>
      </c>
      <c r="P315" s="149">
        <v>42.2</v>
      </c>
      <c r="Q315" s="149">
        <v>42.9</v>
      </c>
      <c r="R315" s="149">
        <v>41</v>
      </c>
      <c r="S315" s="149">
        <v>42.1</v>
      </c>
      <c r="T315" s="150">
        <v>16417</v>
      </c>
      <c r="U315" s="151">
        <v>682048</v>
      </c>
      <c r="V315" s="149">
        <v>21</v>
      </c>
      <c r="Z315" s="1">
        <v>44719</v>
      </c>
      <c r="AA315">
        <v>46.18</v>
      </c>
      <c r="AB315">
        <v>5328</v>
      </c>
      <c r="AC315">
        <v>20384</v>
      </c>
      <c r="AF315" s="1">
        <v>44719</v>
      </c>
      <c r="AG315">
        <v>49.11</v>
      </c>
      <c r="AJ315" s="156">
        <f t="shared" si="4"/>
        <v>5.9661983302789649E-2</v>
      </c>
    </row>
    <row r="316" spans="1:36" x14ac:dyDescent="0.3">
      <c r="A316" s="152">
        <v>44833</v>
      </c>
      <c r="B316" s="153">
        <v>55.2</v>
      </c>
      <c r="C316" s="153">
        <v>55.4</v>
      </c>
      <c r="D316" s="153">
        <v>54</v>
      </c>
      <c r="E316" s="153">
        <v>55</v>
      </c>
      <c r="F316" s="154">
        <v>366109</v>
      </c>
      <c r="G316" s="155">
        <v>20126455.800000001</v>
      </c>
      <c r="H316" s="153">
        <v>61</v>
      </c>
      <c r="I316" s="155"/>
      <c r="J316" s="155"/>
      <c r="K316" s="155"/>
      <c r="L316" s="155"/>
      <c r="M316" s="155"/>
      <c r="N316" s="155"/>
      <c r="O316" s="148">
        <v>44833</v>
      </c>
      <c r="P316" s="149">
        <v>42</v>
      </c>
      <c r="Q316" s="149">
        <v>42.9</v>
      </c>
      <c r="R316" s="149">
        <v>40.5</v>
      </c>
      <c r="S316" s="149">
        <v>40.9</v>
      </c>
      <c r="T316" s="150">
        <v>49106</v>
      </c>
      <c r="U316" s="151">
        <v>2006982.3</v>
      </c>
      <c r="V316" s="149">
        <v>35</v>
      </c>
      <c r="Z316" s="1">
        <v>44718</v>
      </c>
      <c r="AA316">
        <v>45.9</v>
      </c>
      <c r="AB316">
        <v>2107</v>
      </c>
      <c r="AC316">
        <v>22759</v>
      </c>
      <c r="AF316" s="1">
        <v>44718</v>
      </c>
      <c r="AG316">
        <v>49.58</v>
      </c>
      <c r="AJ316" s="156">
        <f t="shared" si="4"/>
        <v>7.4223477208551839E-2</v>
      </c>
    </row>
    <row r="317" spans="1:36" x14ac:dyDescent="0.3">
      <c r="A317" s="152">
        <v>44832</v>
      </c>
      <c r="B317" s="153">
        <v>55</v>
      </c>
      <c r="C317" s="153">
        <v>55.5</v>
      </c>
      <c r="D317" s="153">
        <v>53</v>
      </c>
      <c r="E317" s="153">
        <v>55</v>
      </c>
      <c r="F317" s="154">
        <v>160394</v>
      </c>
      <c r="G317" s="155">
        <v>8806559</v>
      </c>
      <c r="H317" s="153">
        <v>101</v>
      </c>
      <c r="I317" s="155"/>
      <c r="J317" s="155"/>
      <c r="K317" s="155"/>
      <c r="L317" s="155"/>
      <c r="M317" s="155"/>
      <c r="N317" s="155"/>
      <c r="O317" s="148">
        <v>44832</v>
      </c>
      <c r="P317" s="149">
        <v>42</v>
      </c>
      <c r="Q317" s="149">
        <v>43.4</v>
      </c>
      <c r="R317" s="149">
        <v>40</v>
      </c>
      <c r="S317" s="149">
        <v>40.299999999999997</v>
      </c>
      <c r="T317" s="150">
        <v>63715</v>
      </c>
      <c r="U317" s="151">
        <v>2605946</v>
      </c>
      <c r="V317" s="149">
        <v>129</v>
      </c>
      <c r="Z317" s="1">
        <v>44715</v>
      </c>
      <c r="AA317">
        <v>46.46</v>
      </c>
      <c r="AB317">
        <v>113402</v>
      </c>
      <c r="AC317">
        <v>26032</v>
      </c>
      <c r="AF317" s="1">
        <v>44715</v>
      </c>
      <c r="AG317">
        <v>49.77</v>
      </c>
      <c r="AJ317" s="156">
        <f t="shared" si="4"/>
        <v>6.6505927265420983E-2</v>
      </c>
    </row>
    <row r="318" spans="1:36" x14ac:dyDescent="0.3">
      <c r="A318" s="152">
        <v>44831</v>
      </c>
      <c r="B318" s="153">
        <v>53</v>
      </c>
      <c r="C318" s="153">
        <v>55.4</v>
      </c>
      <c r="D318" s="153">
        <v>51.9</v>
      </c>
      <c r="E318" s="153">
        <v>54.6</v>
      </c>
      <c r="F318" s="154">
        <v>5114265</v>
      </c>
      <c r="G318" s="155">
        <v>281204028.89999998</v>
      </c>
      <c r="H318" s="153">
        <v>92</v>
      </c>
      <c r="I318" s="155"/>
      <c r="J318" s="155"/>
      <c r="K318" s="155"/>
      <c r="L318" s="155"/>
      <c r="M318" s="155"/>
      <c r="N318" s="155"/>
      <c r="O318" s="148">
        <v>44831</v>
      </c>
      <c r="P318" s="149">
        <v>42</v>
      </c>
      <c r="Q318" s="149">
        <v>42</v>
      </c>
      <c r="R318" s="149">
        <v>40.200000000000003</v>
      </c>
      <c r="S318" s="149">
        <v>41.4</v>
      </c>
      <c r="T318" s="150">
        <v>67176</v>
      </c>
      <c r="U318" s="151">
        <v>2764755.6</v>
      </c>
      <c r="V318" s="149">
        <v>66</v>
      </c>
      <c r="Z318" s="1">
        <v>44714</v>
      </c>
      <c r="AA318">
        <v>46.28</v>
      </c>
      <c r="AB318">
        <v>2616</v>
      </c>
      <c r="AC318">
        <v>18942</v>
      </c>
      <c r="AF318" s="1">
        <v>44714</v>
      </c>
      <c r="AG318">
        <v>50.05</v>
      </c>
      <c r="AJ318" s="156">
        <f t="shared" si="4"/>
        <v>7.5324675324675253E-2</v>
      </c>
    </row>
    <row r="319" spans="1:36" x14ac:dyDescent="0.3">
      <c r="A319" s="152">
        <v>44830</v>
      </c>
      <c r="B319" s="153">
        <v>54.6</v>
      </c>
      <c r="C319" s="153">
        <v>54.6</v>
      </c>
      <c r="D319" s="153">
        <v>52</v>
      </c>
      <c r="E319" s="153">
        <v>52.2</v>
      </c>
      <c r="F319" s="154">
        <v>77167</v>
      </c>
      <c r="G319" s="155">
        <v>4080752.9</v>
      </c>
      <c r="H319" s="153">
        <v>142</v>
      </c>
      <c r="I319" s="155"/>
      <c r="J319" s="155"/>
      <c r="K319" s="155"/>
      <c r="L319" s="155"/>
      <c r="M319" s="155"/>
      <c r="N319" s="155"/>
      <c r="O319" s="148">
        <v>44830</v>
      </c>
      <c r="P319" s="149">
        <v>42</v>
      </c>
      <c r="Q319" s="149">
        <v>42.5</v>
      </c>
      <c r="R319" s="149">
        <v>41.8</v>
      </c>
      <c r="S319" s="149">
        <v>41.9</v>
      </c>
      <c r="T319" s="150">
        <v>8846</v>
      </c>
      <c r="U319" s="151">
        <v>371447.9</v>
      </c>
      <c r="V319" s="149">
        <v>42</v>
      </c>
      <c r="Z319" s="1">
        <v>44713</v>
      </c>
      <c r="AA319">
        <v>46.74</v>
      </c>
      <c r="AB319">
        <v>2011</v>
      </c>
      <c r="AC319">
        <v>19989</v>
      </c>
      <c r="AF319" s="1">
        <v>44713</v>
      </c>
      <c r="AG319">
        <v>50.24</v>
      </c>
      <c r="AJ319" s="156">
        <f t="shared" si="4"/>
        <v>6.96656050955414E-2</v>
      </c>
    </row>
    <row r="320" spans="1:36" x14ac:dyDescent="0.3">
      <c r="A320" s="152">
        <v>44827</v>
      </c>
      <c r="B320" s="153">
        <v>54.7</v>
      </c>
      <c r="C320" s="153">
        <v>55.4</v>
      </c>
      <c r="D320" s="153">
        <v>53.9</v>
      </c>
      <c r="E320" s="153">
        <v>54</v>
      </c>
      <c r="F320" s="154">
        <v>83941</v>
      </c>
      <c r="G320" s="155">
        <v>4565368.4000000004</v>
      </c>
      <c r="H320" s="153">
        <v>103</v>
      </c>
      <c r="I320" s="155"/>
      <c r="J320" s="155"/>
      <c r="K320" s="155"/>
      <c r="L320" s="155"/>
      <c r="M320" s="155"/>
      <c r="N320" s="155"/>
      <c r="O320" s="148">
        <v>44827</v>
      </c>
      <c r="P320" s="149">
        <v>42.5</v>
      </c>
      <c r="Q320" s="149">
        <v>43.2</v>
      </c>
      <c r="R320" s="149">
        <v>42</v>
      </c>
      <c r="S320" s="149">
        <v>42.2</v>
      </c>
      <c r="T320" s="150">
        <v>55112</v>
      </c>
      <c r="U320" s="151">
        <v>2322157.7000000002</v>
      </c>
      <c r="V320" s="149">
        <v>56</v>
      </c>
      <c r="Z320" s="1">
        <v>44712</v>
      </c>
      <c r="AA320">
        <v>46.74</v>
      </c>
      <c r="AB320">
        <v>1674</v>
      </c>
      <c r="AC320">
        <v>20110</v>
      </c>
      <c r="AF320" s="1">
        <v>44712</v>
      </c>
      <c r="AG320">
        <v>50.9</v>
      </c>
      <c r="AJ320" s="156">
        <f t="shared" si="4"/>
        <v>8.1728880157170863E-2</v>
      </c>
    </row>
    <row r="321" spans="1:36" x14ac:dyDescent="0.3">
      <c r="A321" s="152">
        <v>44826</v>
      </c>
      <c r="B321" s="153">
        <v>54.7</v>
      </c>
      <c r="C321" s="153">
        <v>54.7</v>
      </c>
      <c r="D321" s="153">
        <v>54</v>
      </c>
      <c r="E321" s="153">
        <v>54.4</v>
      </c>
      <c r="F321" s="154">
        <v>57086</v>
      </c>
      <c r="G321" s="155">
        <v>3105749.1</v>
      </c>
      <c r="H321" s="153">
        <v>94</v>
      </c>
      <c r="I321" s="155"/>
      <c r="J321" s="155"/>
      <c r="K321" s="155"/>
      <c r="L321" s="155"/>
      <c r="M321" s="155"/>
      <c r="N321" s="155"/>
      <c r="O321" s="148">
        <v>44826</v>
      </c>
      <c r="P321" s="149">
        <v>42.4</v>
      </c>
      <c r="Q321" s="149">
        <v>43.3</v>
      </c>
      <c r="R321" s="149">
        <v>42</v>
      </c>
      <c r="S321" s="149">
        <v>43.3</v>
      </c>
      <c r="T321" s="150">
        <v>54823</v>
      </c>
      <c r="U321" s="151">
        <v>2308085.2000000002</v>
      </c>
      <c r="V321" s="149">
        <v>32</v>
      </c>
      <c r="Z321" s="1">
        <v>44711</v>
      </c>
      <c r="AA321">
        <v>46.56</v>
      </c>
      <c r="AB321">
        <v>33721</v>
      </c>
      <c r="AC321">
        <v>27970</v>
      </c>
      <c r="AF321" s="1">
        <v>44711</v>
      </c>
      <c r="AG321">
        <v>49.58</v>
      </c>
      <c r="AJ321" s="156">
        <f t="shared" si="4"/>
        <v>6.0911657926583221E-2</v>
      </c>
    </row>
    <row r="322" spans="1:36" x14ac:dyDescent="0.3">
      <c r="A322" s="152">
        <v>44825</v>
      </c>
      <c r="B322" s="153">
        <v>55.6</v>
      </c>
      <c r="C322" s="153">
        <v>55.6</v>
      </c>
      <c r="D322" s="153">
        <v>54</v>
      </c>
      <c r="E322" s="153">
        <v>54.7</v>
      </c>
      <c r="F322" s="154">
        <v>38896</v>
      </c>
      <c r="G322" s="155">
        <v>2131602</v>
      </c>
      <c r="H322" s="153">
        <v>98</v>
      </c>
      <c r="I322" s="155"/>
      <c r="J322" s="155"/>
      <c r="K322" s="155"/>
      <c r="L322" s="155"/>
      <c r="M322" s="155"/>
      <c r="N322" s="155"/>
      <c r="O322" s="148">
        <v>44825</v>
      </c>
      <c r="P322" s="149">
        <v>44.1</v>
      </c>
      <c r="Q322" s="149">
        <v>44.1</v>
      </c>
      <c r="R322" s="149">
        <v>42.5</v>
      </c>
      <c r="S322" s="149">
        <v>42.6</v>
      </c>
      <c r="T322" s="150">
        <v>22354</v>
      </c>
      <c r="U322" s="151">
        <v>957480.3</v>
      </c>
      <c r="V322" s="149">
        <v>70</v>
      </c>
      <c r="Z322" s="1">
        <v>44708</v>
      </c>
      <c r="AA322">
        <v>46.84</v>
      </c>
      <c r="AB322">
        <v>20241</v>
      </c>
      <c r="AC322">
        <v>33980</v>
      </c>
      <c r="AF322" s="1">
        <v>44708</v>
      </c>
      <c r="AG322">
        <v>49.87</v>
      </c>
      <c r="AJ322" s="156">
        <f t="shared" si="4"/>
        <v>6.0757970723881977E-2</v>
      </c>
    </row>
    <row r="323" spans="1:36" x14ac:dyDescent="0.3">
      <c r="A323" s="152">
        <v>44824</v>
      </c>
      <c r="B323" s="153">
        <v>57</v>
      </c>
      <c r="C323" s="153">
        <v>57</v>
      </c>
      <c r="D323" s="153">
        <v>55</v>
      </c>
      <c r="E323" s="153">
        <v>55.1</v>
      </c>
      <c r="F323" s="154">
        <v>107532</v>
      </c>
      <c r="G323" s="155">
        <v>5923063.5</v>
      </c>
      <c r="H323" s="153">
        <v>88</v>
      </c>
      <c r="I323" s="155"/>
      <c r="J323" s="155"/>
      <c r="K323" s="155"/>
      <c r="L323" s="155"/>
      <c r="M323" s="155"/>
      <c r="N323" s="155"/>
      <c r="O323" s="148">
        <v>44824</v>
      </c>
      <c r="P323" s="149">
        <v>45.7</v>
      </c>
      <c r="Q323" s="149">
        <v>47.9</v>
      </c>
      <c r="R323" s="149">
        <v>44</v>
      </c>
      <c r="S323" s="149">
        <v>44.1</v>
      </c>
      <c r="T323" s="150">
        <v>26553</v>
      </c>
      <c r="U323" s="151">
        <v>1178391.2</v>
      </c>
      <c r="V323" s="149">
        <v>50</v>
      </c>
      <c r="Z323" s="1">
        <v>44707</v>
      </c>
      <c r="AA323">
        <v>46.84</v>
      </c>
      <c r="AB323">
        <v>24567</v>
      </c>
      <c r="AC323">
        <v>37419</v>
      </c>
      <c r="AF323" s="1">
        <v>44707</v>
      </c>
      <c r="AG323">
        <v>50.05</v>
      </c>
      <c r="AJ323" s="156">
        <f t="shared" si="4"/>
        <v>6.4135864135864015E-2</v>
      </c>
    </row>
    <row r="324" spans="1:36" x14ac:dyDescent="0.3">
      <c r="A324" s="152">
        <v>44823</v>
      </c>
      <c r="B324" s="153">
        <v>58</v>
      </c>
      <c r="C324" s="153">
        <v>58</v>
      </c>
      <c r="D324" s="153">
        <v>56</v>
      </c>
      <c r="E324" s="153">
        <v>56</v>
      </c>
      <c r="F324" s="154">
        <v>198713</v>
      </c>
      <c r="G324" s="155">
        <v>11147357.5</v>
      </c>
      <c r="H324" s="153">
        <v>100</v>
      </c>
      <c r="I324" s="155"/>
      <c r="J324" s="155"/>
      <c r="K324" s="155"/>
      <c r="L324" s="155"/>
      <c r="M324" s="155"/>
      <c r="N324" s="155"/>
      <c r="O324" s="148">
        <v>44823</v>
      </c>
      <c r="P324" s="149">
        <v>48</v>
      </c>
      <c r="Q324" s="149">
        <v>48</v>
      </c>
      <c r="R324" s="149">
        <v>44.9</v>
      </c>
      <c r="S324" s="149">
        <v>45.8</v>
      </c>
      <c r="T324" s="150">
        <v>14000</v>
      </c>
      <c r="U324" s="151">
        <v>637588.19999999995</v>
      </c>
      <c r="V324" s="149">
        <v>45</v>
      </c>
      <c r="Z324" s="1">
        <v>44706</v>
      </c>
      <c r="AA324">
        <v>47.87</v>
      </c>
      <c r="AB324">
        <v>16007</v>
      </c>
      <c r="AC324">
        <v>39029</v>
      </c>
      <c r="AF324" s="1">
        <v>44706</v>
      </c>
      <c r="AG324">
        <v>50.15</v>
      </c>
      <c r="AJ324" s="156">
        <f t="shared" si="4"/>
        <v>4.5463609172482579E-2</v>
      </c>
    </row>
    <row r="325" spans="1:36" x14ac:dyDescent="0.3">
      <c r="A325" s="152">
        <v>44820</v>
      </c>
      <c r="B325" s="153">
        <v>59</v>
      </c>
      <c r="C325" s="153">
        <v>59</v>
      </c>
      <c r="D325" s="153">
        <v>56</v>
      </c>
      <c r="E325" s="153">
        <v>57.3</v>
      </c>
      <c r="F325" s="154">
        <v>146958</v>
      </c>
      <c r="G325" s="155">
        <v>8415337.8000000007</v>
      </c>
      <c r="H325" s="153">
        <v>146</v>
      </c>
      <c r="I325" s="155"/>
      <c r="J325" s="155"/>
      <c r="K325" s="155"/>
      <c r="L325" s="155"/>
      <c r="M325" s="155"/>
      <c r="N325" s="155"/>
      <c r="O325" s="148">
        <v>44820</v>
      </c>
      <c r="P325" s="149">
        <v>46.4</v>
      </c>
      <c r="Q325" s="149">
        <v>50.6</v>
      </c>
      <c r="R325" s="149">
        <v>45.7</v>
      </c>
      <c r="S325" s="149">
        <v>46.3</v>
      </c>
      <c r="T325" s="150">
        <v>74289</v>
      </c>
      <c r="U325" s="151">
        <v>3585329.8</v>
      </c>
      <c r="V325" s="149">
        <v>92</v>
      </c>
      <c r="Z325" s="1">
        <v>44705</v>
      </c>
      <c r="AA325">
        <v>48.61</v>
      </c>
      <c r="AB325">
        <v>30650</v>
      </c>
      <c r="AC325">
        <v>45709</v>
      </c>
      <c r="AF325" s="1">
        <v>44705</v>
      </c>
      <c r="AG325">
        <v>50.34</v>
      </c>
      <c r="AJ325" s="156">
        <f t="shared" si="4"/>
        <v>3.4366309098132777E-2</v>
      </c>
    </row>
    <row r="326" spans="1:36" x14ac:dyDescent="0.3">
      <c r="A326" s="152">
        <v>44819</v>
      </c>
      <c r="B326" s="153">
        <v>56</v>
      </c>
      <c r="C326" s="153">
        <v>59.9</v>
      </c>
      <c r="D326" s="153">
        <v>56</v>
      </c>
      <c r="E326" s="153">
        <v>58.5</v>
      </c>
      <c r="F326" s="154">
        <v>270636</v>
      </c>
      <c r="G326" s="155">
        <v>15801315.800000001</v>
      </c>
      <c r="H326" s="153">
        <v>353</v>
      </c>
      <c r="I326" s="155"/>
      <c r="J326" s="155"/>
      <c r="K326" s="155"/>
      <c r="L326" s="155"/>
      <c r="M326" s="155"/>
      <c r="N326" s="155"/>
      <c r="O326" s="148">
        <v>44819</v>
      </c>
      <c r="P326" s="149">
        <v>44.1</v>
      </c>
      <c r="Q326" s="149">
        <v>47</v>
      </c>
      <c r="R326" s="149">
        <v>44.1</v>
      </c>
      <c r="S326" s="149">
        <v>45.6</v>
      </c>
      <c r="T326" s="150">
        <v>90876</v>
      </c>
      <c r="U326" s="151">
        <v>4160533</v>
      </c>
      <c r="V326" s="149">
        <v>152</v>
      </c>
      <c r="Z326" s="1">
        <v>44704</v>
      </c>
      <c r="AA326">
        <v>49.08</v>
      </c>
      <c r="AB326">
        <v>12408</v>
      </c>
      <c r="AC326">
        <v>43786</v>
      </c>
      <c r="AF326" s="1">
        <v>44704</v>
      </c>
      <c r="AG326">
        <v>50.34</v>
      </c>
      <c r="AJ326" s="156">
        <f t="shared" ref="AJ326:AJ389" si="5">(AG326-AA326)/AG326</f>
        <v>2.5029797377830849E-2</v>
      </c>
    </row>
    <row r="327" spans="1:36" x14ac:dyDescent="0.3">
      <c r="A327" s="152">
        <v>44818</v>
      </c>
      <c r="B327" s="153">
        <v>56</v>
      </c>
      <c r="C327" s="153">
        <v>57</v>
      </c>
      <c r="D327" s="153">
        <v>54.1</v>
      </c>
      <c r="E327" s="153">
        <v>56</v>
      </c>
      <c r="F327" s="154">
        <v>197333</v>
      </c>
      <c r="G327" s="155">
        <v>11030244</v>
      </c>
      <c r="H327" s="153">
        <v>210</v>
      </c>
      <c r="I327" s="155"/>
      <c r="J327" s="155"/>
      <c r="K327" s="155"/>
      <c r="L327" s="155"/>
      <c r="M327" s="155"/>
      <c r="N327" s="155"/>
      <c r="O327" s="148">
        <v>44818</v>
      </c>
      <c r="P327" s="149">
        <v>41.8</v>
      </c>
      <c r="Q327" s="149">
        <v>43</v>
      </c>
      <c r="R327" s="149">
        <v>41.5</v>
      </c>
      <c r="S327" s="149">
        <v>43</v>
      </c>
      <c r="T327" s="150">
        <v>91589</v>
      </c>
      <c r="U327" s="151">
        <v>3917123</v>
      </c>
      <c r="V327" s="149">
        <v>114</v>
      </c>
      <c r="Z327" s="1">
        <v>44701</v>
      </c>
      <c r="AA327">
        <v>48.33</v>
      </c>
      <c r="AB327">
        <v>11740</v>
      </c>
      <c r="AC327">
        <v>44846</v>
      </c>
      <c r="AF327" s="1">
        <v>44701</v>
      </c>
      <c r="AG327">
        <v>50.53</v>
      </c>
      <c r="AJ327" s="156">
        <f t="shared" si="5"/>
        <v>4.3538491984959488E-2</v>
      </c>
    </row>
    <row r="328" spans="1:36" x14ac:dyDescent="0.3">
      <c r="A328" s="152">
        <v>44817</v>
      </c>
      <c r="B328" s="153">
        <v>52.5</v>
      </c>
      <c r="C328" s="153">
        <v>55</v>
      </c>
      <c r="D328" s="153">
        <v>52.4</v>
      </c>
      <c r="E328" s="153">
        <v>53.5</v>
      </c>
      <c r="F328" s="154">
        <v>104955</v>
      </c>
      <c r="G328" s="155">
        <v>5598149.4000000004</v>
      </c>
      <c r="H328" s="153">
        <v>96</v>
      </c>
      <c r="I328" s="155"/>
      <c r="J328" s="155"/>
      <c r="K328" s="155"/>
      <c r="L328" s="155"/>
      <c r="M328" s="155"/>
      <c r="N328" s="155"/>
      <c r="O328" s="148">
        <v>44817</v>
      </c>
      <c r="P328" s="149">
        <v>40</v>
      </c>
      <c r="Q328" s="149">
        <v>41.8</v>
      </c>
      <c r="R328" s="149">
        <v>40</v>
      </c>
      <c r="S328" s="149">
        <v>41.6</v>
      </c>
      <c r="T328" s="150">
        <v>41690</v>
      </c>
      <c r="U328" s="151">
        <v>1678171.9</v>
      </c>
      <c r="V328" s="149">
        <v>45</v>
      </c>
      <c r="Z328" s="1">
        <v>44700</v>
      </c>
      <c r="AA328">
        <v>48.33</v>
      </c>
      <c r="AB328">
        <v>15364</v>
      </c>
      <c r="AC328">
        <v>47781</v>
      </c>
      <c r="AF328" s="1">
        <v>44700</v>
      </c>
      <c r="AG328">
        <v>50.34</v>
      </c>
      <c r="AJ328" s="156">
        <f t="shared" si="5"/>
        <v>3.9928486293206299E-2</v>
      </c>
    </row>
    <row r="329" spans="1:36" x14ac:dyDescent="0.3">
      <c r="A329" s="152">
        <v>44816</v>
      </c>
      <c r="B329" s="153">
        <v>52.5</v>
      </c>
      <c r="C329" s="153">
        <v>52.9</v>
      </c>
      <c r="D329" s="153">
        <v>52</v>
      </c>
      <c r="E329" s="153">
        <v>52.5</v>
      </c>
      <c r="F329" s="154">
        <v>177207</v>
      </c>
      <c r="G329" s="155">
        <v>9235107.6999999993</v>
      </c>
      <c r="H329" s="153">
        <v>82</v>
      </c>
      <c r="I329" s="155"/>
      <c r="J329" s="155"/>
      <c r="K329" s="155"/>
      <c r="L329" s="155"/>
      <c r="M329" s="155"/>
      <c r="N329" s="155"/>
      <c r="O329" s="148">
        <v>44816</v>
      </c>
      <c r="P329" s="149">
        <v>41.1</v>
      </c>
      <c r="Q329" s="149">
        <v>41.4</v>
      </c>
      <c r="R329" s="149">
        <v>39.799999999999997</v>
      </c>
      <c r="S329" s="149">
        <v>40</v>
      </c>
      <c r="T329" s="150">
        <v>26318</v>
      </c>
      <c r="U329" s="151">
        <v>1052708.7</v>
      </c>
      <c r="V329" s="149">
        <v>72</v>
      </c>
      <c r="Z329" s="1">
        <v>44699</v>
      </c>
      <c r="AA329">
        <v>50.39</v>
      </c>
      <c r="AB329">
        <v>13930</v>
      </c>
      <c r="AC329">
        <v>47598</v>
      </c>
      <c r="AF329" s="1">
        <v>44699</v>
      </c>
      <c r="AG329">
        <v>51.47</v>
      </c>
      <c r="AJ329" s="156">
        <f t="shared" si="5"/>
        <v>2.0983096949679394E-2</v>
      </c>
    </row>
    <row r="330" spans="1:36" x14ac:dyDescent="0.3">
      <c r="A330" s="152">
        <v>44813</v>
      </c>
      <c r="B330" s="153">
        <v>52.5</v>
      </c>
      <c r="C330" s="153">
        <v>52.5</v>
      </c>
      <c r="D330" s="153">
        <v>51.5</v>
      </c>
      <c r="E330" s="153">
        <v>52</v>
      </c>
      <c r="F330" s="154">
        <v>330040</v>
      </c>
      <c r="G330" s="155">
        <v>17192600.100000001</v>
      </c>
      <c r="H330" s="153">
        <v>96</v>
      </c>
      <c r="I330" s="155"/>
      <c r="J330" s="155"/>
      <c r="K330" s="155"/>
      <c r="L330" s="155"/>
      <c r="M330" s="155"/>
      <c r="N330" s="155"/>
      <c r="O330" s="148">
        <v>44813</v>
      </c>
      <c r="P330" s="149">
        <v>40.5</v>
      </c>
      <c r="Q330" s="149">
        <v>41.6</v>
      </c>
      <c r="R330" s="149">
        <v>39.799999999999997</v>
      </c>
      <c r="S330" s="149">
        <v>40.200000000000003</v>
      </c>
      <c r="T330" s="150">
        <v>23184</v>
      </c>
      <c r="U330" s="151">
        <v>930272</v>
      </c>
      <c r="V330" s="149">
        <v>54</v>
      </c>
      <c r="Z330" s="1">
        <v>44698</v>
      </c>
      <c r="AA330">
        <v>48.71</v>
      </c>
      <c r="AB330">
        <v>40940</v>
      </c>
      <c r="AC330">
        <v>49045</v>
      </c>
      <c r="AF330" s="1">
        <v>44698</v>
      </c>
      <c r="AG330">
        <v>51.85</v>
      </c>
      <c r="AJ330" s="156">
        <f t="shared" si="5"/>
        <v>6.0559305689488918E-2</v>
      </c>
    </row>
    <row r="331" spans="1:36" x14ac:dyDescent="0.3">
      <c r="A331" s="152">
        <v>44812</v>
      </c>
      <c r="B331" s="153">
        <v>52</v>
      </c>
      <c r="C331" s="153">
        <v>52.8</v>
      </c>
      <c r="D331" s="153">
        <v>52</v>
      </c>
      <c r="E331" s="153">
        <v>52.2</v>
      </c>
      <c r="F331" s="154">
        <v>1596659</v>
      </c>
      <c r="G331" s="155">
        <v>83051335.299999997</v>
      </c>
      <c r="H331" s="153">
        <v>67</v>
      </c>
      <c r="I331" s="155"/>
      <c r="J331" s="155"/>
      <c r="K331" s="155"/>
      <c r="L331" s="155"/>
      <c r="M331" s="155"/>
      <c r="N331" s="155"/>
      <c r="O331" s="148">
        <v>44812</v>
      </c>
      <c r="P331" s="149">
        <v>41.9</v>
      </c>
      <c r="Q331" s="149">
        <v>41.9</v>
      </c>
      <c r="R331" s="149">
        <v>40</v>
      </c>
      <c r="S331" s="149">
        <v>40.700000000000003</v>
      </c>
      <c r="T331" s="150">
        <v>20669</v>
      </c>
      <c r="U331" s="151">
        <v>834474.6</v>
      </c>
      <c r="V331" s="149">
        <v>47</v>
      </c>
      <c r="Z331" s="1">
        <v>44694</v>
      </c>
      <c r="AA331">
        <v>48.33</v>
      </c>
      <c r="AB331">
        <v>51205</v>
      </c>
      <c r="AC331">
        <v>48698</v>
      </c>
      <c r="AF331" s="1">
        <v>44694</v>
      </c>
      <c r="AG331">
        <v>51</v>
      </c>
      <c r="AJ331" s="156">
        <f t="shared" si="5"/>
        <v>5.2352941176470623E-2</v>
      </c>
    </row>
    <row r="332" spans="1:36" x14ac:dyDescent="0.3">
      <c r="A332" s="152">
        <v>44811</v>
      </c>
      <c r="B332" s="153">
        <v>51.8</v>
      </c>
      <c r="C332" s="153">
        <v>53</v>
      </c>
      <c r="D332" s="153">
        <v>51</v>
      </c>
      <c r="E332" s="153">
        <v>51.8</v>
      </c>
      <c r="F332" s="154">
        <v>253956</v>
      </c>
      <c r="G332" s="155">
        <v>13161894.5</v>
      </c>
      <c r="H332" s="153">
        <v>146</v>
      </c>
      <c r="I332" s="155"/>
      <c r="J332" s="155"/>
      <c r="K332" s="155"/>
      <c r="L332" s="155"/>
      <c r="M332" s="155"/>
      <c r="N332" s="155"/>
      <c r="O332" s="148">
        <v>44811</v>
      </c>
      <c r="P332" s="149">
        <v>40</v>
      </c>
      <c r="Q332" s="149">
        <v>41</v>
      </c>
      <c r="R332" s="149">
        <v>39.9</v>
      </c>
      <c r="S332" s="149">
        <v>40</v>
      </c>
      <c r="T332" s="150">
        <v>110459</v>
      </c>
      <c r="U332" s="151">
        <v>4419161</v>
      </c>
      <c r="V332" s="149">
        <v>135</v>
      </c>
      <c r="Z332" s="1">
        <v>44693</v>
      </c>
      <c r="AA332">
        <v>46.56</v>
      </c>
      <c r="AB332">
        <v>7062</v>
      </c>
      <c r="AC332">
        <v>47924</v>
      </c>
      <c r="AF332" s="1">
        <v>44693</v>
      </c>
      <c r="AG332">
        <v>48.92</v>
      </c>
      <c r="AJ332" s="156">
        <f t="shared" si="5"/>
        <v>4.8242027800490583E-2</v>
      </c>
    </row>
    <row r="333" spans="1:36" x14ac:dyDescent="0.3">
      <c r="A333" s="152">
        <v>44810</v>
      </c>
      <c r="B333" s="153">
        <v>53.5</v>
      </c>
      <c r="C333" s="153">
        <v>53.5</v>
      </c>
      <c r="D333" s="153">
        <v>51.8</v>
      </c>
      <c r="E333" s="153">
        <v>51.8</v>
      </c>
      <c r="F333" s="154">
        <v>89862</v>
      </c>
      <c r="G333" s="155">
        <v>4663215.8</v>
      </c>
      <c r="H333" s="153">
        <v>116</v>
      </c>
      <c r="I333" s="155"/>
      <c r="J333" s="155"/>
      <c r="K333" s="155"/>
      <c r="L333" s="155"/>
      <c r="M333" s="155"/>
      <c r="N333" s="155"/>
      <c r="O333" s="148">
        <v>44810</v>
      </c>
      <c r="P333" s="149">
        <v>42.7</v>
      </c>
      <c r="Q333" s="149">
        <v>43</v>
      </c>
      <c r="R333" s="149">
        <v>40</v>
      </c>
      <c r="S333" s="149">
        <v>40.200000000000003</v>
      </c>
      <c r="T333" s="150">
        <v>80922</v>
      </c>
      <c r="U333" s="151">
        <v>3259854</v>
      </c>
      <c r="V333" s="149">
        <v>140</v>
      </c>
      <c r="Z333" s="1">
        <v>44690</v>
      </c>
      <c r="AA333">
        <v>46.74</v>
      </c>
      <c r="AB333">
        <v>18312</v>
      </c>
      <c r="AC333">
        <v>47471</v>
      </c>
      <c r="AF333" s="1">
        <v>44690</v>
      </c>
      <c r="AG333">
        <v>47.22</v>
      </c>
      <c r="AJ333" s="156">
        <f t="shared" si="5"/>
        <v>1.0165184243964356E-2</v>
      </c>
    </row>
    <row r="334" spans="1:36" x14ac:dyDescent="0.3">
      <c r="A334" s="152">
        <v>44809</v>
      </c>
      <c r="B334" s="153">
        <v>53.5</v>
      </c>
      <c r="C334" s="153">
        <v>54</v>
      </c>
      <c r="D334" s="153">
        <v>52</v>
      </c>
      <c r="E334" s="153">
        <v>53.5</v>
      </c>
      <c r="F334" s="154">
        <v>89348</v>
      </c>
      <c r="G334" s="155">
        <v>4786138.3</v>
      </c>
      <c r="H334" s="153">
        <v>76</v>
      </c>
      <c r="I334" s="155"/>
      <c r="J334" s="155"/>
      <c r="K334" s="155"/>
      <c r="L334" s="155"/>
      <c r="M334" s="155"/>
      <c r="N334" s="155"/>
      <c r="O334" s="148">
        <v>44809</v>
      </c>
      <c r="P334" s="149">
        <v>42.8</v>
      </c>
      <c r="Q334" s="149">
        <v>43.1</v>
      </c>
      <c r="R334" s="149">
        <v>42.7</v>
      </c>
      <c r="S334" s="149">
        <v>43</v>
      </c>
      <c r="T334" s="150">
        <v>21285</v>
      </c>
      <c r="U334" s="151">
        <v>913065.2</v>
      </c>
      <c r="V334" s="149">
        <v>22</v>
      </c>
      <c r="Z334" s="1">
        <v>44687</v>
      </c>
      <c r="AA334">
        <v>46.56</v>
      </c>
      <c r="AB334">
        <v>3835</v>
      </c>
      <c r="AC334">
        <v>50405</v>
      </c>
      <c r="AF334" s="1">
        <v>44687</v>
      </c>
      <c r="AG334">
        <v>48.64</v>
      </c>
      <c r="AJ334" s="156">
        <f t="shared" si="5"/>
        <v>4.2763157894736809E-2</v>
      </c>
    </row>
    <row r="335" spans="1:36" x14ac:dyDescent="0.3">
      <c r="A335" s="152">
        <v>44806</v>
      </c>
      <c r="B335" s="153">
        <v>54</v>
      </c>
      <c r="C335" s="153">
        <v>54</v>
      </c>
      <c r="D335" s="153">
        <v>52.6</v>
      </c>
      <c r="E335" s="153">
        <v>53.4</v>
      </c>
      <c r="F335" s="154">
        <v>27487</v>
      </c>
      <c r="G335" s="155">
        <v>1473497.4</v>
      </c>
      <c r="H335" s="153">
        <v>83</v>
      </c>
      <c r="I335" s="155"/>
      <c r="J335" s="155"/>
      <c r="K335" s="155"/>
      <c r="L335" s="155"/>
      <c r="M335" s="155"/>
      <c r="N335" s="155"/>
      <c r="O335" s="148">
        <v>44806</v>
      </c>
      <c r="P335" s="149">
        <v>42.1</v>
      </c>
      <c r="Q335" s="149">
        <v>42.5</v>
      </c>
      <c r="R335" s="149">
        <v>41.2</v>
      </c>
      <c r="S335" s="149">
        <v>41.7</v>
      </c>
      <c r="T335" s="150">
        <v>25018</v>
      </c>
      <c r="U335" s="151">
        <v>1044760.9</v>
      </c>
      <c r="V335" s="149">
        <v>33</v>
      </c>
      <c r="Z335" s="1">
        <v>44686</v>
      </c>
      <c r="AA335">
        <v>46.46</v>
      </c>
      <c r="AB335">
        <v>119572</v>
      </c>
      <c r="AC335">
        <v>55487</v>
      </c>
      <c r="AF335" s="1">
        <v>44686</v>
      </c>
      <c r="AG335">
        <v>49.02</v>
      </c>
      <c r="AJ335" s="156">
        <f t="shared" si="5"/>
        <v>5.2223582211342351E-2</v>
      </c>
    </row>
    <row r="336" spans="1:36" x14ac:dyDescent="0.3">
      <c r="A336" s="152">
        <v>44805</v>
      </c>
      <c r="B336" s="153">
        <v>53</v>
      </c>
      <c r="C336" s="153">
        <v>54</v>
      </c>
      <c r="D336" s="153">
        <v>51.8</v>
      </c>
      <c r="E336" s="153">
        <v>53.3</v>
      </c>
      <c r="F336" s="154">
        <v>103285</v>
      </c>
      <c r="G336" s="155">
        <v>5416439.7999999998</v>
      </c>
      <c r="H336" s="153">
        <v>96</v>
      </c>
      <c r="I336" s="155"/>
      <c r="J336" s="155"/>
      <c r="K336" s="155"/>
      <c r="L336" s="155"/>
      <c r="M336" s="155"/>
      <c r="N336" s="155"/>
      <c r="O336" s="148">
        <v>44805</v>
      </c>
      <c r="P336" s="149">
        <v>41</v>
      </c>
      <c r="Q336" s="149">
        <v>42.2</v>
      </c>
      <c r="R336" s="149">
        <v>41</v>
      </c>
      <c r="S336" s="149">
        <v>41.8</v>
      </c>
      <c r="T336" s="150">
        <v>30966</v>
      </c>
      <c r="U336" s="151">
        <v>1295208.3</v>
      </c>
      <c r="V336" s="149">
        <v>32</v>
      </c>
      <c r="Z336" s="1">
        <v>44685</v>
      </c>
      <c r="AA336">
        <v>46.74</v>
      </c>
      <c r="AB336">
        <v>123864</v>
      </c>
      <c r="AC336">
        <v>51659</v>
      </c>
      <c r="AF336" s="1">
        <v>44685</v>
      </c>
      <c r="AG336">
        <v>48.73</v>
      </c>
      <c r="AJ336" s="156">
        <f t="shared" si="5"/>
        <v>4.0837266570900782E-2</v>
      </c>
    </row>
    <row r="337" spans="1:36" x14ac:dyDescent="0.3">
      <c r="A337" s="152">
        <v>44804</v>
      </c>
      <c r="B337" s="153">
        <v>53</v>
      </c>
      <c r="C337" s="153">
        <v>53.5</v>
      </c>
      <c r="D337" s="153">
        <v>51.8</v>
      </c>
      <c r="E337" s="153">
        <v>51.9</v>
      </c>
      <c r="F337" s="154">
        <v>4029609</v>
      </c>
      <c r="G337" s="155">
        <v>205544007.5</v>
      </c>
      <c r="H337" s="153">
        <v>53</v>
      </c>
      <c r="I337" s="155"/>
      <c r="J337" s="155"/>
      <c r="K337" s="155"/>
      <c r="L337" s="155"/>
      <c r="M337" s="155"/>
      <c r="N337" s="155"/>
      <c r="O337" s="148">
        <v>44804</v>
      </c>
      <c r="P337" s="149">
        <v>40</v>
      </c>
      <c r="Q337" s="149">
        <v>40</v>
      </c>
      <c r="R337" s="149">
        <v>39.799999999999997</v>
      </c>
      <c r="S337" s="149">
        <v>40</v>
      </c>
      <c r="T337" s="150">
        <v>126658</v>
      </c>
      <c r="U337" s="151">
        <v>5064787.2</v>
      </c>
      <c r="V337" s="149">
        <v>46</v>
      </c>
      <c r="Z337" s="1">
        <v>44680</v>
      </c>
      <c r="AA337">
        <v>46.93</v>
      </c>
      <c r="AB337">
        <v>71832</v>
      </c>
      <c r="AC337">
        <v>47343</v>
      </c>
      <c r="AF337" s="1">
        <v>44680</v>
      </c>
      <c r="AG337">
        <v>48.64</v>
      </c>
      <c r="AJ337" s="156">
        <f t="shared" si="5"/>
        <v>3.5156250000000014E-2</v>
      </c>
    </row>
    <row r="338" spans="1:36" x14ac:dyDescent="0.3">
      <c r="A338" s="152">
        <v>44803</v>
      </c>
      <c r="B338" s="153">
        <v>51.8</v>
      </c>
      <c r="C338" s="153">
        <v>52</v>
      </c>
      <c r="D338" s="153">
        <v>51.7</v>
      </c>
      <c r="E338" s="153">
        <v>51.8</v>
      </c>
      <c r="F338" s="154">
        <v>43357</v>
      </c>
      <c r="G338" s="155">
        <v>2247465.6</v>
      </c>
      <c r="H338" s="153">
        <v>58</v>
      </c>
      <c r="I338" s="155"/>
      <c r="J338" s="155"/>
      <c r="K338" s="155"/>
      <c r="L338" s="155"/>
      <c r="M338" s="155"/>
      <c r="N338" s="155"/>
      <c r="O338" s="148">
        <v>44803</v>
      </c>
      <c r="P338" s="149">
        <v>39.9</v>
      </c>
      <c r="Q338" s="149">
        <v>40</v>
      </c>
      <c r="R338" s="149">
        <v>39.5</v>
      </c>
      <c r="S338" s="149">
        <v>39.5</v>
      </c>
      <c r="T338" s="150">
        <v>15354</v>
      </c>
      <c r="U338" s="151">
        <v>607302.19999999995</v>
      </c>
      <c r="V338" s="149">
        <v>34</v>
      </c>
      <c r="Z338" s="1">
        <v>44679</v>
      </c>
      <c r="AA338">
        <v>46.84</v>
      </c>
      <c r="AB338">
        <v>48709</v>
      </c>
      <c r="AC338">
        <v>44428</v>
      </c>
      <c r="AF338" s="1">
        <v>44679</v>
      </c>
      <c r="AG338">
        <v>49.11</v>
      </c>
      <c r="AJ338" s="156">
        <f t="shared" si="5"/>
        <v>4.6222765220932521E-2</v>
      </c>
    </row>
    <row r="339" spans="1:36" x14ac:dyDescent="0.3">
      <c r="A339" s="152">
        <v>44802</v>
      </c>
      <c r="B339" s="153">
        <v>53</v>
      </c>
      <c r="C339" s="153">
        <v>53</v>
      </c>
      <c r="D339" s="153">
        <v>51.8</v>
      </c>
      <c r="E339" s="153">
        <v>52</v>
      </c>
      <c r="F339" s="154">
        <v>56391</v>
      </c>
      <c r="G339" s="155">
        <v>2954421.5</v>
      </c>
      <c r="H339" s="153">
        <v>67</v>
      </c>
      <c r="I339" s="155"/>
      <c r="J339" s="155"/>
      <c r="K339" s="155"/>
      <c r="L339" s="155"/>
      <c r="M339" s="155"/>
      <c r="N339" s="155"/>
      <c r="O339" s="148">
        <v>44802</v>
      </c>
      <c r="P339" s="149">
        <v>40</v>
      </c>
      <c r="Q339" s="149">
        <v>40</v>
      </c>
      <c r="R339" s="149">
        <v>39.5</v>
      </c>
      <c r="S339" s="149">
        <v>39.6</v>
      </c>
      <c r="T339" s="150">
        <v>62990</v>
      </c>
      <c r="U339" s="151">
        <v>2503603.2000000002</v>
      </c>
      <c r="V339" s="149">
        <v>110</v>
      </c>
      <c r="Z339" s="1">
        <v>44678</v>
      </c>
      <c r="AA339">
        <v>46.65</v>
      </c>
      <c r="AB339">
        <v>116218</v>
      </c>
      <c r="AC339">
        <v>46816</v>
      </c>
      <c r="AF339" s="1">
        <v>44678</v>
      </c>
      <c r="AG339">
        <v>47.6</v>
      </c>
      <c r="AJ339" s="156">
        <f t="shared" si="5"/>
        <v>1.9957983193277368E-2</v>
      </c>
    </row>
    <row r="340" spans="1:36" x14ac:dyDescent="0.3">
      <c r="A340" s="152">
        <v>44799</v>
      </c>
      <c r="B340" s="153">
        <v>52</v>
      </c>
      <c r="C340" s="153">
        <v>52.9</v>
      </c>
      <c r="D340" s="153">
        <v>51.5</v>
      </c>
      <c r="E340" s="153">
        <v>52.3</v>
      </c>
      <c r="F340" s="154">
        <v>56493</v>
      </c>
      <c r="G340" s="155">
        <v>2935677.8</v>
      </c>
      <c r="H340" s="153">
        <v>54</v>
      </c>
      <c r="I340" s="155"/>
      <c r="J340" s="155"/>
      <c r="K340" s="155"/>
      <c r="L340" s="155"/>
      <c r="M340" s="155"/>
      <c r="N340" s="155"/>
      <c r="O340" s="148">
        <v>44799</v>
      </c>
      <c r="P340" s="149">
        <v>39.9</v>
      </c>
      <c r="Q340" s="149">
        <v>40</v>
      </c>
      <c r="R340" s="149">
        <v>39.700000000000003</v>
      </c>
      <c r="S340" s="149">
        <v>39.799999999999997</v>
      </c>
      <c r="T340" s="150">
        <v>89318</v>
      </c>
      <c r="U340" s="151">
        <v>3562199</v>
      </c>
      <c r="V340" s="149">
        <v>74</v>
      </c>
      <c r="Z340" s="1">
        <v>44677</v>
      </c>
      <c r="AA340">
        <v>46.84</v>
      </c>
      <c r="AB340">
        <v>1806</v>
      </c>
      <c r="AC340">
        <v>39605</v>
      </c>
      <c r="AF340" s="1">
        <v>44677</v>
      </c>
      <c r="AG340">
        <v>47.22</v>
      </c>
      <c r="AJ340" s="156">
        <f t="shared" si="5"/>
        <v>8.047437526471737E-3</v>
      </c>
    </row>
    <row r="341" spans="1:36" x14ac:dyDescent="0.3">
      <c r="A341" s="152">
        <v>44798</v>
      </c>
      <c r="B341" s="153">
        <v>52</v>
      </c>
      <c r="C341" s="153">
        <v>52.1</v>
      </c>
      <c r="D341" s="153">
        <v>51.5</v>
      </c>
      <c r="E341" s="153">
        <v>51.9</v>
      </c>
      <c r="F341" s="154">
        <v>140144</v>
      </c>
      <c r="G341" s="155">
        <v>7285177.2000000002</v>
      </c>
      <c r="H341" s="153">
        <v>76</v>
      </c>
      <c r="I341" s="155"/>
      <c r="J341" s="155"/>
      <c r="K341" s="155"/>
      <c r="L341" s="155"/>
      <c r="M341" s="155"/>
      <c r="N341" s="155"/>
      <c r="O341" s="148">
        <v>44798</v>
      </c>
      <c r="P341" s="149">
        <v>39.9</v>
      </c>
      <c r="Q341" s="149">
        <v>41.8</v>
      </c>
      <c r="R341" s="149">
        <v>39.799999999999997</v>
      </c>
      <c r="S341" s="149">
        <v>39.799999999999997</v>
      </c>
      <c r="T341" s="150">
        <v>29536</v>
      </c>
      <c r="U341" s="151">
        <v>1181007.3999999999</v>
      </c>
      <c r="V341" s="149">
        <v>52</v>
      </c>
      <c r="Z341" s="1">
        <v>44676</v>
      </c>
      <c r="AA341">
        <v>50.3</v>
      </c>
      <c r="AB341">
        <v>28298</v>
      </c>
      <c r="AC341">
        <v>42198</v>
      </c>
      <c r="AF341" s="1">
        <v>44676</v>
      </c>
      <c r="AG341">
        <v>48.07</v>
      </c>
      <c r="AJ341" s="156">
        <f t="shared" si="5"/>
        <v>-4.6390680257957083E-2</v>
      </c>
    </row>
    <row r="342" spans="1:36" x14ac:dyDescent="0.3">
      <c r="A342" s="152">
        <v>44797</v>
      </c>
      <c r="B342" s="153">
        <v>52.5</v>
      </c>
      <c r="C342" s="153">
        <v>53</v>
      </c>
      <c r="D342" s="153">
        <v>52</v>
      </c>
      <c r="E342" s="153">
        <v>52.1</v>
      </c>
      <c r="F342" s="154">
        <v>22547</v>
      </c>
      <c r="G342" s="155">
        <v>1175851.3</v>
      </c>
      <c r="H342" s="153">
        <v>55</v>
      </c>
      <c r="I342" s="155"/>
      <c r="J342" s="155"/>
      <c r="K342" s="155"/>
      <c r="L342" s="155"/>
      <c r="M342" s="155"/>
      <c r="N342" s="155"/>
      <c r="O342" s="148">
        <v>44797</v>
      </c>
      <c r="P342" s="149">
        <v>40.5</v>
      </c>
      <c r="Q342" s="149">
        <v>40.700000000000003</v>
      </c>
      <c r="R342" s="149">
        <v>39.700000000000003</v>
      </c>
      <c r="S342" s="149">
        <v>40</v>
      </c>
      <c r="T342" s="150">
        <v>39309</v>
      </c>
      <c r="U342" s="151">
        <v>1573958.2</v>
      </c>
      <c r="V342" s="149">
        <v>77</v>
      </c>
      <c r="Z342" s="1">
        <v>44659</v>
      </c>
      <c r="AA342">
        <v>52.35</v>
      </c>
      <c r="AB342">
        <v>55763</v>
      </c>
      <c r="AC342">
        <v>40568</v>
      </c>
      <c r="AF342" s="1">
        <v>44659</v>
      </c>
      <c r="AG342">
        <v>54.12</v>
      </c>
      <c r="AJ342" s="156">
        <f t="shared" si="5"/>
        <v>3.2705099778270436E-2</v>
      </c>
    </row>
    <row r="343" spans="1:36" x14ac:dyDescent="0.3">
      <c r="A343" s="152">
        <v>44796</v>
      </c>
      <c r="B343" s="153">
        <v>53</v>
      </c>
      <c r="C343" s="153">
        <v>53</v>
      </c>
      <c r="D343" s="153">
        <v>52</v>
      </c>
      <c r="E343" s="153">
        <v>52.5</v>
      </c>
      <c r="F343" s="154">
        <v>362635</v>
      </c>
      <c r="G343" s="155">
        <v>18865683.100000001</v>
      </c>
      <c r="H343" s="153">
        <v>51</v>
      </c>
      <c r="I343" s="155"/>
      <c r="J343" s="155"/>
      <c r="K343" s="155"/>
      <c r="L343" s="155"/>
      <c r="M343" s="155"/>
      <c r="N343" s="155"/>
      <c r="O343" s="148">
        <v>44796</v>
      </c>
      <c r="P343" s="149">
        <v>41.9</v>
      </c>
      <c r="Q343" s="149">
        <v>41.9</v>
      </c>
      <c r="R343" s="149">
        <v>40</v>
      </c>
      <c r="S343" s="149">
        <v>40.1</v>
      </c>
      <c r="T343" s="150">
        <v>31950</v>
      </c>
      <c r="U343" s="151">
        <v>1281666.2</v>
      </c>
      <c r="V343" s="149">
        <v>65</v>
      </c>
      <c r="Z343" s="1">
        <v>44658</v>
      </c>
      <c r="AA343">
        <v>52.45</v>
      </c>
      <c r="AB343">
        <v>12630</v>
      </c>
      <c r="AC343">
        <v>42651</v>
      </c>
      <c r="AF343" s="1">
        <v>44658</v>
      </c>
      <c r="AG343">
        <v>56.48</v>
      </c>
      <c r="AJ343" s="156">
        <f t="shared" si="5"/>
        <v>7.1352691218130204E-2</v>
      </c>
    </row>
    <row r="344" spans="1:36" x14ac:dyDescent="0.3">
      <c r="A344" s="152">
        <v>44795</v>
      </c>
      <c r="B344" s="153">
        <v>51.9</v>
      </c>
      <c r="C344" s="153">
        <v>53</v>
      </c>
      <c r="D344" s="153">
        <v>51.5</v>
      </c>
      <c r="E344" s="153">
        <v>51.6</v>
      </c>
      <c r="F344" s="154">
        <v>95546</v>
      </c>
      <c r="G344" s="155">
        <v>4934194.5999999996</v>
      </c>
      <c r="H344" s="153">
        <v>116</v>
      </c>
      <c r="I344" s="155"/>
      <c r="J344" s="155"/>
      <c r="K344" s="155"/>
      <c r="L344" s="155"/>
      <c r="M344" s="155"/>
      <c r="N344" s="155"/>
      <c r="O344" s="148">
        <v>44795</v>
      </c>
      <c r="P344" s="149">
        <v>40</v>
      </c>
      <c r="Q344" s="149">
        <v>41</v>
      </c>
      <c r="R344" s="149">
        <v>39.5</v>
      </c>
      <c r="S344" s="149">
        <v>40.1</v>
      </c>
      <c r="T344" s="150">
        <v>68811</v>
      </c>
      <c r="U344" s="151">
        <v>2752952.1</v>
      </c>
      <c r="V344" s="149">
        <v>103</v>
      </c>
      <c r="Z344" s="1">
        <v>44657</v>
      </c>
      <c r="AA344">
        <v>53.85</v>
      </c>
      <c r="AB344">
        <v>35630</v>
      </c>
      <c r="AC344">
        <v>43202</v>
      </c>
      <c r="AF344" s="1">
        <v>44657</v>
      </c>
      <c r="AG344">
        <v>57.7</v>
      </c>
      <c r="AJ344" s="156">
        <f t="shared" si="5"/>
        <v>6.6724436741767784E-2</v>
      </c>
    </row>
    <row r="345" spans="1:36" x14ac:dyDescent="0.3">
      <c r="A345" s="152">
        <v>44792</v>
      </c>
      <c r="B345" s="153">
        <v>51.9</v>
      </c>
      <c r="C345" s="153">
        <v>51.9</v>
      </c>
      <c r="D345" s="153">
        <v>51.5</v>
      </c>
      <c r="E345" s="153">
        <v>51.6</v>
      </c>
      <c r="F345" s="154">
        <v>28776</v>
      </c>
      <c r="G345" s="155">
        <v>1487168.5</v>
      </c>
      <c r="H345" s="153">
        <v>69</v>
      </c>
      <c r="I345" s="155"/>
      <c r="J345" s="155"/>
      <c r="K345" s="155"/>
      <c r="L345" s="155"/>
      <c r="M345" s="155"/>
      <c r="N345" s="155"/>
      <c r="O345" s="148">
        <v>44792</v>
      </c>
      <c r="P345" s="149">
        <v>40.299999999999997</v>
      </c>
      <c r="Q345" s="149">
        <v>42.1</v>
      </c>
      <c r="R345" s="149">
        <v>39.4</v>
      </c>
      <c r="S345" s="149">
        <v>39.9</v>
      </c>
      <c r="T345" s="150">
        <v>81532</v>
      </c>
      <c r="U345" s="151">
        <v>3261437.6</v>
      </c>
      <c r="V345" s="149">
        <v>159</v>
      </c>
      <c r="Z345" s="1">
        <v>44656</v>
      </c>
      <c r="AA345">
        <v>56.09</v>
      </c>
      <c r="AB345">
        <v>35727</v>
      </c>
      <c r="AC345">
        <v>41265</v>
      </c>
      <c r="AF345" s="1">
        <v>44656</v>
      </c>
      <c r="AG345">
        <v>57.61</v>
      </c>
      <c r="AJ345" s="156">
        <f t="shared" si="5"/>
        <v>2.6384308279812464E-2</v>
      </c>
    </row>
    <row r="346" spans="1:36" x14ac:dyDescent="0.3">
      <c r="A346" s="152">
        <v>44791</v>
      </c>
      <c r="B346" s="153">
        <v>53</v>
      </c>
      <c r="C346" s="153">
        <v>53</v>
      </c>
      <c r="D346" s="153">
        <v>51.1</v>
      </c>
      <c r="E346" s="153">
        <v>51.2</v>
      </c>
      <c r="F346" s="154">
        <v>104625</v>
      </c>
      <c r="G346" s="155">
        <v>5373855</v>
      </c>
      <c r="H346" s="153">
        <v>116</v>
      </c>
      <c r="I346" s="155"/>
      <c r="J346" s="155"/>
      <c r="K346" s="155"/>
      <c r="L346" s="155"/>
      <c r="M346" s="155"/>
      <c r="N346" s="155"/>
      <c r="O346" s="148">
        <v>44791</v>
      </c>
      <c r="P346" s="149">
        <v>41</v>
      </c>
      <c r="Q346" s="149">
        <v>41.1</v>
      </c>
      <c r="R346" s="149">
        <v>40</v>
      </c>
      <c r="S346" s="149">
        <v>40.1</v>
      </c>
      <c r="T346" s="150">
        <v>36584</v>
      </c>
      <c r="U346" s="151">
        <v>1469316.5</v>
      </c>
      <c r="V346" s="149">
        <v>90</v>
      </c>
      <c r="Z346" s="1">
        <v>44655</v>
      </c>
      <c r="AA346">
        <v>53.29</v>
      </c>
      <c r="AB346">
        <v>39604</v>
      </c>
      <c r="AC346">
        <v>39705</v>
      </c>
      <c r="AF346" s="1">
        <v>44655</v>
      </c>
      <c r="AG346">
        <v>56.67</v>
      </c>
      <c r="AJ346" s="156">
        <f t="shared" si="5"/>
        <v>5.9643550379389489E-2</v>
      </c>
    </row>
    <row r="347" spans="1:36" x14ac:dyDescent="0.3">
      <c r="A347" s="152">
        <v>44790</v>
      </c>
      <c r="B347" s="153">
        <v>53.8</v>
      </c>
      <c r="C347" s="153">
        <v>53.8</v>
      </c>
      <c r="D347" s="153">
        <v>52.5</v>
      </c>
      <c r="E347" s="153">
        <v>52.5</v>
      </c>
      <c r="F347" s="154">
        <v>229326</v>
      </c>
      <c r="G347" s="155">
        <v>12056978.699999999</v>
      </c>
      <c r="H347" s="153">
        <v>83</v>
      </c>
      <c r="I347" s="155"/>
      <c r="J347" s="155"/>
      <c r="K347" s="155"/>
      <c r="L347" s="155"/>
      <c r="M347" s="155"/>
      <c r="N347" s="155"/>
      <c r="O347" s="148">
        <v>44790</v>
      </c>
      <c r="P347" s="149">
        <v>43</v>
      </c>
      <c r="Q347" s="149">
        <v>43.6</v>
      </c>
      <c r="R347" s="149">
        <v>41</v>
      </c>
      <c r="S347" s="149">
        <v>41</v>
      </c>
      <c r="T347" s="150">
        <v>23287</v>
      </c>
      <c r="U347" s="151">
        <v>959757.8</v>
      </c>
      <c r="V347" s="149">
        <v>38</v>
      </c>
      <c r="Z347" s="1">
        <v>44652</v>
      </c>
      <c r="AA347">
        <v>56.09</v>
      </c>
      <c r="AB347">
        <v>261</v>
      </c>
      <c r="AC347">
        <v>37751</v>
      </c>
      <c r="AF347" s="1">
        <v>44652</v>
      </c>
      <c r="AG347">
        <v>56.1</v>
      </c>
      <c r="AJ347" s="156">
        <f t="shared" si="5"/>
        <v>1.7825311942955456E-4</v>
      </c>
    </row>
    <row r="348" spans="1:36" x14ac:dyDescent="0.3">
      <c r="A348" s="152">
        <v>44789</v>
      </c>
      <c r="B348" s="153">
        <v>54.1</v>
      </c>
      <c r="C348" s="153">
        <v>54.1</v>
      </c>
      <c r="D348" s="153">
        <v>52.8</v>
      </c>
      <c r="E348" s="153">
        <v>53.7</v>
      </c>
      <c r="F348" s="154">
        <v>57285</v>
      </c>
      <c r="G348" s="155">
        <v>3069176.1</v>
      </c>
      <c r="H348" s="153">
        <v>124</v>
      </c>
      <c r="I348" s="155"/>
      <c r="J348" s="155"/>
      <c r="K348" s="155"/>
      <c r="L348" s="155"/>
      <c r="M348" s="155"/>
      <c r="N348" s="155"/>
      <c r="O348" s="148">
        <v>44789</v>
      </c>
      <c r="P348" s="149">
        <v>42.5</v>
      </c>
      <c r="Q348" s="149">
        <v>42.5</v>
      </c>
      <c r="R348" s="149">
        <v>41</v>
      </c>
      <c r="S348" s="149">
        <v>41.1</v>
      </c>
      <c r="T348" s="150">
        <v>85251</v>
      </c>
      <c r="U348" s="151">
        <v>3542274.8</v>
      </c>
      <c r="V348" s="149">
        <v>164</v>
      </c>
      <c r="Z348" s="1">
        <v>44651</v>
      </c>
      <c r="AA348">
        <v>56.93</v>
      </c>
      <c r="AB348">
        <v>62330</v>
      </c>
      <c r="AC348">
        <v>44334</v>
      </c>
      <c r="AF348" s="1">
        <v>44651</v>
      </c>
      <c r="AG348">
        <v>59.22</v>
      </c>
      <c r="AJ348" s="156">
        <f t="shared" si="5"/>
        <v>3.8669368456602488E-2</v>
      </c>
    </row>
    <row r="349" spans="1:36" x14ac:dyDescent="0.3">
      <c r="A349" s="152">
        <v>44788</v>
      </c>
      <c r="B349" s="153">
        <v>55.8</v>
      </c>
      <c r="C349" s="153">
        <v>56.7</v>
      </c>
      <c r="D349" s="153">
        <v>55</v>
      </c>
      <c r="E349" s="153">
        <v>55.8</v>
      </c>
      <c r="F349" s="154">
        <v>65691</v>
      </c>
      <c r="G349" s="155">
        <v>3669761.4</v>
      </c>
      <c r="H349" s="153">
        <v>124</v>
      </c>
      <c r="I349" s="155"/>
      <c r="J349" s="155"/>
      <c r="K349" s="155"/>
      <c r="L349" s="155"/>
      <c r="M349" s="155"/>
      <c r="N349" s="155"/>
      <c r="O349" s="148">
        <v>44788</v>
      </c>
      <c r="P349" s="149">
        <v>43</v>
      </c>
      <c r="Q349" s="149">
        <v>43.9</v>
      </c>
      <c r="R349" s="149">
        <v>42.7</v>
      </c>
      <c r="S349" s="149">
        <v>43</v>
      </c>
      <c r="T349" s="150">
        <v>18854</v>
      </c>
      <c r="U349" s="151">
        <v>811267.3</v>
      </c>
      <c r="V349" s="149">
        <v>57</v>
      </c>
      <c r="Z349" s="1">
        <v>44650</v>
      </c>
      <c r="AA349">
        <v>62.91</v>
      </c>
      <c r="AB349">
        <v>80062</v>
      </c>
      <c r="AC349">
        <v>46981</v>
      </c>
      <c r="AF349" s="1">
        <v>44650</v>
      </c>
      <c r="AG349">
        <v>63.69</v>
      </c>
      <c r="AJ349" s="156">
        <f t="shared" si="5"/>
        <v>1.2246820536975995E-2</v>
      </c>
    </row>
    <row r="350" spans="1:36" x14ac:dyDescent="0.3">
      <c r="A350" s="152">
        <v>44785</v>
      </c>
      <c r="B350" s="153">
        <v>55</v>
      </c>
      <c r="C350" s="153">
        <v>55.8</v>
      </c>
      <c r="D350" s="153">
        <v>54.5</v>
      </c>
      <c r="E350" s="153">
        <v>54.8</v>
      </c>
      <c r="F350" s="154">
        <v>70187</v>
      </c>
      <c r="G350" s="155">
        <v>3848349.6</v>
      </c>
      <c r="H350" s="153">
        <v>138</v>
      </c>
      <c r="I350" s="155"/>
      <c r="J350" s="155"/>
      <c r="K350" s="155"/>
      <c r="L350" s="155"/>
      <c r="M350" s="155"/>
      <c r="N350" s="155"/>
      <c r="O350" s="148">
        <v>44785</v>
      </c>
      <c r="P350" s="149">
        <v>43.5</v>
      </c>
      <c r="Q350" s="149">
        <v>43.9</v>
      </c>
      <c r="R350" s="149">
        <v>43</v>
      </c>
      <c r="S350" s="149">
        <v>43.1</v>
      </c>
      <c r="T350" s="150">
        <v>35739</v>
      </c>
      <c r="U350" s="151">
        <v>1544047</v>
      </c>
      <c r="V350" s="149">
        <v>60</v>
      </c>
      <c r="Z350" s="1">
        <v>44649</v>
      </c>
      <c r="AA350">
        <v>63.45</v>
      </c>
      <c r="AB350">
        <v>62146</v>
      </c>
      <c r="AC350">
        <v>43054</v>
      </c>
      <c r="AF350" s="1">
        <v>44649</v>
      </c>
      <c r="AG350">
        <v>65.69</v>
      </c>
      <c r="AJ350" s="156">
        <f t="shared" si="5"/>
        <v>3.4099558532501066E-2</v>
      </c>
    </row>
    <row r="351" spans="1:36" x14ac:dyDescent="0.3">
      <c r="A351" s="152">
        <v>44783</v>
      </c>
      <c r="B351" s="153">
        <v>54.5</v>
      </c>
      <c r="C351" s="153">
        <v>55</v>
      </c>
      <c r="D351" s="153">
        <v>53.8</v>
      </c>
      <c r="E351" s="153">
        <v>54.6</v>
      </c>
      <c r="F351" s="154">
        <v>22754</v>
      </c>
      <c r="G351" s="155">
        <v>1237629</v>
      </c>
      <c r="H351" s="153">
        <v>71</v>
      </c>
      <c r="I351" s="155"/>
      <c r="J351" s="155"/>
      <c r="K351" s="155"/>
      <c r="L351" s="155"/>
      <c r="M351" s="155"/>
      <c r="N351" s="155"/>
      <c r="O351" s="148">
        <v>44783</v>
      </c>
      <c r="P351" s="149">
        <v>43</v>
      </c>
      <c r="Q351" s="149">
        <v>43.9</v>
      </c>
      <c r="R351" s="149">
        <v>42.3</v>
      </c>
      <c r="S351" s="149">
        <v>43.6</v>
      </c>
      <c r="T351" s="150">
        <v>6310</v>
      </c>
      <c r="U351" s="151">
        <v>272294</v>
      </c>
      <c r="V351" s="149">
        <v>12</v>
      </c>
      <c r="Z351" s="1">
        <v>44648</v>
      </c>
      <c r="AA351">
        <v>66.150000000000006</v>
      </c>
      <c r="AB351">
        <v>59131</v>
      </c>
      <c r="AC351">
        <v>43559</v>
      </c>
      <c r="AF351" s="1">
        <v>44648</v>
      </c>
      <c r="AG351">
        <v>68.150000000000006</v>
      </c>
      <c r="AJ351" s="156">
        <f t="shared" si="5"/>
        <v>2.9347028613352897E-2</v>
      </c>
    </row>
    <row r="352" spans="1:36" x14ac:dyDescent="0.3">
      <c r="A352" s="152">
        <v>44782</v>
      </c>
      <c r="B352" s="153">
        <v>53.5</v>
      </c>
      <c r="C352" s="153">
        <v>54.5</v>
      </c>
      <c r="D352" s="153">
        <v>53</v>
      </c>
      <c r="E352" s="153">
        <v>54</v>
      </c>
      <c r="F352" s="154">
        <v>3289798</v>
      </c>
      <c r="G352" s="155">
        <v>177570102.5</v>
      </c>
      <c r="H352" s="153">
        <v>111</v>
      </c>
      <c r="I352" s="155"/>
      <c r="J352" s="155"/>
      <c r="K352" s="155"/>
      <c r="L352" s="155"/>
      <c r="M352" s="155"/>
      <c r="N352" s="155"/>
      <c r="O352" s="148">
        <v>44782</v>
      </c>
      <c r="P352" s="149">
        <v>41</v>
      </c>
      <c r="Q352" s="149">
        <v>45</v>
      </c>
      <c r="R352" s="149">
        <v>41</v>
      </c>
      <c r="S352" s="149">
        <v>43.6</v>
      </c>
      <c r="T352" s="150">
        <v>32858</v>
      </c>
      <c r="U352" s="151">
        <v>1420115</v>
      </c>
      <c r="V352" s="149">
        <v>40</v>
      </c>
      <c r="Z352" s="1">
        <v>44645</v>
      </c>
      <c r="AA352">
        <v>66.599999999999994</v>
      </c>
      <c r="AB352">
        <v>28108</v>
      </c>
      <c r="AC352">
        <v>40043</v>
      </c>
      <c r="AF352" s="1">
        <v>44645</v>
      </c>
      <c r="AG352">
        <v>69.239999999999995</v>
      </c>
      <c r="AJ352" s="156">
        <f t="shared" si="5"/>
        <v>3.8128249566724448E-2</v>
      </c>
    </row>
    <row r="353" spans="1:36" x14ac:dyDescent="0.3">
      <c r="A353" s="152">
        <v>44781</v>
      </c>
      <c r="B353" s="153">
        <v>53.5</v>
      </c>
      <c r="C353" s="153">
        <v>53.5</v>
      </c>
      <c r="D353" s="153">
        <v>52.5</v>
      </c>
      <c r="E353" s="153">
        <v>53</v>
      </c>
      <c r="F353" s="154">
        <v>143820</v>
      </c>
      <c r="G353" s="155">
        <v>7624226.7999999998</v>
      </c>
      <c r="H353" s="153">
        <v>79</v>
      </c>
      <c r="I353" s="155"/>
      <c r="J353" s="155"/>
      <c r="K353" s="155"/>
      <c r="L353" s="155"/>
      <c r="M353" s="155"/>
      <c r="N353" s="155"/>
      <c r="O353" s="148">
        <v>44781</v>
      </c>
      <c r="P353" s="149">
        <v>42.2</v>
      </c>
      <c r="Q353" s="149">
        <v>42.4</v>
      </c>
      <c r="R353" s="149">
        <v>41</v>
      </c>
      <c r="S353" s="149">
        <v>41.8</v>
      </c>
      <c r="T353" s="150">
        <v>15381</v>
      </c>
      <c r="U353" s="151">
        <v>646113.6</v>
      </c>
      <c r="V353" s="149">
        <v>62</v>
      </c>
      <c r="Z353" s="1">
        <v>44644</v>
      </c>
      <c r="AA353">
        <v>67.319999999999993</v>
      </c>
      <c r="AB353">
        <v>84523</v>
      </c>
      <c r="AC353">
        <v>39196</v>
      </c>
      <c r="AF353" s="1">
        <v>44644</v>
      </c>
      <c r="AG353">
        <v>70.06</v>
      </c>
      <c r="AJ353" s="156">
        <f t="shared" si="5"/>
        <v>3.9109334855837979E-2</v>
      </c>
    </row>
    <row r="354" spans="1:36" x14ac:dyDescent="0.3">
      <c r="A354" s="152">
        <v>44778</v>
      </c>
      <c r="B354" s="153">
        <v>52.5</v>
      </c>
      <c r="C354" s="153">
        <v>53.5</v>
      </c>
      <c r="D354" s="153">
        <v>52.5</v>
      </c>
      <c r="E354" s="153">
        <v>53</v>
      </c>
      <c r="F354" s="154">
        <v>149563</v>
      </c>
      <c r="G354" s="155">
        <v>7918852.5999999996</v>
      </c>
      <c r="H354" s="153">
        <v>70</v>
      </c>
      <c r="I354" s="155"/>
      <c r="J354" s="155"/>
      <c r="K354" s="155"/>
      <c r="L354" s="155"/>
      <c r="M354" s="155"/>
      <c r="N354" s="155"/>
      <c r="O354" s="148">
        <v>44778</v>
      </c>
      <c r="P354" s="149">
        <v>42.5</v>
      </c>
      <c r="Q354" s="149">
        <v>42.5</v>
      </c>
      <c r="R354" s="149">
        <v>42</v>
      </c>
      <c r="S354" s="149">
        <v>42.2</v>
      </c>
      <c r="T354" s="150">
        <v>15920</v>
      </c>
      <c r="U354" s="151">
        <v>672155.1</v>
      </c>
      <c r="V354" s="149">
        <v>40</v>
      </c>
      <c r="Z354" s="1">
        <v>44643</v>
      </c>
      <c r="AA354">
        <v>67.5</v>
      </c>
      <c r="AB354">
        <v>8059</v>
      </c>
      <c r="AC354">
        <v>36615</v>
      </c>
      <c r="AF354" s="1">
        <v>44643</v>
      </c>
      <c r="AG354">
        <v>69.69</v>
      </c>
      <c r="AJ354" s="156">
        <f t="shared" si="5"/>
        <v>3.1424881618596613E-2</v>
      </c>
    </row>
    <row r="355" spans="1:36" x14ac:dyDescent="0.3">
      <c r="A355" s="152">
        <v>44777</v>
      </c>
      <c r="B355" s="153">
        <v>53</v>
      </c>
      <c r="C355" s="153">
        <v>53</v>
      </c>
      <c r="D355" s="153">
        <v>52.5</v>
      </c>
      <c r="E355" s="153">
        <v>52.5</v>
      </c>
      <c r="F355" s="154">
        <v>121683</v>
      </c>
      <c r="G355" s="155">
        <v>6396349.4000000004</v>
      </c>
      <c r="H355" s="153">
        <v>96</v>
      </c>
      <c r="I355" s="155"/>
      <c r="J355" s="155"/>
      <c r="K355" s="155"/>
      <c r="L355" s="155"/>
      <c r="M355" s="155"/>
      <c r="N355" s="155"/>
      <c r="O355" s="148">
        <v>44777</v>
      </c>
      <c r="P355" s="149">
        <v>41.1</v>
      </c>
      <c r="Q355" s="149">
        <v>42.5</v>
      </c>
      <c r="R355" s="149">
        <v>41.1</v>
      </c>
      <c r="S355" s="149">
        <v>41.3</v>
      </c>
      <c r="T355" s="150">
        <v>11912</v>
      </c>
      <c r="U355" s="151">
        <v>492273.8</v>
      </c>
      <c r="V355" s="149">
        <v>39</v>
      </c>
      <c r="Z355" s="1">
        <v>44642</v>
      </c>
      <c r="AA355">
        <v>69.12</v>
      </c>
      <c r="AB355">
        <v>40696</v>
      </c>
      <c r="AC355">
        <v>43385</v>
      </c>
      <c r="AF355" s="1">
        <v>44642</v>
      </c>
      <c r="AG355">
        <v>70.06</v>
      </c>
      <c r="AJ355" s="156">
        <f t="shared" si="5"/>
        <v>1.3417071081929742E-2</v>
      </c>
    </row>
    <row r="356" spans="1:36" x14ac:dyDescent="0.3">
      <c r="A356" s="152">
        <v>44776</v>
      </c>
      <c r="B356" s="153">
        <v>53</v>
      </c>
      <c r="C356" s="153">
        <v>53</v>
      </c>
      <c r="D356" s="153">
        <v>52.5</v>
      </c>
      <c r="E356" s="153">
        <v>52.7</v>
      </c>
      <c r="F356" s="154">
        <v>29247</v>
      </c>
      <c r="G356" s="155">
        <v>1542141.3</v>
      </c>
      <c r="H356" s="153">
        <v>42</v>
      </c>
      <c r="I356" s="155"/>
      <c r="J356" s="155"/>
      <c r="K356" s="155"/>
      <c r="L356" s="155"/>
      <c r="M356" s="155"/>
      <c r="N356" s="155"/>
      <c r="O356" s="148">
        <v>44776</v>
      </c>
      <c r="P356" s="149">
        <v>42.5</v>
      </c>
      <c r="Q356" s="149">
        <v>42.5</v>
      </c>
      <c r="R356" s="149">
        <v>41</v>
      </c>
      <c r="S356" s="149">
        <v>41.1</v>
      </c>
      <c r="T356" s="150">
        <v>47335</v>
      </c>
      <c r="U356" s="151">
        <v>1948687.5</v>
      </c>
      <c r="V356" s="149">
        <v>47</v>
      </c>
      <c r="Z356" s="1">
        <v>44641</v>
      </c>
      <c r="AA356">
        <v>68.31</v>
      </c>
      <c r="AB356">
        <v>3845</v>
      </c>
      <c r="AC356">
        <v>48874</v>
      </c>
      <c r="AF356" s="1">
        <v>44641</v>
      </c>
      <c r="AG356">
        <v>71.33</v>
      </c>
      <c r="AJ356" s="156">
        <f t="shared" si="5"/>
        <v>4.2338427029300379E-2</v>
      </c>
    </row>
    <row r="357" spans="1:36" x14ac:dyDescent="0.3">
      <c r="A357" s="152">
        <v>44775</v>
      </c>
      <c r="B357" s="153">
        <v>53.1</v>
      </c>
      <c r="C357" s="153">
        <v>53.1</v>
      </c>
      <c r="D357" s="153">
        <v>52.1</v>
      </c>
      <c r="E357" s="153">
        <v>52.5</v>
      </c>
      <c r="F357" s="154">
        <v>44111</v>
      </c>
      <c r="G357" s="155">
        <v>2318677.4</v>
      </c>
      <c r="H357" s="153">
        <v>48</v>
      </c>
      <c r="I357" s="155"/>
      <c r="J357" s="155"/>
      <c r="K357" s="155"/>
      <c r="L357" s="155"/>
      <c r="M357" s="155"/>
      <c r="N357" s="155"/>
      <c r="O357" s="148">
        <v>44775</v>
      </c>
      <c r="P357" s="149">
        <v>43</v>
      </c>
      <c r="Q357" s="149">
        <v>43.5</v>
      </c>
      <c r="R357" s="149">
        <v>41</v>
      </c>
      <c r="S357" s="149">
        <v>41.1</v>
      </c>
      <c r="T357" s="150">
        <v>100789</v>
      </c>
      <c r="U357" s="151">
        <v>4154814.8</v>
      </c>
      <c r="V357" s="149">
        <v>69</v>
      </c>
      <c r="Z357" s="1">
        <v>44638</v>
      </c>
      <c r="AA357">
        <v>67.319999999999993</v>
      </c>
      <c r="AB357">
        <v>87013</v>
      </c>
      <c r="AC357">
        <v>52063</v>
      </c>
      <c r="AF357" s="1">
        <v>44638</v>
      </c>
      <c r="AG357">
        <v>70.239999999999995</v>
      </c>
      <c r="AJ357" s="156">
        <f t="shared" si="5"/>
        <v>4.1571753986332602E-2</v>
      </c>
    </row>
    <row r="358" spans="1:36" x14ac:dyDescent="0.3">
      <c r="A358" s="152">
        <v>44774</v>
      </c>
      <c r="B358" s="153">
        <v>52.1</v>
      </c>
      <c r="C358" s="153">
        <v>53.6</v>
      </c>
      <c r="D358" s="153">
        <v>52.1</v>
      </c>
      <c r="E358" s="153">
        <v>52.7</v>
      </c>
      <c r="F358" s="154">
        <v>39746</v>
      </c>
      <c r="G358" s="155">
        <v>2087131.2</v>
      </c>
      <c r="H358" s="153">
        <v>43</v>
      </c>
      <c r="I358" s="155"/>
      <c r="J358" s="155"/>
      <c r="K358" s="155"/>
      <c r="L358" s="155"/>
      <c r="M358" s="155"/>
      <c r="N358" s="155"/>
      <c r="O358" s="148">
        <v>44774</v>
      </c>
      <c r="P358" s="149">
        <v>43</v>
      </c>
      <c r="Q358" s="149">
        <v>43.5</v>
      </c>
      <c r="R358" s="149">
        <v>42.1</v>
      </c>
      <c r="S358" s="149">
        <v>42.6</v>
      </c>
      <c r="T358" s="150">
        <v>4325</v>
      </c>
      <c r="U358" s="151">
        <v>184441.5</v>
      </c>
      <c r="V358" s="149">
        <v>14</v>
      </c>
      <c r="Z358" s="1">
        <v>44636</v>
      </c>
      <c r="AA358">
        <v>66.510000000000005</v>
      </c>
      <c r="AB358">
        <v>20896</v>
      </c>
      <c r="AC358">
        <v>50505</v>
      </c>
      <c r="AF358" s="1">
        <v>44636</v>
      </c>
      <c r="AG358">
        <v>71.69</v>
      </c>
      <c r="AJ358" s="156">
        <f t="shared" si="5"/>
        <v>7.2255544706374575E-2</v>
      </c>
    </row>
    <row r="359" spans="1:36" x14ac:dyDescent="0.3">
      <c r="A359" s="152">
        <v>44771</v>
      </c>
      <c r="B359" s="153">
        <v>53</v>
      </c>
      <c r="C359" s="153">
        <v>54</v>
      </c>
      <c r="D359" s="153">
        <v>52</v>
      </c>
      <c r="E359" s="153">
        <v>52.7</v>
      </c>
      <c r="F359" s="154">
        <v>16485</v>
      </c>
      <c r="G359" s="155">
        <v>869981.4</v>
      </c>
      <c r="H359" s="153">
        <v>25</v>
      </c>
      <c r="I359" s="155"/>
      <c r="J359" s="155"/>
      <c r="K359" s="155"/>
      <c r="L359" s="155"/>
      <c r="M359" s="155"/>
      <c r="N359" s="155"/>
      <c r="O359" s="148">
        <v>44771</v>
      </c>
      <c r="P359" s="149">
        <v>43</v>
      </c>
      <c r="Q359" s="149">
        <v>43</v>
      </c>
      <c r="R359" s="149">
        <v>41.5</v>
      </c>
      <c r="S359" s="149">
        <v>41.7</v>
      </c>
      <c r="T359" s="150">
        <v>53562</v>
      </c>
      <c r="U359" s="151">
        <v>2235512.7999999998</v>
      </c>
      <c r="V359" s="149">
        <v>44</v>
      </c>
      <c r="Z359" s="1">
        <v>44635</v>
      </c>
      <c r="AA359">
        <v>66.959999999999994</v>
      </c>
      <c r="AB359">
        <v>6577</v>
      </c>
      <c r="AC359">
        <v>51442</v>
      </c>
      <c r="AF359" s="1">
        <v>44635</v>
      </c>
      <c r="AG359">
        <v>70.78</v>
      </c>
      <c r="AJ359" s="156">
        <f t="shared" si="5"/>
        <v>5.3970048036168512E-2</v>
      </c>
    </row>
    <row r="360" spans="1:36" x14ac:dyDescent="0.3">
      <c r="A360" s="152">
        <v>44770</v>
      </c>
      <c r="B360" s="153">
        <v>52.5</v>
      </c>
      <c r="C360" s="153">
        <v>53.3</v>
      </c>
      <c r="D360" s="153">
        <v>52</v>
      </c>
      <c r="E360" s="153">
        <v>52.1</v>
      </c>
      <c r="F360" s="154">
        <v>29083</v>
      </c>
      <c r="G360" s="155">
        <v>1535612</v>
      </c>
      <c r="H360" s="153">
        <v>36</v>
      </c>
      <c r="I360" s="155"/>
      <c r="J360" s="155"/>
      <c r="K360" s="155"/>
      <c r="L360" s="155"/>
      <c r="M360" s="155"/>
      <c r="N360" s="155"/>
      <c r="O360" s="148">
        <v>44770</v>
      </c>
      <c r="P360" s="149">
        <v>43.1</v>
      </c>
      <c r="Q360" s="149">
        <v>43.1</v>
      </c>
      <c r="R360" s="149">
        <v>41.5</v>
      </c>
      <c r="S360" s="149">
        <v>42</v>
      </c>
      <c r="T360" s="150">
        <v>20969</v>
      </c>
      <c r="U360" s="151">
        <v>881641.2</v>
      </c>
      <c r="V360" s="149">
        <v>45</v>
      </c>
      <c r="Z360" s="1">
        <v>44634</v>
      </c>
      <c r="AA360">
        <v>67.5</v>
      </c>
      <c r="AB360">
        <v>12324</v>
      </c>
      <c r="AC360">
        <v>52804</v>
      </c>
      <c r="AF360" s="1">
        <v>44634</v>
      </c>
      <c r="AG360">
        <v>71.42</v>
      </c>
      <c r="AJ360" s="156">
        <f t="shared" si="5"/>
        <v>5.4886586390366865E-2</v>
      </c>
    </row>
    <row r="361" spans="1:36" x14ac:dyDescent="0.3">
      <c r="A361" s="152">
        <v>44769</v>
      </c>
      <c r="B361" s="153">
        <v>53.5</v>
      </c>
      <c r="C361" s="153">
        <v>53.5</v>
      </c>
      <c r="D361" s="153">
        <v>52</v>
      </c>
      <c r="E361" s="153">
        <v>52</v>
      </c>
      <c r="F361" s="154">
        <v>67349</v>
      </c>
      <c r="G361" s="155">
        <v>3530239.3</v>
      </c>
      <c r="H361" s="153">
        <v>54</v>
      </c>
      <c r="I361" s="155"/>
      <c r="J361" s="155"/>
      <c r="K361" s="155"/>
      <c r="L361" s="155"/>
      <c r="M361" s="155"/>
      <c r="N361" s="155"/>
      <c r="O361" s="148">
        <v>44769</v>
      </c>
      <c r="P361" s="149">
        <v>44.6</v>
      </c>
      <c r="Q361" s="149">
        <v>44.6</v>
      </c>
      <c r="R361" s="149">
        <v>42.5</v>
      </c>
      <c r="S361" s="149">
        <v>43.1</v>
      </c>
      <c r="T361" s="150">
        <v>47224</v>
      </c>
      <c r="U361" s="151">
        <v>2085547.7</v>
      </c>
      <c r="V361" s="149">
        <v>37</v>
      </c>
      <c r="Z361" s="1">
        <v>44631</v>
      </c>
      <c r="AA361">
        <v>67.23</v>
      </c>
      <c r="AB361">
        <v>10295</v>
      </c>
      <c r="AC361">
        <v>53296</v>
      </c>
      <c r="AF361" s="1">
        <v>44631</v>
      </c>
      <c r="AG361">
        <v>71.88</v>
      </c>
      <c r="AJ361" s="156">
        <f t="shared" si="5"/>
        <v>6.4691151919866324E-2</v>
      </c>
    </row>
    <row r="362" spans="1:36" x14ac:dyDescent="0.3">
      <c r="A362" s="152">
        <v>44768</v>
      </c>
      <c r="B362" s="153">
        <v>53</v>
      </c>
      <c r="C362" s="153">
        <v>54.5</v>
      </c>
      <c r="D362" s="153">
        <v>52</v>
      </c>
      <c r="E362" s="153">
        <v>52.1</v>
      </c>
      <c r="F362" s="154">
        <v>114932</v>
      </c>
      <c r="G362" s="155">
        <v>5979657</v>
      </c>
      <c r="H362" s="153">
        <v>42</v>
      </c>
      <c r="I362" s="155"/>
      <c r="J362" s="155"/>
      <c r="K362" s="155"/>
      <c r="L362" s="155"/>
      <c r="M362" s="155"/>
      <c r="N362" s="155"/>
      <c r="O362" s="148">
        <v>44768</v>
      </c>
      <c r="P362" s="149">
        <v>45</v>
      </c>
      <c r="Q362" s="149">
        <v>45</v>
      </c>
      <c r="R362" s="149">
        <v>44.7</v>
      </c>
      <c r="S362" s="149">
        <v>45</v>
      </c>
      <c r="T362" s="150">
        <v>22009</v>
      </c>
      <c r="U362" s="151">
        <v>985664.7</v>
      </c>
      <c r="V362" s="149">
        <v>21</v>
      </c>
      <c r="Z362" s="1">
        <v>44630</v>
      </c>
      <c r="AA362">
        <v>67.680000000000007</v>
      </c>
      <c r="AB362">
        <v>99004</v>
      </c>
      <c r="AC362">
        <v>58240</v>
      </c>
      <c r="AF362" s="1">
        <v>44630</v>
      </c>
      <c r="AG362">
        <v>72.33</v>
      </c>
      <c r="AJ362" s="156">
        <f t="shared" si="5"/>
        <v>6.4288676897552771E-2</v>
      </c>
    </row>
    <row r="363" spans="1:36" x14ac:dyDescent="0.3">
      <c r="A363" s="152">
        <v>44767</v>
      </c>
      <c r="B363" s="153">
        <v>54</v>
      </c>
      <c r="C363" s="153">
        <v>54</v>
      </c>
      <c r="D363" s="153">
        <v>53</v>
      </c>
      <c r="E363" s="153">
        <v>53</v>
      </c>
      <c r="F363" s="154">
        <v>34024</v>
      </c>
      <c r="G363" s="155">
        <v>1805033.8</v>
      </c>
      <c r="H363" s="153">
        <v>34</v>
      </c>
      <c r="I363" s="155"/>
      <c r="J363" s="155"/>
      <c r="K363" s="155"/>
      <c r="L363" s="155"/>
      <c r="M363" s="155"/>
      <c r="N363" s="155"/>
      <c r="O363" s="148">
        <v>44767</v>
      </c>
      <c r="P363" s="149">
        <v>45</v>
      </c>
      <c r="Q363" s="149">
        <v>45</v>
      </c>
      <c r="R363" s="149">
        <v>44.8</v>
      </c>
      <c r="S363" s="149">
        <v>44.9</v>
      </c>
      <c r="T363" s="150">
        <v>2569</v>
      </c>
      <c r="U363" s="151">
        <v>115296.2</v>
      </c>
      <c r="V363" s="149">
        <v>14</v>
      </c>
      <c r="Z363" s="1">
        <v>44629</v>
      </c>
      <c r="AA363">
        <v>65.25</v>
      </c>
      <c r="AB363">
        <v>102036</v>
      </c>
      <c r="AC363">
        <v>52534</v>
      </c>
      <c r="AF363" s="1">
        <v>44629</v>
      </c>
      <c r="AG363">
        <v>70.510000000000005</v>
      </c>
      <c r="AJ363" s="156">
        <f t="shared" si="5"/>
        <v>7.459934761026811E-2</v>
      </c>
    </row>
    <row r="364" spans="1:36" x14ac:dyDescent="0.3">
      <c r="A364" s="152">
        <v>44764</v>
      </c>
      <c r="B364" s="153">
        <v>53</v>
      </c>
      <c r="C364" s="153">
        <v>54</v>
      </c>
      <c r="D364" s="153">
        <v>52.8</v>
      </c>
      <c r="E364" s="153">
        <v>53.1</v>
      </c>
      <c r="F364" s="154">
        <v>40547</v>
      </c>
      <c r="G364" s="155">
        <v>2153151.4</v>
      </c>
      <c r="H364" s="153">
        <v>53</v>
      </c>
      <c r="I364" s="155"/>
      <c r="J364" s="155"/>
      <c r="K364" s="155"/>
      <c r="L364" s="155"/>
      <c r="M364" s="155"/>
      <c r="N364" s="155"/>
      <c r="O364" s="148">
        <v>44764</v>
      </c>
      <c r="P364" s="149">
        <v>43.5</v>
      </c>
      <c r="Q364" s="149">
        <v>46</v>
      </c>
      <c r="R364" s="149">
        <v>43</v>
      </c>
      <c r="S364" s="149">
        <v>44.7</v>
      </c>
      <c r="T364" s="150">
        <v>9322</v>
      </c>
      <c r="U364" s="151">
        <v>407484.7</v>
      </c>
      <c r="V364" s="149">
        <v>34</v>
      </c>
      <c r="Z364" s="1">
        <v>44628</v>
      </c>
      <c r="AA364">
        <v>67.86</v>
      </c>
      <c r="AB364">
        <v>21154</v>
      </c>
      <c r="AC364">
        <v>46191</v>
      </c>
      <c r="AF364" s="1">
        <v>44628</v>
      </c>
      <c r="AG364">
        <v>72.150000000000006</v>
      </c>
      <c r="AJ364" s="156">
        <f t="shared" si="5"/>
        <v>5.9459459459459539E-2</v>
      </c>
    </row>
    <row r="365" spans="1:36" x14ac:dyDescent="0.3">
      <c r="A365" s="152">
        <v>44763</v>
      </c>
      <c r="B365" s="153">
        <v>55</v>
      </c>
      <c r="C365" s="153">
        <v>58</v>
      </c>
      <c r="D365" s="153">
        <v>53.8</v>
      </c>
      <c r="E365" s="153">
        <v>54</v>
      </c>
      <c r="F365" s="154">
        <v>20018</v>
      </c>
      <c r="G365" s="155">
        <v>1095068</v>
      </c>
      <c r="H365" s="153">
        <v>73</v>
      </c>
      <c r="I365" s="155"/>
      <c r="J365" s="155"/>
      <c r="K365" s="155"/>
      <c r="L365" s="155"/>
      <c r="M365" s="155"/>
      <c r="N365" s="155"/>
      <c r="O365" s="148">
        <v>44763</v>
      </c>
      <c r="P365" s="149">
        <v>43.8</v>
      </c>
      <c r="Q365" s="149">
        <v>43.8</v>
      </c>
      <c r="R365" s="149">
        <v>42.6</v>
      </c>
      <c r="S365" s="149">
        <v>43.6</v>
      </c>
      <c r="T365" s="150">
        <v>7457</v>
      </c>
      <c r="U365" s="151">
        <v>319026.2</v>
      </c>
      <c r="V365" s="149">
        <v>22</v>
      </c>
      <c r="Z365" s="1">
        <v>44627</v>
      </c>
      <c r="AA365">
        <v>67.41</v>
      </c>
      <c r="AB365">
        <v>69717</v>
      </c>
      <c r="AC365">
        <v>46889</v>
      </c>
      <c r="AF365" s="1">
        <v>44627</v>
      </c>
      <c r="AG365">
        <v>72.97</v>
      </c>
      <c r="AJ365" s="156">
        <f t="shared" si="5"/>
        <v>7.6195696861724033E-2</v>
      </c>
    </row>
    <row r="366" spans="1:36" x14ac:dyDescent="0.3">
      <c r="A366" s="152">
        <v>44762</v>
      </c>
      <c r="B366" s="153">
        <v>54.1</v>
      </c>
      <c r="C366" s="153">
        <v>55</v>
      </c>
      <c r="D366" s="153">
        <v>53.2</v>
      </c>
      <c r="E366" s="153">
        <v>53.9</v>
      </c>
      <c r="F366" s="154">
        <v>18714</v>
      </c>
      <c r="G366" s="155">
        <v>1011246.2</v>
      </c>
      <c r="H366" s="153">
        <v>56</v>
      </c>
      <c r="I366" s="155"/>
      <c r="J366" s="155"/>
      <c r="K366" s="155"/>
      <c r="L366" s="155"/>
      <c r="M366" s="155"/>
      <c r="N366" s="155"/>
      <c r="O366" s="148">
        <v>44762</v>
      </c>
      <c r="P366" s="149">
        <v>42.5</v>
      </c>
      <c r="Q366" s="149">
        <v>43</v>
      </c>
      <c r="R366" s="149">
        <v>41</v>
      </c>
      <c r="S366" s="149">
        <v>42.3</v>
      </c>
      <c r="T366" s="150">
        <v>73572</v>
      </c>
      <c r="U366" s="151">
        <v>3032557.3</v>
      </c>
      <c r="V366" s="149">
        <v>81</v>
      </c>
      <c r="Z366" s="1">
        <v>44624</v>
      </c>
      <c r="AA366">
        <v>68.31</v>
      </c>
      <c r="AB366">
        <v>6397</v>
      </c>
      <c r="AC366">
        <v>50136</v>
      </c>
      <c r="AF366" s="1">
        <v>44624</v>
      </c>
      <c r="AG366">
        <v>73.97</v>
      </c>
      <c r="AJ366" s="156">
        <f t="shared" si="5"/>
        <v>7.6517507097471904E-2</v>
      </c>
    </row>
    <row r="367" spans="1:36" x14ac:dyDescent="0.3">
      <c r="A367" s="152">
        <v>44761</v>
      </c>
      <c r="B367" s="153">
        <v>52</v>
      </c>
      <c r="C367" s="153">
        <v>54.1</v>
      </c>
      <c r="D367" s="153">
        <v>51.9</v>
      </c>
      <c r="E367" s="153">
        <v>53.2</v>
      </c>
      <c r="F367" s="154">
        <v>230652</v>
      </c>
      <c r="G367" s="155">
        <v>12012941.699999999</v>
      </c>
      <c r="H367" s="153">
        <v>57</v>
      </c>
      <c r="I367" s="155"/>
      <c r="J367" s="155"/>
      <c r="K367" s="155"/>
      <c r="L367" s="155"/>
      <c r="M367" s="155"/>
      <c r="N367" s="155"/>
      <c r="O367" s="148">
        <v>44761</v>
      </c>
      <c r="P367" s="149">
        <v>41.5</v>
      </c>
      <c r="Q367" s="149">
        <v>42.5</v>
      </c>
      <c r="R367" s="149">
        <v>41</v>
      </c>
      <c r="S367" s="149">
        <v>42.5</v>
      </c>
      <c r="T367" s="150">
        <v>7677</v>
      </c>
      <c r="U367" s="151">
        <v>323786.90000000002</v>
      </c>
      <c r="V367" s="149">
        <v>18</v>
      </c>
      <c r="Z367" s="1">
        <v>44623</v>
      </c>
      <c r="AA367">
        <v>68.58</v>
      </c>
      <c r="AB367">
        <v>15398</v>
      </c>
      <c r="AC367">
        <v>57448</v>
      </c>
      <c r="AF367" s="1">
        <v>44623</v>
      </c>
      <c r="AG367">
        <v>73.97</v>
      </c>
      <c r="AJ367" s="156">
        <f t="shared" si="5"/>
        <v>7.286737866702718E-2</v>
      </c>
    </row>
    <row r="368" spans="1:36" x14ac:dyDescent="0.3">
      <c r="A368" s="152">
        <v>44760</v>
      </c>
      <c r="B368" s="153">
        <v>51.7</v>
      </c>
      <c r="C368" s="153">
        <v>52</v>
      </c>
      <c r="D368" s="153">
        <v>51.7</v>
      </c>
      <c r="E368" s="153">
        <v>51.9</v>
      </c>
      <c r="F368" s="154">
        <v>41281</v>
      </c>
      <c r="G368" s="155">
        <v>2144994</v>
      </c>
      <c r="H368" s="153">
        <v>66</v>
      </c>
      <c r="I368" s="155"/>
      <c r="J368" s="155"/>
      <c r="K368" s="155"/>
      <c r="L368" s="155"/>
      <c r="M368" s="155"/>
      <c r="N368" s="155"/>
      <c r="O368" s="148">
        <v>44760</v>
      </c>
      <c r="P368" s="149">
        <v>42.9</v>
      </c>
      <c r="Q368" s="149">
        <v>42.9</v>
      </c>
      <c r="R368" s="149">
        <v>41</v>
      </c>
      <c r="S368" s="149">
        <v>41.7</v>
      </c>
      <c r="T368" s="150">
        <v>5854</v>
      </c>
      <c r="U368" s="151">
        <v>243951.9</v>
      </c>
      <c r="V368" s="149">
        <v>33</v>
      </c>
      <c r="Z368" s="1">
        <v>44622</v>
      </c>
      <c r="AA368">
        <v>68.849999999999994</v>
      </c>
      <c r="AB368">
        <v>45814</v>
      </c>
      <c r="AC368">
        <v>59060</v>
      </c>
      <c r="AF368" s="1">
        <v>44622</v>
      </c>
      <c r="AG368">
        <v>73.97</v>
      </c>
      <c r="AJ368" s="156">
        <f t="shared" si="5"/>
        <v>6.9217250236582456E-2</v>
      </c>
    </row>
    <row r="369" spans="1:36" x14ac:dyDescent="0.3">
      <c r="A369" s="152">
        <v>44757</v>
      </c>
      <c r="B369" s="153">
        <v>52</v>
      </c>
      <c r="C369" s="153">
        <v>52</v>
      </c>
      <c r="D369" s="153">
        <v>51.6</v>
      </c>
      <c r="E369" s="153">
        <v>52</v>
      </c>
      <c r="F369" s="154">
        <v>33792</v>
      </c>
      <c r="G369" s="155">
        <v>1755924.7</v>
      </c>
      <c r="H369" s="153">
        <v>44</v>
      </c>
      <c r="I369" s="155"/>
      <c r="J369" s="155"/>
      <c r="K369" s="155"/>
      <c r="L369" s="155"/>
      <c r="M369" s="155"/>
      <c r="N369" s="155"/>
      <c r="O369" s="148">
        <v>44757</v>
      </c>
      <c r="P369" s="149">
        <v>42.3</v>
      </c>
      <c r="Q369" s="149">
        <v>42.9</v>
      </c>
      <c r="R369" s="149">
        <v>42.3</v>
      </c>
      <c r="S369" s="149">
        <v>42.7</v>
      </c>
      <c r="T369" s="150">
        <v>3044</v>
      </c>
      <c r="U369" s="151">
        <v>129833.7</v>
      </c>
      <c r="V369" s="149">
        <v>17</v>
      </c>
      <c r="Z369" s="1">
        <v>44620</v>
      </c>
      <c r="AA369">
        <v>69.650000000000006</v>
      </c>
      <c r="AB369">
        <v>109604</v>
      </c>
      <c r="AC369">
        <v>56952</v>
      </c>
      <c r="AF369" s="1">
        <v>44620</v>
      </c>
      <c r="AG369">
        <v>74.52</v>
      </c>
      <c r="AJ369" s="156">
        <f t="shared" si="5"/>
        <v>6.535158346752537E-2</v>
      </c>
    </row>
    <row r="370" spans="1:36" x14ac:dyDescent="0.3">
      <c r="A370" s="152">
        <v>44756</v>
      </c>
      <c r="B370" s="153">
        <v>51.7</v>
      </c>
      <c r="C370" s="153">
        <v>51.7</v>
      </c>
      <c r="D370" s="153">
        <v>51.4</v>
      </c>
      <c r="E370" s="153">
        <v>51.5</v>
      </c>
      <c r="F370" s="154">
        <v>14535</v>
      </c>
      <c r="G370" s="155">
        <v>748782.1</v>
      </c>
      <c r="H370" s="153">
        <v>24</v>
      </c>
      <c r="I370" s="155"/>
      <c r="J370" s="155"/>
      <c r="K370" s="155"/>
      <c r="L370" s="155"/>
      <c r="M370" s="155"/>
      <c r="N370" s="155"/>
      <c r="O370" s="148">
        <v>44756</v>
      </c>
      <c r="P370" s="149">
        <v>42.2</v>
      </c>
      <c r="Q370" s="149">
        <v>42.2</v>
      </c>
      <c r="R370" s="149">
        <v>40</v>
      </c>
      <c r="S370" s="149">
        <v>40</v>
      </c>
      <c r="T370" s="150">
        <v>23461</v>
      </c>
      <c r="U370" s="151">
        <v>939297</v>
      </c>
      <c r="V370" s="149">
        <v>31</v>
      </c>
      <c r="Z370" s="1">
        <v>44617</v>
      </c>
      <c r="AA370">
        <v>67.95</v>
      </c>
      <c r="AB370">
        <v>123043</v>
      </c>
      <c r="AC370">
        <v>58091</v>
      </c>
      <c r="AF370" s="1">
        <v>44617</v>
      </c>
      <c r="AG370">
        <v>72.88</v>
      </c>
      <c r="AJ370" s="156">
        <f t="shared" si="5"/>
        <v>6.7645444566410445E-2</v>
      </c>
    </row>
    <row r="371" spans="1:36" x14ac:dyDescent="0.3">
      <c r="A371" s="152">
        <v>44754</v>
      </c>
      <c r="B371" s="153">
        <v>52</v>
      </c>
      <c r="C371" s="153">
        <v>52</v>
      </c>
      <c r="D371" s="153">
        <v>51.3</v>
      </c>
      <c r="E371" s="153">
        <v>51.6</v>
      </c>
      <c r="F371" s="154">
        <v>6841</v>
      </c>
      <c r="G371" s="155">
        <v>354022.3</v>
      </c>
      <c r="H371" s="153">
        <v>58</v>
      </c>
      <c r="I371" s="155"/>
      <c r="J371" s="155"/>
      <c r="K371" s="155"/>
      <c r="L371" s="155"/>
      <c r="M371" s="155"/>
      <c r="N371" s="155"/>
      <c r="O371" s="148">
        <v>44754</v>
      </c>
      <c r="P371" s="149">
        <v>41.3</v>
      </c>
      <c r="Q371" s="149">
        <v>42.3</v>
      </c>
      <c r="R371" s="149">
        <v>40</v>
      </c>
      <c r="S371" s="149">
        <v>40</v>
      </c>
      <c r="T371" s="150">
        <v>94347</v>
      </c>
      <c r="U371" s="151">
        <v>3832107.8</v>
      </c>
      <c r="V371" s="149">
        <v>94</v>
      </c>
      <c r="Z371" s="1">
        <v>44616</v>
      </c>
      <c r="AA371">
        <v>67.14</v>
      </c>
      <c r="AB371">
        <v>51673</v>
      </c>
      <c r="AC371">
        <v>53558</v>
      </c>
      <c r="AF371" s="1">
        <v>44616</v>
      </c>
      <c r="AG371">
        <v>71.790000000000006</v>
      </c>
      <c r="AJ371" s="156">
        <f t="shared" si="5"/>
        <v>6.4772252402841693E-2</v>
      </c>
    </row>
    <row r="372" spans="1:36" x14ac:dyDescent="0.3">
      <c r="A372" s="152">
        <v>44753</v>
      </c>
      <c r="B372" s="153">
        <v>50</v>
      </c>
      <c r="C372" s="153">
        <v>52.9</v>
      </c>
      <c r="D372" s="153">
        <v>50</v>
      </c>
      <c r="E372" s="153">
        <v>52</v>
      </c>
      <c r="F372" s="154">
        <v>150797</v>
      </c>
      <c r="G372" s="155">
        <v>7800961.5999999996</v>
      </c>
      <c r="H372" s="153">
        <v>86</v>
      </c>
      <c r="I372" s="155"/>
      <c r="J372" s="155"/>
      <c r="K372" s="155"/>
      <c r="L372" s="155"/>
      <c r="M372" s="155"/>
      <c r="N372" s="155"/>
      <c r="O372" s="148">
        <v>44753</v>
      </c>
      <c r="P372" s="149">
        <v>41</v>
      </c>
      <c r="Q372" s="149">
        <v>41</v>
      </c>
      <c r="R372" s="149">
        <v>39.9</v>
      </c>
      <c r="S372" s="149">
        <v>40</v>
      </c>
      <c r="T372" s="150">
        <v>61821</v>
      </c>
      <c r="U372" s="151">
        <v>2472922.6</v>
      </c>
      <c r="V372" s="149">
        <v>50</v>
      </c>
      <c r="Z372" s="1">
        <v>44615</v>
      </c>
      <c r="AA372">
        <v>67.86</v>
      </c>
      <c r="AB372">
        <v>63649</v>
      </c>
      <c r="AC372">
        <v>55568</v>
      </c>
      <c r="AF372" s="1">
        <v>44615</v>
      </c>
      <c r="AG372">
        <v>72.790000000000006</v>
      </c>
      <c r="AJ372" s="156">
        <f t="shared" si="5"/>
        <v>6.7729083665338738E-2</v>
      </c>
    </row>
    <row r="373" spans="1:36" x14ac:dyDescent="0.3">
      <c r="A373" s="152">
        <v>44750</v>
      </c>
      <c r="B373" s="153">
        <v>50</v>
      </c>
      <c r="C373" s="153">
        <v>50.3</v>
      </c>
      <c r="D373" s="153">
        <v>50</v>
      </c>
      <c r="E373" s="153">
        <v>50.2</v>
      </c>
      <c r="F373" s="154">
        <v>23520</v>
      </c>
      <c r="G373" s="155">
        <v>1180953.3999999999</v>
      </c>
      <c r="H373" s="153">
        <v>42</v>
      </c>
      <c r="I373" s="155"/>
      <c r="J373" s="155"/>
      <c r="K373" s="155"/>
      <c r="L373" s="155"/>
      <c r="M373" s="155"/>
      <c r="N373" s="155"/>
      <c r="O373" s="148">
        <v>44750</v>
      </c>
      <c r="P373" s="149">
        <v>40</v>
      </c>
      <c r="Q373" s="149">
        <v>40</v>
      </c>
      <c r="R373" s="149">
        <v>40</v>
      </c>
      <c r="S373" s="149">
        <v>40</v>
      </c>
      <c r="T373" s="150">
        <v>24503</v>
      </c>
      <c r="U373" s="151">
        <v>980120</v>
      </c>
      <c r="V373" s="149">
        <v>20</v>
      </c>
      <c r="Z373" s="1">
        <v>44614</v>
      </c>
      <c r="AA373">
        <v>68.94</v>
      </c>
      <c r="AB373">
        <v>34943</v>
      </c>
      <c r="AC373">
        <v>54261</v>
      </c>
      <c r="AF373" s="1">
        <v>44614</v>
      </c>
      <c r="AG373">
        <v>73.7</v>
      </c>
      <c r="AJ373" s="156">
        <f t="shared" si="5"/>
        <v>6.458616010854823E-2</v>
      </c>
    </row>
    <row r="374" spans="1:36" x14ac:dyDescent="0.3">
      <c r="A374" s="152">
        <v>44749</v>
      </c>
      <c r="B374" s="153">
        <v>50</v>
      </c>
      <c r="C374" s="153">
        <v>50.4</v>
      </c>
      <c r="D374" s="153">
        <v>50</v>
      </c>
      <c r="E374" s="153">
        <v>50</v>
      </c>
      <c r="F374" s="154">
        <v>251126</v>
      </c>
      <c r="G374" s="155">
        <v>12559255.300000001</v>
      </c>
      <c r="H374" s="153">
        <v>50</v>
      </c>
      <c r="I374" s="155"/>
      <c r="J374" s="155"/>
      <c r="K374" s="155"/>
      <c r="L374" s="155"/>
      <c r="M374" s="155"/>
      <c r="N374" s="155"/>
      <c r="O374" s="148">
        <v>44749</v>
      </c>
      <c r="P374" s="149">
        <v>40</v>
      </c>
      <c r="Q374" s="149">
        <v>40</v>
      </c>
      <c r="R374" s="149">
        <v>39.4</v>
      </c>
      <c r="S374" s="149">
        <v>39.5</v>
      </c>
      <c r="T374" s="150">
        <v>22676</v>
      </c>
      <c r="U374" s="151">
        <v>895693.2</v>
      </c>
      <c r="V374" s="149">
        <v>41</v>
      </c>
      <c r="Z374" s="1">
        <v>44613</v>
      </c>
      <c r="AA374">
        <v>69.03</v>
      </c>
      <c r="AB374">
        <v>27016</v>
      </c>
      <c r="AC374">
        <v>53334</v>
      </c>
      <c r="AF374" s="1">
        <v>44613</v>
      </c>
      <c r="AG374">
        <v>72.88</v>
      </c>
      <c r="AJ374" s="156">
        <f t="shared" si="5"/>
        <v>5.2826564215148114E-2</v>
      </c>
    </row>
    <row r="375" spans="1:36" x14ac:dyDescent="0.3">
      <c r="A375" s="152">
        <v>44748</v>
      </c>
      <c r="B375" s="153">
        <v>50</v>
      </c>
      <c r="C375" s="153">
        <v>50.5</v>
      </c>
      <c r="D375" s="153">
        <v>49.7</v>
      </c>
      <c r="E375" s="153">
        <v>50</v>
      </c>
      <c r="F375" s="154">
        <v>309306</v>
      </c>
      <c r="G375" s="155">
        <v>15465578.300000001</v>
      </c>
      <c r="H375" s="153">
        <v>80</v>
      </c>
      <c r="I375" s="155"/>
      <c r="J375" s="155"/>
      <c r="K375" s="155"/>
      <c r="L375" s="155"/>
      <c r="M375" s="155"/>
      <c r="N375" s="155"/>
      <c r="O375" s="148">
        <v>44748</v>
      </c>
      <c r="P375" s="149">
        <v>40.5</v>
      </c>
      <c r="Q375" s="149">
        <v>40.5</v>
      </c>
      <c r="R375" s="149">
        <v>39.9</v>
      </c>
      <c r="S375" s="149">
        <v>40</v>
      </c>
      <c r="T375" s="150">
        <v>12227</v>
      </c>
      <c r="U375" s="151">
        <v>489202.6</v>
      </c>
      <c r="V375" s="149">
        <v>23</v>
      </c>
      <c r="Z375" s="1">
        <v>44610</v>
      </c>
      <c r="AA375">
        <v>69.3</v>
      </c>
      <c r="AB375">
        <v>19694</v>
      </c>
      <c r="AC375">
        <v>60839</v>
      </c>
      <c r="AF375" s="1">
        <v>44610</v>
      </c>
      <c r="AG375">
        <v>74.239999999999995</v>
      </c>
      <c r="AJ375" s="156">
        <f t="shared" si="5"/>
        <v>6.6540948275862044E-2</v>
      </c>
    </row>
    <row r="376" spans="1:36" x14ac:dyDescent="0.3">
      <c r="A376" s="152">
        <v>44747</v>
      </c>
      <c r="B376" s="153">
        <v>50.3</v>
      </c>
      <c r="C376" s="153">
        <v>50.3</v>
      </c>
      <c r="D376" s="153">
        <v>49.6</v>
      </c>
      <c r="E376" s="153">
        <v>50</v>
      </c>
      <c r="F376" s="154">
        <v>81363</v>
      </c>
      <c r="G376" s="155">
        <v>4070714.1</v>
      </c>
      <c r="H376" s="153">
        <v>74</v>
      </c>
      <c r="I376" s="155"/>
      <c r="J376" s="155"/>
      <c r="K376" s="155"/>
      <c r="L376" s="155"/>
      <c r="M376" s="155"/>
      <c r="N376" s="155"/>
      <c r="O376" s="148">
        <v>44747</v>
      </c>
      <c r="P376" s="149">
        <v>41</v>
      </c>
      <c r="Q376" s="149">
        <v>41</v>
      </c>
      <c r="R376" s="149">
        <v>40</v>
      </c>
      <c r="S376" s="149">
        <v>40</v>
      </c>
      <c r="T376" s="150">
        <v>50010</v>
      </c>
      <c r="U376" s="151">
        <v>2000431.2</v>
      </c>
      <c r="V376" s="149">
        <v>39</v>
      </c>
      <c r="Z376" s="1">
        <v>44609</v>
      </c>
      <c r="AA376">
        <v>69.56</v>
      </c>
      <c r="AB376">
        <v>84455</v>
      </c>
      <c r="AC376">
        <v>61531</v>
      </c>
      <c r="AF376" s="1">
        <v>44609</v>
      </c>
      <c r="AG376">
        <v>74.7</v>
      </c>
      <c r="AJ376" s="156">
        <f t="shared" si="5"/>
        <v>6.880856760374833E-2</v>
      </c>
    </row>
    <row r="377" spans="1:36" x14ac:dyDescent="0.3">
      <c r="A377" s="152">
        <v>44746</v>
      </c>
      <c r="B377" s="153">
        <v>50.6</v>
      </c>
      <c r="C377" s="153">
        <v>50.6</v>
      </c>
      <c r="D377" s="153">
        <v>50.1</v>
      </c>
      <c r="E377" s="153">
        <v>50.2</v>
      </c>
      <c r="F377" s="154">
        <v>375814</v>
      </c>
      <c r="G377" s="155">
        <v>18855325.899999999</v>
      </c>
      <c r="H377" s="153">
        <v>54</v>
      </c>
      <c r="I377" s="155"/>
      <c r="J377" s="155"/>
      <c r="K377" s="155"/>
      <c r="L377" s="155"/>
      <c r="M377" s="155"/>
      <c r="N377" s="155"/>
      <c r="O377" s="148">
        <v>44746</v>
      </c>
      <c r="P377" s="149">
        <v>41.4</v>
      </c>
      <c r="Q377" s="149">
        <v>41.4</v>
      </c>
      <c r="R377" s="149">
        <v>40</v>
      </c>
      <c r="S377" s="149">
        <v>40</v>
      </c>
      <c r="T377" s="150">
        <v>71272</v>
      </c>
      <c r="U377" s="151">
        <v>2861743</v>
      </c>
      <c r="V377" s="149">
        <v>118</v>
      </c>
      <c r="Z377" s="1">
        <v>44607</v>
      </c>
      <c r="AA377">
        <v>67.86</v>
      </c>
      <c r="AB377">
        <v>13411</v>
      </c>
      <c r="AC377">
        <v>58322</v>
      </c>
      <c r="AF377" s="1">
        <v>44607</v>
      </c>
      <c r="AG377">
        <v>72.88</v>
      </c>
      <c r="AJ377" s="156">
        <f t="shared" si="5"/>
        <v>6.888035126234901E-2</v>
      </c>
    </row>
    <row r="378" spans="1:36" x14ac:dyDescent="0.3">
      <c r="A378" s="152">
        <v>44743</v>
      </c>
      <c r="B378" s="153">
        <v>50.7</v>
      </c>
      <c r="C378" s="153">
        <v>50.8</v>
      </c>
      <c r="D378" s="153">
        <v>50.4</v>
      </c>
      <c r="E378" s="153">
        <v>50.5</v>
      </c>
      <c r="F378" s="154">
        <v>9509</v>
      </c>
      <c r="G378" s="155">
        <v>480575.2</v>
      </c>
      <c r="H378" s="153">
        <v>40</v>
      </c>
      <c r="I378" s="155"/>
      <c r="J378" s="155"/>
      <c r="K378" s="155"/>
      <c r="L378" s="155"/>
      <c r="M378" s="155"/>
      <c r="N378" s="155"/>
      <c r="O378" s="148">
        <v>44743</v>
      </c>
      <c r="P378" s="149">
        <v>42.1</v>
      </c>
      <c r="Q378" s="149">
        <v>42.1</v>
      </c>
      <c r="R378" s="149">
        <v>42</v>
      </c>
      <c r="S378" s="149">
        <v>42.1</v>
      </c>
      <c r="T378" s="150">
        <v>7739</v>
      </c>
      <c r="U378" s="151">
        <v>325770</v>
      </c>
      <c r="V378" s="149">
        <v>35</v>
      </c>
      <c r="Z378" s="1">
        <v>44606</v>
      </c>
      <c r="AA378">
        <v>67.77</v>
      </c>
      <c r="AB378">
        <v>6895</v>
      </c>
      <c r="AC378">
        <v>60316</v>
      </c>
      <c r="AF378" s="1">
        <v>44606</v>
      </c>
      <c r="AG378">
        <v>71.88</v>
      </c>
      <c r="AJ378" s="156">
        <f t="shared" si="5"/>
        <v>5.7178631051752915E-2</v>
      </c>
    </row>
    <row r="379" spans="1:36" x14ac:dyDescent="0.3">
      <c r="A379" s="152">
        <v>44742</v>
      </c>
      <c r="B379" s="153">
        <v>50.2</v>
      </c>
      <c r="C379" s="153">
        <v>50.7</v>
      </c>
      <c r="D379" s="153">
        <v>50.2</v>
      </c>
      <c r="E379" s="153">
        <v>50.6</v>
      </c>
      <c r="F379" s="154">
        <v>122641</v>
      </c>
      <c r="G379" s="155">
        <v>6197219.5</v>
      </c>
      <c r="H379" s="153">
        <v>49</v>
      </c>
      <c r="I379" s="155"/>
      <c r="J379" s="155"/>
      <c r="K379" s="155"/>
      <c r="L379" s="155"/>
      <c r="M379" s="155"/>
      <c r="N379" s="155"/>
      <c r="O379" s="148">
        <v>44742</v>
      </c>
      <c r="P379" s="149">
        <v>42.4</v>
      </c>
      <c r="Q379" s="149">
        <v>42.4</v>
      </c>
      <c r="R379" s="149">
        <v>41</v>
      </c>
      <c r="S379" s="149">
        <v>41.5</v>
      </c>
      <c r="T379" s="150">
        <v>56262</v>
      </c>
      <c r="U379" s="151">
        <v>2336460.5</v>
      </c>
      <c r="V379" s="149">
        <v>73</v>
      </c>
      <c r="Z379" s="1">
        <v>44603</v>
      </c>
      <c r="AA379">
        <v>68.13</v>
      </c>
      <c r="AB379">
        <v>31632</v>
      </c>
      <c r="AC379">
        <v>62514</v>
      </c>
      <c r="AF379" s="1">
        <v>44603</v>
      </c>
      <c r="AG379">
        <v>72.7</v>
      </c>
      <c r="AJ379" s="156">
        <f t="shared" si="5"/>
        <v>6.2861072902338472E-2</v>
      </c>
    </row>
    <row r="380" spans="1:36" x14ac:dyDescent="0.3">
      <c r="A380" s="152">
        <v>44741</v>
      </c>
      <c r="B380" s="153">
        <v>50.1</v>
      </c>
      <c r="C380" s="153">
        <v>50.4</v>
      </c>
      <c r="D380" s="153">
        <v>50.1</v>
      </c>
      <c r="E380" s="153">
        <v>50.2</v>
      </c>
      <c r="F380" s="154">
        <v>106732</v>
      </c>
      <c r="G380" s="155">
        <v>5349982.9000000004</v>
      </c>
      <c r="H380" s="153">
        <v>49</v>
      </c>
      <c r="I380" s="155"/>
      <c r="J380" s="155"/>
      <c r="K380" s="155"/>
      <c r="L380" s="155"/>
      <c r="M380" s="155"/>
      <c r="N380" s="155"/>
      <c r="O380" s="148">
        <v>44741</v>
      </c>
      <c r="P380" s="149">
        <v>42.4</v>
      </c>
      <c r="Q380" s="149">
        <v>42.4</v>
      </c>
      <c r="R380" s="149">
        <v>42</v>
      </c>
      <c r="S380" s="149">
        <v>42.2</v>
      </c>
      <c r="T380" s="150">
        <v>5180</v>
      </c>
      <c r="U380" s="151">
        <v>218480.8</v>
      </c>
      <c r="V380" s="149">
        <v>33</v>
      </c>
      <c r="Z380" s="1">
        <v>44602</v>
      </c>
      <c r="AA380">
        <v>67.319999999999993</v>
      </c>
      <c r="AB380">
        <v>118411</v>
      </c>
      <c r="AC380">
        <v>62190</v>
      </c>
      <c r="AF380" s="1">
        <v>44602</v>
      </c>
      <c r="AG380">
        <v>72.7</v>
      </c>
      <c r="AJ380" s="156">
        <f t="shared" si="5"/>
        <v>7.400275103163699E-2</v>
      </c>
    </row>
    <row r="381" spans="1:36" x14ac:dyDescent="0.3">
      <c r="A381" s="152">
        <v>44740</v>
      </c>
      <c r="B381" s="153">
        <v>50</v>
      </c>
      <c r="C381" s="153">
        <v>50.8</v>
      </c>
      <c r="D381" s="153">
        <v>50</v>
      </c>
      <c r="E381" s="153">
        <v>50.1</v>
      </c>
      <c r="F381" s="154">
        <v>1310048</v>
      </c>
      <c r="G381" s="155">
        <v>65572385.899999999</v>
      </c>
      <c r="H381" s="153">
        <v>112</v>
      </c>
      <c r="I381" s="155"/>
      <c r="J381" s="155"/>
      <c r="K381" s="155"/>
      <c r="L381" s="155"/>
      <c r="M381" s="155"/>
      <c r="N381" s="155"/>
      <c r="O381" s="148">
        <v>44740</v>
      </c>
      <c r="P381" s="149">
        <v>44</v>
      </c>
      <c r="Q381" s="149">
        <v>44</v>
      </c>
      <c r="R381" s="149">
        <v>40</v>
      </c>
      <c r="S381" s="149">
        <v>42</v>
      </c>
      <c r="T381" s="150">
        <v>88258</v>
      </c>
      <c r="U381" s="151">
        <v>3714140.9</v>
      </c>
      <c r="V381" s="149">
        <v>137</v>
      </c>
      <c r="Z381" s="1">
        <v>44601</v>
      </c>
      <c r="AA381">
        <v>68.040000000000006</v>
      </c>
      <c r="AB381">
        <v>116085</v>
      </c>
      <c r="AC381">
        <v>61122</v>
      </c>
      <c r="AF381" s="1">
        <v>44601</v>
      </c>
      <c r="AG381">
        <v>72.599999999999994</v>
      </c>
      <c r="AJ381" s="156">
        <f t="shared" si="5"/>
        <v>6.2809917355371739E-2</v>
      </c>
    </row>
    <row r="382" spans="1:36" x14ac:dyDescent="0.3">
      <c r="A382" s="152">
        <v>44739</v>
      </c>
      <c r="B382" s="153">
        <v>50.5</v>
      </c>
      <c r="C382" s="153">
        <v>50.9</v>
      </c>
      <c r="D382" s="153">
        <v>50</v>
      </c>
      <c r="E382" s="153">
        <v>50</v>
      </c>
      <c r="F382" s="154">
        <v>4051447</v>
      </c>
      <c r="G382" s="155">
        <v>202602525</v>
      </c>
      <c r="H382" s="153">
        <v>133</v>
      </c>
      <c r="I382" s="155"/>
      <c r="J382" s="155"/>
      <c r="K382" s="155"/>
      <c r="L382" s="155"/>
      <c r="M382" s="155"/>
      <c r="N382" s="155"/>
      <c r="O382" s="148">
        <v>44739</v>
      </c>
      <c r="P382" s="149">
        <v>45</v>
      </c>
      <c r="Q382" s="149">
        <v>45</v>
      </c>
      <c r="R382" s="149">
        <v>43</v>
      </c>
      <c r="S382" s="149">
        <v>44</v>
      </c>
      <c r="T382" s="150">
        <v>33100</v>
      </c>
      <c r="U382" s="151">
        <v>1458683.1</v>
      </c>
      <c r="V382" s="149">
        <v>79</v>
      </c>
      <c r="Z382" s="1">
        <v>44600</v>
      </c>
      <c r="AA382">
        <v>68.58</v>
      </c>
      <c r="AB382">
        <v>39573</v>
      </c>
      <c r="AC382">
        <v>57950</v>
      </c>
      <c r="AF382" s="1">
        <v>44600</v>
      </c>
      <c r="AG382">
        <v>73.239999999999995</v>
      </c>
      <c r="AJ382" s="156">
        <f t="shared" si="5"/>
        <v>6.3626433642818087E-2</v>
      </c>
    </row>
    <row r="383" spans="1:36" x14ac:dyDescent="0.3">
      <c r="A383" s="152">
        <v>44736</v>
      </c>
      <c r="B383" s="153">
        <v>51.5</v>
      </c>
      <c r="C383" s="153">
        <v>51.5</v>
      </c>
      <c r="D383" s="153">
        <v>50</v>
      </c>
      <c r="E383" s="153">
        <v>50.3</v>
      </c>
      <c r="F383" s="154">
        <v>3069323</v>
      </c>
      <c r="G383" s="155">
        <v>153599710.90000001</v>
      </c>
      <c r="H383" s="153">
        <v>172</v>
      </c>
      <c r="I383" s="155"/>
      <c r="J383" s="155"/>
      <c r="K383" s="155"/>
      <c r="L383" s="155"/>
      <c r="M383" s="155"/>
      <c r="N383" s="155"/>
      <c r="O383" s="148">
        <v>44736</v>
      </c>
      <c r="P383" s="149">
        <v>45.1</v>
      </c>
      <c r="Q383" s="149">
        <v>45.1</v>
      </c>
      <c r="R383" s="149">
        <v>44</v>
      </c>
      <c r="S383" s="149">
        <v>44.9</v>
      </c>
      <c r="T383" s="150">
        <v>64190</v>
      </c>
      <c r="U383" s="151">
        <v>2876508.4</v>
      </c>
      <c r="V383" s="149">
        <v>55</v>
      </c>
      <c r="Z383" s="1">
        <v>44599</v>
      </c>
      <c r="AA383">
        <v>68.31</v>
      </c>
      <c r="AB383">
        <v>14194</v>
      </c>
      <c r="AC383">
        <v>58697</v>
      </c>
      <c r="AF383" s="1">
        <v>44599</v>
      </c>
      <c r="AG383">
        <v>73.33</v>
      </c>
      <c r="AJ383" s="156">
        <f t="shared" si="5"/>
        <v>6.8457657166234781E-2</v>
      </c>
    </row>
    <row r="384" spans="1:36" x14ac:dyDescent="0.3">
      <c r="A384" s="152">
        <v>44735</v>
      </c>
      <c r="B384" s="153">
        <v>52</v>
      </c>
      <c r="C384" s="153">
        <v>52</v>
      </c>
      <c r="D384" s="153">
        <v>50.4</v>
      </c>
      <c r="E384" s="153">
        <v>50.5</v>
      </c>
      <c r="F384" s="154">
        <v>1097082</v>
      </c>
      <c r="G384" s="155">
        <v>54918631.700000003</v>
      </c>
      <c r="H384" s="153">
        <v>80</v>
      </c>
      <c r="I384" s="155"/>
      <c r="J384" s="155"/>
      <c r="K384" s="155"/>
      <c r="L384" s="155"/>
      <c r="M384" s="155"/>
      <c r="N384" s="155"/>
      <c r="O384" s="148">
        <v>44735</v>
      </c>
      <c r="P384" s="149">
        <v>45.4</v>
      </c>
      <c r="Q384" s="149">
        <v>45.5</v>
      </c>
      <c r="R384" s="149">
        <v>44.5</v>
      </c>
      <c r="S384" s="149">
        <v>44.7</v>
      </c>
      <c r="T384" s="150">
        <v>66778</v>
      </c>
      <c r="U384" s="151">
        <v>3004022.1</v>
      </c>
      <c r="V384" s="149">
        <v>67</v>
      </c>
      <c r="Z384" s="1">
        <v>44595</v>
      </c>
      <c r="AA384">
        <v>67.77</v>
      </c>
      <c r="AB384">
        <v>126690</v>
      </c>
      <c r="AC384">
        <v>60544</v>
      </c>
      <c r="AF384" s="1">
        <v>44595</v>
      </c>
      <c r="AG384">
        <v>74.61</v>
      </c>
      <c r="AJ384" s="156">
        <f t="shared" si="5"/>
        <v>9.1676718938480145E-2</v>
      </c>
    </row>
    <row r="385" spans="1:36" x14ac:dyDescent="0.3">
      <c r="A385" s="152">
        <v>44734</v>
      </c>
      <c r="B385" s="153">
        <v>50.5</v>
      </c>
      <c r="C385" s="153">
        <v>51.5</v>
      </c>
      <c r="D385" s="153">
        <v>50.5</v>
      </c>
      <c r="E385" s="153">
        <v>50.9</v>
      </c>
      <c r="F385" s="154">
        <v>9481</v>
      </c>
      <c r="G385" s="155">
        <v>483860</v>
      </c>
      <c r="H385" s="153">
        <v>30</v>
      </c>
      <c r="I385" s="155"/>
      <c r="J385" s="155"/>
      <c r="K385" s="155"/>
      <c r="L385" s="155"/>
      <c r="M385" s="155"/>
      <c r="N385" s="155"/>
      <c r="O385" s="148">
        <v>44734</v>
      </c>
      <c r="P385" s="149">
        <v>46.7</v>
      </c>
      <c r="Q385" s="149">
        <v>46.7</v>
      </c>
      <c r="R385" s="149">
        <v>46</v>
      </c>
      <c r="S385" s="149">
        <v>46</v>
      </c>
      <c r="T385" s="150">
        <v>15145</v>
      </c>
      <c r="U385" s="151">
        <v>703778.3</v>
      </c>
      <c r="V385" s="149">
        <v>62</v>
      </c>
      <c r="Z385" s="1">
        <v>44594</v>
      </c>
      <c r="AA385">
        <v>67.77</v>
      </c>
      <c r="AB385">
        <v>55051</v>
      </c>
      <c r="AC385">
        <v>56650</v>
      </c>
      <c r="AF385" s="1">
        <v>44594</v>
      </c>
      <c r="AG385">
        <v>74.61</v>
      </c>
      <c r="AJ385" s="156">
        <f t="shared" si="5"/>
        <v>9.1676718938480145E-2</v>
      </c>
    </row>
    <row r="386" spans="1:36" x14ac:dyDescent="0.3">
      <c r="A386" s="152">
        <v>44733</v>
      </c>
      <c r="B386" s="153">
        <v>51</v>
      </c>
      <c r="C386" s="153">
        <v>51.5</v>
      </c>
      <c r="D386" s="153">
        <v>50.3</v>
      </c>
      <c r="E386" s="153">
        <v>50.8</v>
      </c>
      <c r="F386" s="154">
        <v>6737</v>
      </c>
      <c r="G386" s="155">
        <v>342833.8</v>
      </c>
      <c r="H386" s="153">
        <v>40</v>
      </c>
      <c r="I386" s="155"/>
      <c r="J386" s="155"/>
      <c r="K386" s="155"/>
      <c r="L386" s="155"/>
      <c r="M386" s="155"/>
      <c r="N386" s="155"/>
      <c r="O386" s="148">
        <v>44733</v>
      </c>
      <c r="P386" s="149">
        <v>46.6</v>
      </c>
      <c r="Q386" s="149">
        <v>48.8</v>
      </c>
      <c r="R386" s="149">
        <v>46.2</v>
      </c>
      <c r="S386" s="149">
        <v>46.7</v>
      </c>
      <c r="T386" s="150">
        <v>2968</v>
      </c>
      <c r="U386" s="151">
        <v>138124.1</v>
      </c>
      <c r="V386" s="149">
        <v>16</v>
      </c>
      <c r="Z386" s="1">
        <v>44593</v>
      </c>
      <c r="AA386">
        <v>68.94</v>
      </c>
      <c r="AB386">
        <v>81818</v>
      </c>
      <c r="AC386">
        <v>75762</v>
      </c>
      <c r="AF386" s="1">
        <v>44593</v>
      </c>
      <c r="AG386">
        <v>74.790000000000006</v>
      </c>
      <c r="AJ386" s="156">
        <f t="shared" si="5"/>
        <v>7.8219013237063886E-2</v>
      </c>
    </row>
    <row r="387" spans="1:36" x14ac:dyDescent="0.3">
      <c r="A387" s="152">
        <v>44732</v>
      </c>
      <c r="B387" s="153">
        <v>50.3</v>
      </c>
      <c r="C387" s="153">
        <v>50.4</v>
      </c>
      <c r="D387" s="153">
        <v>50</v>
      </c>
      <c r="E387" s="153">
        <v>50.3</v>
      </c>
      <c r="F387" s="154">
        <v>1016684</v>
      </c>
      <c r="G387" s="155">
        <v>50913816.100000001</v>
      </c>
      <c r="H387" s="153">
        <v>91</v>
      </c>
      <c r="I387" s="155"/>
      <c r="J387" s="155"/>
      <c r="K387" s="155"/>
      <c r="L387" s="155"/>
      <c r="M387" s="155"/>
      <c r="N387" s="155"/>
      <c r="O387" s="148">
        <v>44732</v>
      </c>
      <c r="P387" s="149">
        <v>47.1</v>
      </c>
      <c r="Q387" s="149">
        <v>47.1</v>
      </c>
      <c r="R387" s="149">
        <v>46</v>
      </c>
      <c r="S387" s="149">
        <v>46.6</v>
      </c>
      <c r="T387" s="149">
        <v>318</v>
      </c>
      <c r="U387" s="151">
        <v>14833.5</v>
      </c>
      <c r="V387" s="149">
        <v>5</v>
      </c>
      <c r="Z387" s="1">
        <v>44592</v>
      </c>
      <c r="AA387">
        <v>68.040000000000006</v>
      </c>
      <c r="AB387">
        <v>44045</v>
      </c>
      <c r="AC387">
        <v>83800</v>
      </c>
      <c r="AF387" s="1">
        <v>44592</v>
      </c>
      <c r="AG387">
        <v>75.150000000000006</v>
      </c>
      <c r="AJ387" s="156">
        <f t="shared" si="5"/>
        <v>9.4610778443113761E-2</v>
      </c>
    </row>
    <row r="388" spans="1:36" x14ac:dyDescent="0.3">
      <c r="A388" s="152">
        <v>44729</v>
      </c>
      <c r="B388" s="153">
        <v>50.5</v>
      </c>
      <c r="C388" s="153">
        <v>51.2</v>
      </c>
      <c r="D388" s="153">
        <v>50.2</v>
      </c>
      <c r="E388" s="153">
        <v>50.3</v>
      </c>
      <c r="F388" s="154">
        <v>152801</v>
      </c>
      <c r="G388" s="155">
        <v>7703343.5999999996</v>
      </c>
      <c r="H388" s="153">
        <v>82</v>
      </c>
      <c r="I388" s="155"/>
      <c r="J388" s="155"/>
      <c r="K388" s="155"/>
      <c r="L388" s="155"/>
      <c r="M388" s="155"/>
      <c r="N388" s="155"/>
      <c r="O388" s="148">
        <v>44729</v>
      </c>
      <c r="P388" s="149">
        <v>47.3</v>
      </c>
      <c r="Q388" s="149">
        <v>47.9</v>
      </c>
      <c r="R388" s="149">
        <v>45</v>
      </c>
      <c r="S388" s="149">
        <v>45.2</v>
      </c>
      <c r="T388" s="150">
        <v>44240</v>
      </c>
      <c r="U388" s="151">
        <v>1998418.7</v>
      </c>
      <c r="V388" s="149">
        <v>34</v>
      </c>
      <c r="Z388" s="1">
        <v>44589</v>
      </c>
      <c r="AA388">
        <v>68.22</v>
      </c>
      <c r="AB388">
        <v>21042</v>
      </c>
      <c r="AC388">
        <v>82416</v>
      </c>
      <c r="AF388" s="1">
        <v>44589</v>
      </c>
      <c r="AG388">
        <v>74.239999999999995</v>
      </c>
      <c r="AJ388" s="156">
        <f t="shared" si="5"/>
        <v>8.1088362068965469E-2</v>
      </c>
    </row>
    <row r="389" spans="1:36" x14ac:dyDescent="0.3">
      <c r="A389" s="152">
        <v>44728</v>
      </c>
      <c r="B389" s="153">
        <v>51.5</v>
      </c>
      <c r="C389" s="153">
        <v>51.5</v>
      </c>
      <c r="D389" s="153">
        <v>50.6</v>
      </c>
      <c r="E389" s="153">
        <v>50.8</v>
      </c>
      <c r="F389" s="154">
        <v>15739</v>
      </c>
      <c r="G389" s="155">
        <v>800647.6</v>
      </c>
      <c r="H389" s="153">
        <v>49</v>
      </c>
      <c r="I389" s="155"/>
      <c r="J389" s="155"/>
      <c r="K389" s="155"/>
      <c r="L389" s="155"/>
      <c r="M389" s="155"/>
      <c r="N389" s="155"/>
      <c r="O389" s="148">
        <v>44728</v>
      </c>
      <c r="P389" s="149">
        <v>49.7</v>
      </c>
      <c r="Q389" s="149">
        <v>49.7</v>
      </c>
      <c r="R389" s="149">
        <v>47</v>
      </c>
      <c r="S389" s="149">
        <v>47.3</v>
      </c>
      <c r="T389" s="150">
        <v>7164</v>
      </c>
      <c r="U389" s="151">
        <v>342471.1</v>
      </c>
      <c r="V389" s="149">
        <v>25</v>
      </c>
      <c r="Z389" s="1">
        <v>44588</v>
      </c>
      <c r="AA389">
        <v>67.77</v>
      </c>
      <c r="AB389">
        <v>139582</v>
      </c>
      <c r="AC389">
        <v>84451</v>
      </c>
      <c r="AF389" s="1">
        <v>44588</v>
      </c>
      <c r="AG389">
        <v>74.7</v>
      </c>
      <c r="AJ389" s="156">
        <f t="shared" si="5"/>
        <v>9.2771084337349485E-2</v>
      </c>
    </row>
    <row r="390" spans="1:36" x14ac:dyDescent="0.3">
      <c r="A390" s="152">
        <v>44727</v>
      </c>
      <c r="B390" s="153">
        <v>51.9</v>
      </c>
      <c r="C390" s="153">
        <v>51.9</v>
      </c>
      <c r="D390" s="153">
        <v>50.9</v>
      </c>
      <c r="E390" s="153">
        <v>51</v>
      </c>
      <c r="F390" s="154">
        <v>527454</v>
      </c>
      <c r="G390" s="155">
        <v>26913789.800000001</v>
      </c>
      <c r="H390" s="153">
        <v>82</v>
      </c>
      <c r="I390" s="155"/>
      <c r="J390" s="155"/>
      <c r="K390" s="155"/>
      <c r="L390" s="155"/>
      <c r="M390" s="155"/>
      <c r="N390" s="155"/>
      <c r="O390" s="148">
        <v>44727</v>
      </c>
      <c r="P390" s="149">
        <v>48</v>
      </c>
      <c r="Q390" s="149">
        <v>48</v>
      </c>
      <c r="R390" s="149">
        <v>47.6</v>
      </c>
      <c r="S390" s="149">
        <v>47.7</v>
      </c>
      <c r="T390" s="150">
        <v>1715</v>
      </c>
      <c r="U390" s="151">
        <v>81964.399999999994</v>
      </c>
      <c r="V390" s="149">
        <v>16</v>
      </c>
      <c r="Z390" s="1">
        <v>44587</v>
      </c>
      <c r="AA390">
        <v>67.680000000000007</v>
      </c>
      <c r="AB390">
        <v>30086</v>
      </c>
      <c r="AC390">
        <v>75857</v>
      </c>
      <c r="AF390" s="1">
        <v>44587</v>
      </c>
      <c r="AG390">
        <v>74.7</v>
      </c>
      <c r="AJ390" s="156">
        <f t="shared" ref="AJ390:AJ453" si="6">(AG390-AA390)/AG390</f>
        <v>9.3975903614457776E-2</v>
      </c>
    </row>
    <row r="391" spans="1:36" x14ac:dyDescent="0.3">
      <c r="A391" s="152">
        <v>44725</v>
      </c>
      <c r="B391" s="153">
        <v>52</v>
      </c>
      <c r="C391" s="153">
        <v>52</v>
      </c>
      <c r="D391" s="153">
        <v>51</v>
      </c>
      <c r="E391" s="153">
        <v>51.5</v>
      </c>
      <c r="F391" s="154">
        <v>60186</v>
      </c>
      <c r="G391" s="155">
        <v>3079177.3</v>
      </c>
      <c r="H391" s="153">
        <v>58</v>
      </c>
      <c r="I391" s="155"/>
      <c r="J391" s="155"/>
      <c r="K391" s="155"/>
      <c r="L391" s="155"/>
      <c r="M391" s="155"/>
      <c r="N391" s="155"/>
      <c r="O391" s="148">
        <v>44725</v>
      </c>
      <c r="P391" s="149">
        <v>47.9</v>
      </c>
      <c r="Q391" s="149">
        <v>48</v>
      </c>
      <c r="R391" s="149">
        <v>47.8</v>
      </c>
      <c r="S391" s="149">
        <v>47.8</v>
      </c>
      <c r="T391" s="150">
        <v>2194</v>
      </c>
      <c r="U391" s="151">
        <v>104957.9</v>
      </c>
      <c r="V391" s="149">
        <v>12</v>
      </c>
      <c r="Z391" s="1">
        <v>44586</v>
      </c>
      <c r="AA391">
        <v>68.67</v>
      </c>
      <c r="AB391">
        <v>36322</v>
      </c>
      <c r="AC391">
        <v>99737</v>
      </c>
      <c r="AF391" s="1">
        <v>44586</v>
      </c>
      <c r="AG391">
        <v>75.33</v>
      </c>
      <c r="AJ391" s="156">
        <f t="shared" si="6"/>
        <v>8.8410991636798039E-2</v>
      </c>
    </row>
    <row r="392" spans="1:36" x14ac:dyDescent="0.3">
      <c r="A392" s="152">
        <v>44722</v>
      </c>
      <c r="B392" s="153">
        <v>52.9</v>
      </c>
      <c r="C392" s="153">
        <v>52.9</v>
      </c>
      <c r="D392" s="153">
        <v>51.3</v>
      </c>
      <c r="E392" s="153">
        <v>51.5</v>
      </c>
      <c r="F392" s="154">
        <v>456057</v>
      </c>
      <c r="G392" s="155">
        <v>23558024.699999999</v>
      </c>
      <c r="H392" s="153">
        <v>92</v>
      </c>
      <c r="I392" s="155"/>
      <c r="J392" s="155"/>
      <c r="K392" s="155"/>
      <c r="L392" s="155"/>
      <c r="M392" s="155"/>
      <c r="N392" s="155"/>
      <c r="O392" s="148">
        <v>44722</v>
      </c>
      <c r="P392" s="149">
        <v>49</v>
      </c>
      <c r="Q392" s="149">
        <v>49</v>
      </c>
      <c r="R392" s="149">
        <v>47.8</v>
      </c>
      <c r="S392" s="149">
        <v>48</v>
      </c>
      <c r="T392" s="150">
        <v>27430</v>
      </c>
      <c r="U392" s="151">
        <v>1317194.2</v>
      </c>
      <c r="V392" s="149">
        <v>37</v>
      </c>
      <c r="Z392" s="1">
        <v>44585</v>
      </c>
      <c r="AA392">
        <v>69.739999999999995</v>
      </c>
      <c r="AB392">
        <v>43311</v>
      </c>
      <c r="AC392">
        <v>103586</v>
      </c>
      <c r="AF392" s="1">
        <v>44585</v>
      </c>
      <c r="AG392">
        <v>76.88</v>
      </c>
      <c r="AJ392" s="156">
        <f t="shared" si="6"/>
        <v>9.2872008324661817E-2</v>
      </c>
    </row>
    <row r="393" spans="1:36" x14ac:dyDescent="0.3">
      <c r="A393" s="152">
        <v>44721</v>
      </c>
      <c r="B393" s="153">
        <v>52</v>
      </c>
      <c r="C393" s="153">
        <v>52.9</v>
      </c>
      <c r="D393" s="153">
        <v>51.5</v>
      </c>
      <c r="E393" s="153">
        <v>52.1</v>
      </c>
      <c r="F393" s="154">
        <v>68248</v>
      </c>
      <c r="G393" s="155">
        <v>3539791.3</v>
      </c>
      <c r="H393" s="153">
        <v>88</v>
      </c>
      <c r="I393" s="155"/>
      <c r="J393" s="155"/>
      <c r="K393" s="155"/>
      <c r="L393" s="155"/>
      <c r="M393" s="155"/>
      <c r="N393" s="155"/>
      <c r="O393" s="148">
        <v>44721</v>
      </c>
      <c r="P393" s="149">
        <v>49</v>
      </c>
      <c r="Q393" s="149">
        <v>49</v>
      </c>
      <c r="R393" s="149">
        <v>48.6</v>
      </c>
      <c r="S393" s="149">
        <v>48.6</v>
      </c>
      <c r="T393" s="150">
        <v>14256</v>
      </c>
      <c r="U393" s="151">
        <v>693564.1</v>
      </c>
      <c r="V393" s="149">
        <v>28</v>
      </c>
      <c r="Z393" s="1">
        <v>44582</v>
      </c>
      <c r="AA393">
        <v>69.650000000000006</v>
      </c>
      <c r="AB393">
        <v>39866</v>
      </c>
      <c r="AC393">
        <v>103045</v>
      </c>
      <c r="AF393" s="1">
        <v>44582</v>
      </c>
      <c r="AG393">
        <v>75.97</v>
      </c>
      <c r="AJ393" s="156">
        <f t="shared" si="6"/>
        <v>8.3190733184151544E-2</v>
      </c>
    </row>
    <row r="394" spans="1:36" x14ac:dyDescent="0.3">
      <c r="A394" s="152">
        <v>44720</v>
      </c>
      <c r="B394" s="153">
        <v>52.5</v>
      </c>
      <c r="C394" s="153">
        <v>53</v>
      </c>
      <c r="D394" s="153">
        <v>52</v>
      </c>
      <c r="E394" s="153">
        <v>52.2</v>
      </c>
      <c r="F394" s="154">
        <v>39264</v>
      </c>
      <c r="G394" s="155">
        <v>2053327.3</v>
      </c>
      <c r="H394" s="153">
        <v>55</v>
      </c>
      <c r="I394" s="155"/>
      <c r="J394" s="155"/>
      <c r="K394" s="155"/>
      <c r="L394" s="155"/>
      <c r="M394" s="155"/>
      <c r="N394" s="155"/>
      <c r="O394" s="148">
        <v>44720</v>
      </c>
      <c r="P394" s="149">
        <v>49.5</v>
      </c>
      <c r="Q394" s="149">
        <v>49.5</v>
      </c>
      <c r="R394" s="149">
        <v>49</v>
      </c>
      <c r="S394" s="149">
        <v>49.1</v>
      </c>
      <c r="T394" s="150">
        <v>21258</v>
      </c>
      <c r="U394" s="151">
        <v>1044027.7</v>
      </c>
      <c r="V394" s="149">
        <v>41</v>
      </c>
      <c r="Z394" s="1">
        <v>44581</v>
      </c>
      <c r="AA394">
        <v>69.39</v>
      </c>
      <c r="AB394">
        <v>26772</v>
      </c>
      <c r="AC394">
        <v>101422</v>
      </c>
      <c r="AF394" s="1">
        <v>44581</v>
      </c>
      <c r="AG394">
        <v>75.790000000000006</v>
      </c>
      <c r="AJ394" s="156">
        <f t="shared" si="6"/>
        <v>8.4443858028763752E-2</v>
      </c>
    </row>
    <row r="395" spans="1:36" x14ac:dyDescent="0.3">
      <c r="A395" s="152">
        <v>44719</v>
      </c>
      <c r="B395" s="153">
        <v>52.5</v>
      </c>
      <c r="C395" s="153">
        <v>52.9</v>
      </c>
      <c r="D395" s="153">
        <v>52</v>
      </c>
      <c r="E395" s="153">
        <v>52</v>
      </c>
      <c r="F395" s="154">
        <v>421788</v>
      </c>
      <c r="G395" s="155">
        <v>21962120.800000001</v>
      </c>
      <c r="H395" s="153">
        <v>82</v>
      </c>
      <c r="I395" s="155"/>
      <c r="J395" s="155"/>
      <c r="K395" s="155"/>
      <c r="L395" s="155"/>
      <c r="M395" s="155"/>
      <c r="N395" s="155"/>
      <c r="O395" s="148">
        <v>44719</v>
      </c>
      <c r="P395" s="149">
        <v>49.5</v>
      </c>
      <c r="Q395" s="149">
        <v>50</v>
      </c>
      <c r="R395" s="149">
        <v>49.2</v>
      </c>
      <c r="S395" s="149">
        <v>49.4</v>
      </c>
      <c r="T395" s="150">
        <v>4981</v>
      </c>
      <c r="U395" s="151">
        <v>246848</v>
      </c>
      <c r="V395" s="149">
        <v>13</v>
      </c>
      <c r="Z395" s="1">
        <v>44580</v>
      </c>
      <c r="AA395">
        <v>69.209999999999994</v>
      </c>
      <c r="AB395">
        <v>102395</v>
      </c>
      <c r="AC395">
        <v>100382</v>
      </c>
      <c r="AF395" s="1">
        <v>44580</v>
      </c>
      <c r="AG395">
        <v>75.33</v>
      </c>
      <c r="AJ395" s="156">
        <f t="shared" si="6"/>
        <v>8.1242532855436145E-2</v>
      </c>
    </row>
    <row r="396" spans="1:36" x14ac:dyDescent="0.3">
      <c r="A396" s="152">
        <v>44718</v>
      </c>
      <c r="B396" s="153">
        <v>52.9</v>
      </c>
      <c r="C396" s="153">
        <v>52.9</v>
      </c>
      <c r="D396" s="153">
        <v>52.5</v>
      </c>
      <c r="E396" s="153">
        <v>52.5</v>
      </c>
      <c r="F396" s="154">
        <v>243165</v>
      </c>
      <c r="G396" s="155">
        <v>12778956.1</v>
      </c>
      <c r="H396" s="153">
        <v>92</v>
      </c>
      <c r="I396" s="155"/>
      <c r="J396" s="155"/>
      <c r="K396" s="155"/>
      <c r="L396" s="155"/>
      <c r="M396" s="155"/>
      <c r="N396" s="155"/>
      <c r="O396" s="148">
        <v>44718</v>
      </c>
      <c r="P396" s="149">
        <v>50</v>
      </c>
      <c r="Q396" s="149">
        <v>50</v>
      </c>
      <c r="R396" s="149">
        <v>49.1</v>
      </c>
      <c r="S396" s="149">
        <v>49.1</v>
      </c>
      <c r="T396" s="150">
        <v>1970</v>
      </c>
      <c r="U396" s="151">
        <v>96783.2</v>
      </c>
      <c r="V396" s="149">
        <v>15</v>
      </c>
      <c r="Z396" s="1">
        <v>44579</v>
      </c>
      <c r="AA396">
        <v>68.400000000000006</v>
      </c>
      <c r="AB396">
        <v>68497</v>
      </c>
      <c r="AC396">
        <v>98775</v>
      </c>
      <c r="AF396" s="1">
        <v>44579</v>
      </c>
      <c r="AG396">
        <v>74.52</v>
      </c>
      <c r="AJ396" s="156">
        <f t="shared" si="6"/>
        <v>8.2125603864734179E-2</v>
      </c>
    </row>
    <row r="397" spans="1:36" x14ac:dyDescent="0.3">
      <c r="A397" s="152">
        <v>44715</v>
      </c>
      <c r="B397" s="153">
        <v>53</v>
      </c>
      <c r="C397" s="153">
        <v>53</v>
      </c>
      <c r="D397" s="153">
        <v>52.7</v>
      </c>
      <c r="E397" s="153">
        <v>52.7</v>
      </c>
      <c r="F397" s="154">
        <v>12756</v>
      </c>
      <c r="G397" s="155">
        <v>673464.2</v>
      </c>
      <c r="H397" s="153">
        <v>51</v>
      </c>
      <c r="I397" s="155"/>
      <c r="J397" s="155"/>
      <c r="K397" s="155"/>
      <c r="L397" s="155"/>
      <c r="M397" s="155"/>
      <c r="N397" s="155"/>
      <c r="O397" s="148">
        <v>44715</v>
      </c>
      <c r="P397" s="149">
        <v>49.5</v>
      </c>
      <c r="Q397" s="149">
        <v>50</v>
      </c>
      <c r="R397" s="149">
        <v>49.2</v>
      </c>
      <c r="S397" s="149">
        <v>49.7</v>
      </c>
      <c r="T397" s="150">
        <v>106016</v>
      </c>
      <c r="U397" s="151">
        <v>5272797.2</v>
      </c>
      <c r="V397" s="149">
        <v>44</v>
      </c>
      <c r="Z397" s="1">
        <v>44574</v>
      </c>
      <c r="AA397">
        <v>68.489999999999995</v>
      </c>
      <c r="AB397">
        <v>50790</v>
      </c>
      <c r="AC397">
        <v>94880</v>
      </c>
      <c r="AF397" s="1">
        <v>44574</v>
      </c>
      <c r="AG397">
        <v>74.42</v>
      </c>
      <c r="AJ397" s="156">
        <f t="shared" si="6"/>
        <v>7.9682880945982359E-2</v>
      </c>
    </row>
    <row r="398" spans="1:36" x14ac:dyDescent="0.3">
      <c r="A398" s="152">
        <v>44714</v>
      </c>
      <c r="B398" s="153">
        <v>53.2</v>
      </c>
      <c r="C398" s="153">
        <v>53.2</v>
      </c>
      <c r="D398" s="153">
        <v>52.7</v>
      </c>
      <c r="E398" s="153">
        <v>53</v>
      </c>
      <c r="F398" s="154">
        <v>822946</v>
      </c>
      <c r="G398" s="155">
        <v>44375826.299999997</v>
      </c>
      <c r="H398" s="153">
        <v>47</v>
      </c>
      <c r="I398" s="155"/>
      <c r="J398" s="155"/>
      <c r="K398" s="155"/>
      <c r="L398" s="155"/>
      <c r="M398" s="155"/>
      <c r="N398" s="155"/>
      <c r="O398" s="148">
        <v>44714</v>
      </c>
      <c r="P398" s="149">
        <v>50</v>
      </c>
      <c r="Q398" s="149">
        <v>50</v>
      </c>
      <c r="R398" s="149">
        <v>49</v>
      </c>
      <c r="S398" s="149">
        <v>49.5</v>
      </c>
      <c r="T398" s="150">
        <v>2446</v>
      </c>
      <c r="U398" s="151">
        <v>121052.5</v>
      </c>
      <c r="V398" s="149">
        <v>30</v>
      </c>
      <c r="Z398" s="1">
        <v>44573</v>
      </c>
      <c r="AA398">
        <v>68.67</v>
      </c>
      <c r="AB398">
        <v>41886</v>
      </c>
      <c r="AC398">
        <v>97035</v>
      </c>
      <c r="AF398" s="1">
        <v>44573</v>
      </c>
      <c r="AG398">
        <v>73.7</v>
      </c>
      <c r="AJ398" s="156">
        <f t="shared" si="6"/>
        <v>6.8249660786974239E-2</v>
      </c>
    </row>
    <row r="399" spans="1:36" x14ac:dyDescent="0.3">
      <c r="A399" s="152">
        <v>44713</v>
      </c>
      <c r="B399" s="153">
        <v>54.8</v>
      </c>
      <c r="C399" s="153">
        <v>54.8</v>
      </c>
      <c r="D399" s="153">
        <v>52.6</v>
      </c>
      <c r="E399" s="153">
        <v>53.2</v>
      </c>
      <c r="F399" s="154">
        <v>30535</v>
      </c>
      <c r="G399" s="155">
        <v>1630761.8</v>
      </c>
      <c r="H399" s="153">
        <v>51</v>
      </c>
      <c r="I399" s="155"/>
      <c r="J399" s="155"/>
      <c r="K399" s="155"/>
      <c r="L399" s="155"/>
      <c r="M399" s="155"/>
      <c r="N399" s="155"/>
      <c r="O399" s="148">
        <v>44713</v>
      </c>
      <c r="P399" s="149">
        <v>50</v>
      </c>
      <c r="Q399" s="149">
        <v>50</v>
      </c>
      <c r="R399" s="149">
        <v>50</v>
      </c>
      <c r="S399" s="149">
        <v>50</v>
      </c>
      <c r="T399" s="150">
        <v>1880</v>
      </c>
      <c r="U399" s="151">
        <v>94000</v>
      </c>
      <c r="V399" s="149">
        <v>6</v>
      </c>
      <c r="Z399" s="1">
        <v>44572</v>
      </c>
      <c r="AA399">
        <v>67.5</v>
      </c>
      <c r="AB399">
        <v>68294</v>
      </c>
      <c r="AC399">
        <v>97228</v>
      </c>
      <c r="AF399" s="1">
        <v>44572</v>
      </c>
      <c r="AG399">
        <v>74.33</v>
      </c>
      <c r="AJ399" s="156">
        <f t="shared" si="6"/>
        <v>9.1887528588725925E-2</v>
      </c>
    </row>
    <row r="400" spans="1:36" x14ac:dyDescent="0.3">
      <c r="A400" s="152">
        <v>44712</v>
      </c>
      <c r="B400" s="153">
        <v>52.6</v>
      </c>
      <c r="C400" s="153">
        <v>56</v>
      </c>
      <c r="D400" s="153">
        <v>52.6</v>
      </c>
      <c r="E400" s="153">
        <v>53.9</v>
      </c>
      <c r="F400" s="154">
        <v>1070236</v>
      </c>
      <c r="G400" s="155">
        <v>57649711.299999997</v>
      </c>
      <c r="H400" s="153">
        <v>107</v>
      </c>
      <c r="I400" s="155"/>
      <c r="J400" s="155"/>
      <c r="K400" s="155"/>
      <c r="L400" s="155"/>
      <c r="M400" s="155"/>
      <c r="N400" s="155"/>
      <c r="O400" s="148">
        <v>44712</v>
      </c>
      <c r="P400" s="149">
        <v>51</v>
      </c>
      <c r="Q400" s="149">
        <v>51</v>
      </c>
      <c r="R400" s="149">
        <v>49.5</v>
      </c>
      <c r="S400" s="149">
        <v>50</v>
      </c>
      <c r="T400" s="150">
        <v>1565</v>
      </c>
      <c r="U400" s="151">
        <v>78284</v>
      </c>
      <c r="V400" s="149">
        <v>9</v>
      </c>
      <c r="Z400" s="1">
        <v>44571</v>
      </c>
      <c r="AA400">
        <v>66.87</v>
      </c>
      <c r="AB400">
        <v>341725</v>
      </c>
      <c r="AC400">
        <v>100485</v>
      </c>
      <c r="AF400" s="1">
        <v>44571</v>
      </c>
      <c r="AG400">
        <v>75.42</v>
      </c>
      <c r="AJ400" s="156">
        <f t="shared" si="6"/>
        <v>0.11336515513126488</v>
      </c>
    </row>
    <row r="401" spans="1:36" x14ac:dyDescent="0.3">
      <c r="A401" s="152">
        <v>44711</v>
      </c>
      <c r="B401" s="153">
        <v>53.7</v>
      </c>
      <c r="C401" s="153">
        <v>53.7</v>
      </c>
      <c r="D401" s="153">
        <v>52.5</v>
      </c>
      <c r="E401" s="153">
        <v>52.5</v>
      </c>
      <c r="F401" s="154">
        <v>58794</v>
      </c>
      <c r="G401" s="155">
        <v>3089652.6</v>
      </c>
      <c r="H401" s="153">
        <v>57</v>
      </c>
      <c r="I401" s="155"/>
      <c r="J401" s="155"/>
      <c r="K401" s="155"/>
      <c r="L401" s="155"/>
      <c r="M401" s="155"/>
      <c r="N401" s="155"/>
      <c r="O401" s="148">
        <v>44711</v>
      </c>
      <c r="P401" s="149">
        <v>50</v>
      </c>
      <c r="Q401" s="149">
        <v>50.1</v>
      </c>
      <c r="R401" s="149">
        <v>49.5</v>
      </c>
      <c r="S401" s="149">
        <v>49.8</v>
      </c>
      <c r="T401" s="150">
        <v>31525</v>
      </c>
      <c r="U401" s="151">
        <v>1569988.4</v>
      </c>
      <c r="V401" s="149">
        <v>47</v>
      </c>
      <c r="Z401" s="1">
        <v>44568</v>
      </c>
      <c r="AA401">
        <v>65.52</v>
      </c>
      <c r="AB401">
        <v>202394</v>
      </c>
      <c r="AC401">
        <v>85142</v>
      </c>
      <c r="AF401" s="1">
        <v>44568</v>
      </c>
      <c r="AG401">
        <v>72.599999999999994</v>
      </c>
      <c r="AJ401" s="156">
        <f t="shared" si="6"/>
        <v>9.7520661157024777E-2</v>
      </c>
    </row>
    <row r="402" spans="1:36" x14ac:dyDescent="0.3">
      <c r="A402" s="152">
        <v>44708</v>
      </c>
      <c r="B402" s="153">
        <v>53.5</v>
      </c>
      <c r="C402" s="153">
        <v>53.8</v>
      </c>
      <c r="D402" s="153">
        <v>52.5</v>
      </c>
      <c r="E402" s="153">
        <v>52.8</v>
      </c>
      <c r="F402" s="154">
        <v>29972</v>
      </c>
      <c r="G402" s="155">
        <v>1583600.2</v>
      </c>
      <c r="H402" s="153">
        <v>42</v>
      </c>
      <c r="I402" s="155"/>
      <c r="J402" s="155"/>
      <c r="K402" s="155"/>
      <c r="L402" s="155"/>
      <c r="M402" s="155"/>
      <c r="N402" s="155"/>
      <c r="O402" s="148">
        <v>44708</v>
      </c>
      <c r="P402" s="149">
        <v>51.5</v>
      </c>
      <c r="Q402" s="149">
        <v>51.5</v>
      </c>
      <c r="R402" s="149">
        <v>50</v>
      </c>
      <c r="S402" s="149">
        <v>50.1</v>
      </c>
      <c r="T402" s="150">
        <v>18923</v>
      </c>
      <c r="U402" s="151">
        <v>949379.3</v>
      </c>
      <c r="V402" s="149">
        <v>30</v>
      </c>
      <c r="Z402" s="1">
        <v>44567</v>
      </c>
      <c r="AA402">
        <v>65.34</v>
      </c>
      <c r="AB402">
        <v>23283</v>
      </c>
      <c r="AC402">
        <v>73797</v>
      </c>
      <c r="AF402" s="1">
        <v>44567</v>
      </c>
      <c r="AG402">
        <v>72.510000000000005</v>
      </c>
      <c r="AJ402" s="156">
        <f t="shared" si="6"/>
        <v>9.8882912701696329E-2</v>
      </c>
    </row>
    <row r="403" spans="1:36" x14ac:dyDescent="0.3">
      <c r="A403" s="152">
        <v>44707</v>
      </c>
      <c r="B403" s="153">
        <v>53</v>
      </c>
      <c r="C403" s="153">
        <v>53.3</v>
      </c>
      <c r="D403" s="153">
        <v>52</v>
      </c>
      <c r="E403" s="153">
        <v>53</v>
      </c>
      <c r="F403" s="154">
        <v>77263</v>
      </c>
      <c r="G403" s="155">
        <v>4063892.5</v>
      </c>
      <c r="H403" s="153">
        <v>79</v>
      </c>
      <c r="I403" s="155"/>
      <c r="J403" s="155"/>
      <c r="K403" s="155"/>
      <c r="L403" s="155"/>
      <c r="M403" s="155"/>
      <c r="N403" s="155"/>
      <c r="O403" s="148">
        <v>44707</v>
      </c>
      <c r="P403" s="149">
        <v>51.9</v>
      </c>
      <c r="Q403" s="149">
        <v>52</v>
      </c>
      <c r="R403" s="149">
        <v>50</v>
      </c>
      <c r="S403" s="149">
        <v>50.1</v>
      </c>
      <c r="T403" s="150">
        <v>22967</v>
      </c>
      <c r="U403" s="151">
        <v>1172468</v>
      </c>
      <c r="V403" s="149">
        <v>52</v>
      </c>
      <c r="Z403" s="1">
        <v>44566</v>
      </c>
      <c r="AA403">
        <v>64.89</v>
      </c>
      <c r="AB403">
        <v>51566</v>
      </c>
      <c r="AC403">
        <v>72534</v>
      </c>
      <c r="AF403" s="1">
        <v>44566</v>
      </c>
      <c r="AG403">
        <v>72.599999999999994</v>
      </c>
      <c r="AJ403" s="156">
        <f t="shared" si="6"/>
        <v>0.10619834710743793</v>
      </c>
    </row>
    <row r="404" spans="1:36" x14ac:dyDescent="0.3">
      <c r="A404" s="152">
        <v>44706</v>
      </c>
      <c r="B404" s="153">
        <v>54</v>
      </c>
      <c r="C404" s="153">
        <v>54</v>
      </c>
      <c r="D404" s="153">
        <v>53</v>
      </c>
      <c r="E404" s="153">
        <v>53.1</v>
      </c>
      <c r="F404" s="154">
        <v>46852</v>
      </c>
      <c r="G404" s="155">
        <v>2488622.4</v>
      </c>
      <c r="H404" s="153">
        <v>103</v>
      </c>
      <c r="I404" s="155"/>
      <c r="J404" s="155"/>
      <c r="K404" s="155"/>
      <c r="L404" s="155"/>
      <c r="M404" s="155"/>
      <c r="N404" s="155"/>
      <c r="O404" s="148">
        <v>44706</v>
      </c>
      <c r="P404" s="149">
        <v>52</v>
      </c>
      <c r="Q404" s="149">
        <v>52</v>
      </c>
      <c r="R404" s="149">
        <v>51</v>
      </c>
      <c r="S404" s="149">
        <v>51.2</v>
      </c>
      <c r="T404" s="150">
        <v>14964</v>
      </c>
      <c r="U404" s="151">
        <v>766478.7</v>
      </c>
      <c r="V404" s="149">
        <v>24</v>
      </c>
      <c r="Z404" s="1">
        <v>44565</v>
      </c>
      <c r="AA404">
        <v>65.25</v>
      </c>
      <c r="AB404">
        <v>10667</v>
      </c>
      <c r="AC404">
        <v>70495</v>
      </c>
      <c r="AF404" s="1">
        <v>44565</v>
      </c>
      <c r="AG404">
        <v>72.599999999999994</v>
      </c>
      <c r="AJ404" s="156">
        <f t="shared" si="6"/>
        <v>0.10123966942148753</v>
      </c>
    </row>
    <row r="405" spans="1:36" x14ac:dyDescent="0.3">
      <c r="A405" s="152">
        <v>44705</v>
      </c>
      <c r="B405" s="153">
        <v>53.5</v>
      </c>
      <c r="C405" s="153">
        <v>53.5</v>
      </c>
      <c r="D405" s="153">
        <v>53.2</v>
      </c>
      <c r="E405" s="153">
        <v>53.3</v>
      </c>
      <c r="F405" s="154">
        <v>71713</v>
      </c>
      <c r="G405" s="155">
        <v>3824290.8</v>
      </c>
      <c r="H405" s="153">
        <v>81</v>
      </c>
      <c r="I405" s="155"/>
      <c r="J405" s="155"/>
      <c r="K405" s="155"/>
      <c r="L405" s="155"/>
      <c r="M405" s="155"/>
      <c r="N405" s="155"/>
      <c r="O405" s="148">
        <v>44705</v>
      </c>
      <c r="P405" s="149">
        <v>52.5</v>
      </c>
      <c r="Q405" s="149">
        <v>52.5</v>
      </c>
      <c r="R405" s="149">
        <v>51.5</v>
      </c>
      <c r="S405" s="149">
        <v>52</v>
      </c>
      <c r="T405" s="150">
        <v>28654</v>
      </c>
      <c r="U405" s="151">
        <v>1499718.1</v>
      </c>
      <c r="V405" s="149">
        <v>21</v>
      </c>
      <c r="Z405" s="1">
        <v>44564</v>
      </c>
      <c r="AA405">
        <v>65.16</v>
      </c>
      <c r="AB405">
        <v>388293</v>
      </c>
      <c r="AC405">
        <v>70751</v>
      </c>
      <c r="AF405" s="1">
        <v>44564</v>
      </c>
      <c r="AG405">
        <v>72.97</v>
      </c>
      <c r="AJ405" s="156">
        <f t="shared" si="6"/>
        <v>0.10703028641907636</v>
      </c>
    </row>
    <row r="406" spans="1:36" x14ac:dyDescent="0.3">
      <c r="A406" s="152">
        <v>44704</v>
      </c>
      <c r="B406" s="153">
        <v>53.5</v>
      </c>
      <c r="C406" s="153">
        <v>54.5</v>
      </c>
      <c r="D406" s="153">
        <v>53.2</v>
      </c>
      <c r="E406" s="153">
        <v>53.3</v>
      </c>
      <c r="F406" s="154">
        <v>36838</v>
      </c>
      <c r="G406" s="155">
        <v>1968152.4</v>
      </c>
      <c r="H406" s="153">
        <v>82</v>
      </c>
      <c r="I406" s="155"/>
      <c r="J406" s="155"/>
      <c r="K406" s="155"/>
      <c r="L406" s="155"/>
      <c r="M406" s="155"/>
      <c r="N406" s="155"/>
      <c r="O406" s="148">
        <v>44704</v>
      </c>
      <c r="P406" s="149">
        <v>52</v>
      </c>
      <c r="Q406" s="149">
        <v>52.5</v>
      </c>
      <c r="R406" s="149">
        <v>52</v>
      </c>
      <c r="S406" s="149">
        <v>52.5</v>
      </c>
      <c r="T406" s="150">
        <v>11600</v>
      </c>
      <c r="U406" s="151">
        <v>608700</v>
      </c>
      <c r="V406" s="149">
        <v>11</v>
      </c>
      <c r="Z406" s="1">
        <v>44561</v>
      </c>
      <c r="AA406">
        <v>64.709999999999994</v>
      </c>
      <c r="AB406">
        <v>94056</v>
      </c>
      <c r="AC406">
        <v>48281</v>
      </c>
      <c r="AF406" s="1">
        <v>44561</v>
      </c>
      <c r="AG406">
        <v>72.150000000000006</v>
      </c>
      <c r="AJ406" s="156">
        <f t="shared" si="6"/>
        <v>0.10311850311850328</v>
      </c>
    </row>
    <row r="407" spans="1:36" x14ac:dyDescent="0.3">
      <c r="A407" s="152">
        <v>44701</v>
      </c>
      <c r="B407" s="153">
        <v>53.5</v>
      </c>
      <c r="C407" s="153">
        <v>54</v>
      </c>
      <c r="D407" s="153">
        <v>53</v>
      </c>
      <c r="E407" s="153">
        <v>53.5</v>
      </c>
      <c r="F407" s="154">
        <v>29773</v>
      </c>
      <c r="G407" s="155">
        <v>1583479.1</v>
      </c>
      <c r="H407" s="153">
        <v>47</v>
      </c>
      <c r="I407" s="155"/>
      <c r="J407" s="155"/>
      <c r="K407" s="155"/>
      <c r="L407" s="155"/>
      <c r="M407" s="155"/>
      <c r="N407" s="155"/>
      <c r="O407" s="148">
        <v>44701</v>
      </c>
      <c r="P407" s="149">
        <v>52</v>
      </c>
      <c r="Q407" s="149">
        <v>52</v>
      </c>
      <c r="R407" s="149">
        <v>51.7</v>
      </c>
      <c r="S407" s="149">
        <v>51.7</v>
      </c>
      <c r="T407" s="150">
        <v>10975</v>
      </c>
      <c r="U407" s="151">
        <v>567650.19999999995</v>
      </c>
      <c r="V407" s="149">
        <v>12</v>
      </c>
      <c r="Z407" s="1">
        <v>44560</v>
      </c>
      <c r="AA407">
        <v>64.62</v>
      </c>
      <c r="AB407">
        <v>35196</v>
      </c>
      <c r="AC407">
        <v>44135</v>
      </c>
      <c r="AF407" s="1">
        <v>44560</v>
      </c>
      <c r="AG407">
        <v>72.7</v>
      </c>
      <c r="AJ407" s="156">
        <f t="shared" si="6"/>
        <v>0.11114167812929845</v>
      </c>
    </row>
    <row r="408" spans="1:36" x14ac:dyDescent="0.3">
      <c r="A408" s="152">
        <v>44700</v>
      </c>
      <c r="B408" s="153">
        <v>54.5</v>
      </c>
      <c r="C408" s="153">
        <v>54.5</v>
      </c>
      <c r="D408" s="153">
        <v>53</v>
      </c>
      <c r="E408" s="153">
        <v>53.3</v>
      </c>
      <c r="F408" s="154">
        <v>78744</v>
      </c>
      <c r="G408" s="155">
        <v>4231647</v>
      </c>
      <c r="H408" s="153">
        <v>63</v>
      </c>
      <c r="I408" s="155"/>
      <c r="J408" s="155"/>
      <c r="K408" s="155"/>
      <c r="L408" s="155"/>
      <c r="M408" s="155"/>
      <c r="N408" s="155"/>
      <c r="O408" s="148">
        <v>44700</v>
      </c>
      <c r="P408" s="149">
        <v>53</v>
      </c>
      <c r="Q408" s="149">
        <v>53</v>
      </c>
      <c r="R408" s="149">
        <v>51.7</v>
      </c>
      <c r="S408" s="149">
        <v>51.7</v>
      </c>
      <c r="T408" s="150">
        <v>14363</v>
      </c>
      <c r="U408" s="151">
        <v>747367.6</v>
      </c>
      <c r="V408" s="149">
        <v>32</v>
      </c>
      <c r="Z408" s="1">
        <v>44559</v>
      </c>
      <c r="AA408">
        <v>64.260000000000005</v>
      </c>
      <c r="AB408">
        <v>15511</v>
      </c>
      <c r="AC408">
        <v>46773</v>
      </c>
      <c r="AF408" s="1">
        <v>44559</v>
      </c>
      <c r="AG408">
        <v>71.599999999999994</v>
      </c>
      <c r="AJ408" s="156">
        <f t="shared" si="6"/>
        <v>0.10251396648044679</v>
      </c>
    </row>
    <row r="409" spans="1:36" x14ac:dyDescent="0.3">
      <c r="A409" s="152">
        <v>44699</v>
      </c>
      <c r="B409" s="153">
        <v>55.5</v>
      </c>
      <c r="C409" s="153">
        <v>55.5</v>
      </c>
      <c r="D409" s="153">
        <v>54.1</v>
      </c>
      <c r="E409" s="153">
        <v>54.5</v>
      </c>
      <c r="F409" s="154">
        <v>184408</v>
      </c>
      <c r="G409" s="155">
        <v>10102964.9</v>
      </c>
      <c r="H409" s="153">
        <v>197</v>
      </c>
      <c r="I409" s="155"/>
      <c r="J409" s="155"/>
      <c r="K409" s="155"/>
      <c r="L409" s="155"/>
      <c r="M409" s="155"/>
      <c r="N409" s="155"/>
      <c r="O409" s="148">
        <v>44699</v>
      </c>
      <c r="P409" s="149">
        <v>54</v>
      </c>
      <c r="Q409" s="149">
        <v>55</v>
      </c>
      <c r="R409" s="149">
        <v>52.9</v>
      </c>
      <c r="S409" s="149">
        <v>53.9</v>
      </c>
      <c r="T409" s="150">
        <v>13023</v>
      </c>
      <c r="U409" s="151">
        <v>702633.5</v>
      </c>
      <c r="V409" s="149">
        <v>24</v>
      </c>
      <c r="Z409" s="1">
        <v>44558</v>
      </c>
      <c r="AA409">
        <v>63.81</v>
      </c>
      <c r="AB409">
        <v>11180</v>
      </c>
      <c r="AC409">
        <v>47625</v>
      </c>
      <c r="AF409" s="1">
        <v>44558</v>
      </c>
      <c r="AG409">
        <v>71.510000000000005</v>
      </c>
      <c r="AJ409" s="156">
        <f t="shared" si="6"/>
        <v>0.10767724793735145</v>
      </c>
    </row>
    <row r="410" spans="1:36" x14ac:dyDescent="0.3">
      <c r="A410" s="152">
        <v>44698</v>
      </c>
      <c r="B410" s="153">
        <v>54.4</v>
      </c>
      <c r="C410" s="153">
        <v>55.5</v>
      </c>
      <c r="D410" s="153">
        <v>54.4</v>
      </c>
      <c r="E410" s="153">
        <v>54.9</v>
      </c>
      <c r="F410" s="154">
        <v>254017</v>
      </c>
      <c r="G410" s="155">
        <v>13948183.6</v>
      </c>
      <c r="H410" s="153">
        <v>188</v>
      </c>
      <c r="I410" s="155"/>
      <c r="J410" s="155"/>
      <c r="K410" s="155"/>
      <c r="L410" s="155"/>
      <c r="M410" s="155"/>
      <c r="N410" s="155"/>
      <c r="O410" s="148">
        <v>44698</v>
      </c>
      <c r="P410" s="149">
        <v>52.3</v>
      </c>
      <c r="Q410" s="149">
        <v>54</v>
      </c>
      <c r="R410" s="149">
        <v>51.7</v>
      </c>
      <c r="S410" s="149">
        <v>52.1</v>
      </c>
      <c r="T410" s="150">
        <v>38273</v>
      </c>
      <c r="U410" s="151">
        <v>1997873.2</v>
      </c>
      <c r="V410" s="149">
        <v>44</v>
      </c>
      <c r="Z410" s="1">
        <v>44557</v>
      </c>
      <c r="AA410">
        <v>63.99</v>
      </c>
      <c r="AB410">
        <v>78280</v>
      </c>
      <c r="AC410">
        <v>51834</v>
      </c>
      <c r="AF410" s="1">
        <v>44557</v>
      </c>
      <c r="AG410">
        <v>70.510000000000005</v>
      </c>
      <c r="AJ410" s="156">
        <f t="shared" si="6"/>
        <v>9.2469153311587046E-2</v>
      </c>
    </row>
    <row r="411" spans="1:36" x14ac:dyDescent="0.3">
      <c r="A411" s="152">
        <v>44694</v>
      </c>
      <c r="B411" s="153">
        <v>53</v>
      </c>
      <c r="C411" s="153">
        <v>55</v>
      </c>
      <c r="D411" s="153">
        <v>52.2</v>
      </c>
      <c r="E411" s="153">
        <v>54</v>
      </c>
      <c r="F411" s="154">
        <v>349433</v>
      </c>
      <c r="G411" s="155">
        <v>18588737.300000001</v>
      </c>
      <c r="H411" s="153">
        <v>232</v>
      </c>
      <c r="I411" s="155"/>
      <c r="J411" s="155"/>
      <c r="K411" s="155"/>
      <c r="L411" s="155"/>
      <c r="M411" s="155"/>
      <c r="N411" s="155"/>
      <c r="O411" s="148">
        <v>44694</v>
      </c>
      <c r="P411" s="149">
        <v>51.5</v>
      </c>
      <c r="Q411" s="149">
        <v>52.4</v>
      </c>
      <c r="R411" s="149">
        <v>50</v>
      </c>
      <c r="S411" s="149">
        <v>51.7</v>
      </c>
      <c r="T411" s="150">
        <v>47870</v>
      </c>
      <c r="U411" s="151">
        <v>2422069.5</v>
      </c>
      <c r="V411" s="149">
        <v>43</v>
      </c>
      <c r="Z411" s="1">
        <v>44554</v>
      </c>
      <c r="AA411">
        <v>63.54</v>
      </c>
      <c r="AB411">
        <v>10082</v>
      </c>
      <c r="AC411">
        <v>49238</v>
      </c>
      <c r="AF411" s="1">
        <v>44554</v>
      </c>
      <c r="AG411">
        <v>70.599999999999994</v>
      </c>
      <c r="AJ411" s="156">
        <f t="shared" si="6"/>
        <v>9.9999999999999936E-2</v>
      </c>
    </row>
    <row r="412" spans="1:36" x14ac:dyDescent="0.3">
      <c r="A412" s="152">
        <v>44693</v>
      </c>
      <c r="B412" s="153">
        <v>50</v>
      </c>
      <c r="C412" s="153">
        <v>52.8</v>
      </c>
      <c r="D412" s="153">
        <v>50</v>
      </c>
      <c r="E412" s="153">
        <v>51.8</v>
      </c>
      <c r="F412" s="154">
        <v>329166</v>
      </c>
      <c r="G412" s="155">
        <v>16636450.199999999</v>
      </c>
      <c r="H412" s="153">
        <v>131</v>
      </c>
      <c r="I412" s="155"/>
      <c r="J412" s="155"/>
      <c r="K412" s="155"/>
      <c r="L412" s="155"/>
      <c r="M412" s="155"/>
      <c r="N412" s="155"/>
      <c r="O412" s="148">
        <v>44693</v>
      </c>
      <c r="P412" s="149">
        <v>50</v>
      </c>
      <c r="Q412" s="149">
        <v>50</v>
      </c>
      <c r="R412" s="149">
        <v>49.4</v>
      </c>
      <c r="S412" s="149">
        <v>49.8</v>
      </c>
      <c r="T412" s="150">
        <v>6602</v>
      </c>
      <c r="U412" s="151">
        <v>328140.5</v>
      </c>
      <c r="V412" s="149">
        <v>31</v>
      </c>
      <c r="Z412" s="1">
        <v>44553</v>
      </c>
      <c r="AA412">
        <v>63.81</v>
      </c>
      <c r="AB412">
        <v>83109</v>
      </c>
      <c r="AC412">
        <v>50845</v>
      </c>
      <c r="AF412" s="1">
        <v>44553</v>
      </c>
      <c r="AG412">
        <v>70.97</v>
      </c>
      <c r="AJ412" s="156">
        <f t="shared" si="6"/>
        <v>0.10088769902775817</v>
      </c>
    </row>
    <row r="413" spans="1:36" x14ac:dyDescent="0.3">
      <c r="A413" s="152">
        <v>44690</v>
      </c>
      <c r="B413" s="153">
        <v>51.4</v>
      </c>
      <c r="C413" s="153">
        <v>51.5</v>
      </c>
      <c r="D413" s="153">
        <v>50</v>
      </c>
      <c r="E413" s="153">
        <v>50</v>
      </c>
      <c r="F413" s="154">
        <v>1973479</v>
      </c>
      <c r="G413" s="155">
        <v>98779025</v>
      </c>
      <c r="H413" s="153">
        <v>271</v>
      </c>
      <c r="I413" s="155"/>
      <c r="J413" s="155"/>
      <c r="K413" s="155"/>
      <c r="L413" s="155"/>
      <c r="M413" s="155"/>
      <c r="N413" s="155"/>
      <c r="O413" s="148">
        <v>44690</v>
      </c>
      <c r="P413" s="149">
        <v>49.6</v>
      </c>
      <c r="Q413" s="149">
        <v>50</v>
      </c>
      <c r="R413" s="149">
        <v>49.5</v>
      </c>
      <c r="S413" s="149">
        <v>50</v>
      </c>
      <c r="T413" s="150">
        <v>17119</v>
      </c>
      <c r="U413" s="151">
        <v>855404.8</v>
      </c>
      <c r="V413" s="149">
        <v>21</v>
      </c>
      <c r="Z413" s="1">
        <v>44552</v>
      </c>
      <c r="AA413">
        <v>62.91</v>
      </c>
      <c r="AB413">
        <v>44789</v>
      </c>
      <c r="AC413">
        <v>46251</v>
      </c>
      <c r="AF413" s="1">
        <v>44552</v>
      </c>
      <c r="AG413">
        <v>70.239999999999995</v>
      </c>
      <c r="AJ413" s="156">
        <f t="shared" si="6"/>
        <v>0.10435649202733484</v>
      </c>
    </row>
    <row r="414" spans="1:36" x14ac:dyDescent="0.3">
      <c r="A414" s="152">
        <v>44687</v>
      </c>
      <c r="B414" s="153">
        <v>51.7</v>
      </c>
      <c r="C414" s="153">
        <v>51.7</v>
      </c>
      <c r="D414" s="153">
        <v>51.3</v>
      </c>
      <c r="E414" s="153">
        <v>51.5</v>
      </c>
      <c r="F414" s="154">
        <v>368670</v>
      </c>
      <c r="G414" s="155">
        <v>18990706.399999999</v>
      </c>
      <c r="H414" s="153">
        <v>86</v>
      </c>
      <c r="I414" s="155"/>
      <c r="J414" s="155"/>
      <c r="K414" s="155"/>
      <c r="L414" s="155"/>
      <c r="M414" s="155"/>
      <c r="N414" s="155"/>
      <c r="O414" s="148">
        <v>44687</v>
      </c>
      <c r="P414" s="149">
        <v>49.5</v>
      </c>
      <c r="Q414" s="149">
        <v>49.9</v>
      </c>
      <c r="R414" s="149">
        <v>49.5</v>
      </c>
      <c r="S414" s="149">
        <v>49.8</v>
      </c>
      <c r="T414" s="150">
        <v>3585</v>
      </c>
      <c r="U414" s="151">
        <v>178274.6</v>
      </c>
      <c r="V414" s="149">
        <v>23</v>
      </c>
      <c r="Z414" s="1">
        <v>44551</v>
      </c>
      <c r="AA414">
        <v>63</v>
      </c>
      <c r="AB414">
        <v>117142</v>
      </c>
      <c r="AC414">
        <v>46740</v>
      </c>
      <c r="AF414" s="1">
        <v>44551</v>
      </c>
      <c r="AG414">
        <v>70.97</v>
      </c>
      <c r="AJ414" s="156">
        <f t="shared" si="6"/>
        <v>0.11230097224179229</v>
      </c>
    </row>
    <row r="415" spans="1:36" x14ac:dyDescent="0.3">
      <c r="A415" s="152">
        <v>44686</v>
      </c>
      <c r="B415" s="153">
        <v>52</v>
      </c>
      <c r="C415" s="153">
        <v>53.9</v>
      </c>
      <c r="D415" s="153">
        <v>51.5</v>
      </c>
      <c r="E415" s="153">
        <v>51.9</v>
      </c>
      <c r="F415" s="154">
        <v>203875</v>
      </c>
      <c r="G415" s="155">
        <v>10563388.6</v>
      </c>
      <c r="H415" s="153">
        <v>102</v>
      </c>
      <c r="I415" s="155"/>
      <c r="J415" s="155"/>
      <c r="K415" s="155"/>
      <c r="L415" s="155"/>
      <c r="M415" s="155"/>
      <c r="N415" s="155"/>
      <c r="O415" s="148">
        <v>44686</v>
      </c>
      <c r="P415" s="149">
        <v>50</v>
      </c>
      <c r="Q415" s="149">
        <v>50</v>
      </c>
      <c r="R415" s="149">
        <v>49.5</v>
      </c>
      <c r="S415" s="149">
        <v>49.7</v>
      </c>
      <c r="T415" s="150">
        <v>111784</v>
      </c>
      <c r="U415" s="151">
        <v>5574381</v>
      </c>
      <c r="V415" s="149">
        <v>42</v>
      </c>
      <c r="Z415" s="1">
        <v>44550</v>
      </c>
      <c r="AA415">
        <v>64.62</v>
      </c>
      <c r="AB415">
        <v>111582</v>
      </c>
      <c r="AC415">
        <v>44677</v>
      </c>
      <c r="AF415" s="1">
        <v>44550</v>
      </c>
      <c r="AG415">
        <v>71.510000000000005</v>
      </c>
      <c r="AJ415" s="156">
        <f t="shared" si="6"/>
        <v>9.6350160816669E-2</v>
      </c>
    </row>
    <row r="416" spans="1:36" x14ac:dyDescent="0.3">
      <c r="A416" s="152">
        <v>44685</v>
      </c>
      <c r="B416" s="153">
        <v>52</v>
      </c>
      <c r="C416" s="153">
        <v>52</v>
      </c>
      <c r="D416" s="153">
        <v>51</v>
      </c>
      <c r="E416" s="153">
        <v>51.6</v>
      </c>
      <c r="F416" s="154">
        <v>383177</v>
      </c>
      <c r="G416" s="155">
        <v>19747333</v>
      </c>
      <c r="H416" s="153">
        <v>191</v>
      </c>
      <c r="I416" s="155"/>
      <c r="J416" s="155"/>
      <c r="K416" s="155"/>
      <c r="L416" s="155"/>
      <c r="M416" s="155"/>
      <c r="N416" s="155"/>
      <c r="O416" s="148">
        <v>44685</v>
      </c>
      <c r="P416" s="149">
        <v>50.1</v>
      </c>
      <c r="Q416" s="149">
        <v>50.1</v>
      </c>
      <c r="R416" s="149">
        <v>50</v>
      </c>
      <c r="S416" s="149">
        <v>50</v>
      </c>
      <c r="T416" s="150">
        <v>115796</v>
      </c>
      <c r="U416" s="151">
        <v>5790590.2999999998</v>
      </c>
      <c r="V416" s="149">
        <v>44</v>
      </c>
      <c r="Z416" s="1">
        <v>44547</v>
      </c>
      <c r="AA416">
        <v>65.61</v>
      </c>
      <c r="AB416">
        <v>32214</v>
      </c>
      <c r="AC416">
        <v>38868</v>
      </c>
      <c r="AF416" s="1">
        <v>44547</v>
      </c>
      <c r="AG416">
        <v>72.150000000000006</v>
      </c>
      <c r="AJ416" s="156">
        <f t="shared" si="6"/>
        <v>9.0644490644490719E-2</v>
      </c>
    </row>
    <row r="417" spans="1:36" x14ac:dyDescent="0.3">
      <c r="A417" s="152">
        <v>44680</v>
      </c>
      <c r="B417" s="153">
        <v>52.5</v>
      </c>
      <c r="C417" s="153">
        <v>52.5</v>
      </c>
      <c r="D417" s="153">
        <v>50.5</v>
      </c>
      <c r="E417" s="153">
        <v>51.5</v>
      </c>
      <c r="F417" s="154">
        <v>1152787</v>
      </c>
      <c r="G417" s="155">
        <v>59363382.100000001</v>
      </c>
      <c r="H417" s="153">
        <v>274</v>
      </c>
      <c r="I417" s="155"/>
      <c r="J417" s="155"/>
      <c r="K417" s="155"/>
      <c r="L417" s="155"/>
      <c r="M417" s="155"/>
      <c r="N417" s="155"/>
      <c r="O417" s="148">
        <v>44680</v>
      </c>
      <c r="P417" s="149">
        <v>52.2</v>
      </c>
      <c r="Q417" s="149">
        <v>53.5</v>
      </c>
      <c r="R417" s="149">
        <v>50</v>
      </c>
      <c r="S417" s="149">
        <v>50.2</v>
      </c>
      <c r="T417" s="150">
        <v>67153</v>
      </c>
      <c r="U417" s="151">
        <v>3399256.7</v>
      </c>
      <c r="V417" s="149">
        <v>50</v>
      </c>
      <c r="Z417" s="1">
        <v>44546</v>
      </c>
      <c r="AA417">
        <v>65.97</v>
      </c>
      <c r="AB417">
        <v>4338</v>
      </c>
      <c r="AC417">
        <v>42201</v>
      </c>
      <c r="AF417" s="1">
        <v>44546</v>
      </c>
      <c r="AG417">
        <v>72.42</v>
      </c>
      <c r="AJ417" s="156">
        <f t="shared" si="6"/>
        <v>8.9063794531897306E-2</v>
      </c>
    </row>
    <row r="418" spans="1:36" x14ac:dyDescent="0.3">
      <c r="A418" s="152">
        <v>44679</v>
      </c>
      <c r="B418" s="153">
        <v>50.9</v>
      </c>
      <c r="C418" s="153">
        <v>53</v>
      </c>
      <c r="D418" s="153">
        <v>50.5</v>
      </c>
      <c r="E418" s="153">
        <v>52</v>
      </c>
      <c r="F418" s="154">
        <v>266800</v>
      </c>
      <c r="G418" s="155">
        <v>13774540.300000001</v>
      </c>
      <c r="H418" s="153">
        <v>271</v>
      </c>
      <c r="I418" s="155"/>
      <c r="J418" s="155"/>
      <c r="K418" s="155"/>
      <c r="L418" s="155"/>
      <c r="M418" s="155"/>
      <c r="N418" s="155"/>
      <c r="O418" s="148">
        <v>44679</v>
      </c>
      <c r="P418" s="149">
        <v>50.1</v>
      </c>
      <c r="Q418" s="149">
        <v>50.1</v>
      </c>
      <c r="R418" s="149">
        <v>50</v>
      </c>
      <c r="S418" s="149">
        <v>50.1</v>
      </c>
      <c r="T418" s="150">
        <v>45536</v>
      </c>
      <c r="U418" s="151">
        <v>2280079.4</v>
      </c>
      <c r="V418" s="149">
        <v>78</v>
      </c>
      <c r="Z418" s="1">
        <v>44545</v>
      </c>
      <c r="AA418">
        <v>65.97</v>
      </c>
      <c r="AB418">
        <v>20986</v>
      </c>
      <c r="AC418">
        <v>48424</v>
      </c>
      <c r="AF418" s="1">
        <v>44545</v>
      </c>
      <c r="AG418">
        <v>72.790000000000006</v>
      </c>
      <c r="AJ418" s="156">
        <f t="shared" si="6"/>
        <v>9.3694188762192696E-2</v>
      </c>
    </row>
    <row r="419" spans="1:36" x14ac:dyDescent="0.3">
      <c r="A419" s="152">
        <v>44678</v>
      </c>
      <c r="B419" s="153">
        <v>50</v>
      </c>
      <c r="C419" s="153">
        <v>54</v>
      </c>
      <c r="D419" s="153">
        <v>50</v>
      </c>
      <c r="E419" s="153">
        <v>50.4</v>
      </c>
      <c r="F419" s="154">
        <v>6588761</v>
      </c>
      <c r="G419" s="155">
        <v>330477088.39999998</v>
      </c>
      <c r="H419" s="153">
        <v>460</v>
      </c>
      <c r="I419" s="155"/>
      <c r="J419" s="155"/>
      <c r="K419" s="155"/>
      <c r="L419" s="155"/>
      <c r="M419" s="155"/>
      <c r="N419" s="155"/>
      <c r="O419" s="148">
        <v>44678</v>
      </c>
      <c r="P419" s="149">
        <v>50</v>
      </c>
      <c r="Q419" s="149">
        <v>55</v>
      </c>
      <c r="R419" s="149">
        <v>49</v>
      </c>
      <c r="S419" s="149">
        <v>49.9</v>
      </c>
      <c r="T419" s="150">
        <v>108648</v>
      </c>
      <c r="U419" s="151">
        <v>5427760.7000000002</v>
      </c>
      <c r="V419" s="149">
        <v>140</v>
      </c>
      <c r="Z419" s="1">
        <v>44544</v>
      </c>
      <c r="AA419">
        <v>65.61</v>
      </c>
      <c r="AB419">
        <v>14502</v>
      </c>
      <c r="AC419">
        <v>56890</v>
      </c>
      <c r="AF419" s="1">
        <v>44544</v>
      </c>
      <c r="AG419">
        <v>72.42</v>
      </c>
      <c r="AJ419" s="156">
        <f t="shared" si="6"/>
        <v>9.4034797017398544E-2</v>
      </c>
    </row>
    <row r="420" spans="1:36" x14ac:dyDescent="0.3">
      <c r="A420" s="152">
        <v>44677</v>
      </c>
      <c r="B420" s="153">
        <v>50</v>
      </c>
      <c r="C420" s="153">
        <v>50.5</v>
      </c>
      <c r="D420" s="153">
        <v>50</v>
      </c>
      <c r="E420" s="153">
        <v>50</v>
      </c>
      <c r="F420" s="154">
        <v>5418124</v>
      </c>
      <c r="G420" s="155">
        <v>270909796.89999998</v>
      </c>
      <c r="H420" s="153">
        <v>127</v>
      </c>
      <c r="I420" s="155"/>
      <c r="J420" s="155"/>
      <c r="K420" s="155"/>
      <c r="L420" s="155"/>
      <c r="M420" s="155"/>
      <c r="N420" s="155"/>
      <c r="O420" s="148">
        <v>44677</v>
      </c>
      <c r="P420" s="149">
        <v>51.1</v>
      </c>
      <c r="Q420" s="149">
        <v>51.1</v>
      </c>
      <c r="R420" s="149">
        <v>50</v>
      </c>
      <c r="S420" s="149">
        <v>50.1</v>
      </c>
      <c r="T420" s="150">
        <v>26146</v>
      </c>
      <c r="U420" s="151">
        <v>1310042.3999999999</v>
      </c>
      <c r="V420" s="149">
        <v>33</v>
      </c>
      <c r="Z420" s="1">
        <v>44543</v>
      </c>
      <c r="AA420">
        <v>65.52</v>
      </c>
      <c r="AB420">
        <v>51251</v>
      </c>
      <c r="AC420">
        <v>58939</v>
      </c>
      <c r="AF420" s="1">
        <v>44543</v>
      </c>
      <c r="AG420">
        <v>72.599999999999994</v>
      </c>
      <c r="AJ420" s="156">
        <f t="shared" si="6"/>
        <v>9.7520661157024777E-2</v>
      </c>
    </row>
    <row r="421" spans="1:36" x14ac:dyDescent="0.3">
      <c r="A421" s="152">
        <v>44676</v>
      </c>
      <c r="B421" s="153">
        <v>53</v>
      </c>
      <c r="C421" s="153">
        <v>54</v>
      </c>
      <c r="D421" s="153">
        <v>50</v>
      </c>
      <c r="E421" s="153">
        <v>50.9</v>
      </c>
      <c r="F421" s="154">
        <v>155185</v>
      </c>
      <c r="G421" s="155">
        <v>7899093</v>
      </c>
      <c r="H421" s="153">
        <v>128</v>
      </c>
      <c r="I421" s="155"/>
      <c r="J421" s="155"/>
      <c r="K421" s="155"/>
      <c r="L421" s="155"/>
      <c r="M421" s="155"/>
      <c r="N421" s="155"/>
      <c r="O421" s="148">
        <v>44676</v>
      </c>
      <c r="P421" s="149">
        <v>55</v>
      </c>
      <c r="Q421" s="149">
        <v>55</v>
      </c>
      <c r="R421" s="149">
        <v>51.1</v>
      </c>
      <c r="S421" s="149">
        <v>53.8</v>
      </c>
      <c r="T421" s="150">
        <v>27165</v>
      </c>
      <c r="U421" s="151">
        <v>1460680</v>
      </c>
      <c r="V421" s="149">
        <v>32</v>
      </c>
      <c r="Z421" s="1">
        <v>44540</v>
      </c>
      <c r="AA421">
        <v>66.42</v>
      </c>
      <c r="AB421">
        <v>31866</v>
      </c>
      <c r="AC421">
        <v>56601</v>
      </c>
      <c r="AF421" s="1">
        <v>44540</v>
      </c>
      <c r="AG421">
        <v>72.790000000000006</v>
      </c>
      <c r="AJ421" s="156">
        <f t="shared" si="6"/>
        <v>8.7512020881989339E-2</v>
      </c>
    </row>
    <row r="422" spans="1:36" x14ac:dyDescent="0.3">
      <c r="A422" s="152">
        <v>44659</v>
      </c>
      <c r="B422" s="153">
        <v>59.6</v>
      </c>
      <c r="C422" s="153">
        <v>59.9</v>
      </c>
      <c r="D422" s="153">
        <v>55</v>
      </c>
      <c r="E422" s="153">
        <v>57.3</v>
      </c>
      <c r="F422" s="154">
        <v>244302</v>
      </c>
      <c r="G422" s="155">
        <v>13810100.199999999</v>
      </c>
      <c r="H422" s="153">
        <v>301</v>
      </c>
      <c r="I422" s="155"/>
      <c r="J422" s="155"/>
      <c r="K422" s="155"/>
      <c r="L422" s="155"/>
      <c r="M422" s="155"/>
      <c r="N422" s="155"/>
      <c r="O422" s="148">
        <v>44659</v>
      </c>
      <c r="P422" s="149">
        <v>58.5</v>
      </c>
      <c r="Q422" s="149">
        <v>58.5</v>
      </c>
      <c r="R422" s="149">
        <v>55</v>
      </c>
      <c r="S422" s="149">
        <v>56</v>
      </c>
      <c r="T422" s="150">
        <v>52131</v>
      </c>
      <c r="U422" s="151">
        <v>2926644.3</v>
      </c>
      <c r="V422" s="149">
        <v>78</v>
      </c>
      <c r="Z422" s="1">
        <v>44539</v>
      </c>
      <c r="AA422">
        <v>66.78</v>
      </c>
      <c r="AB422">
        <v>74758</v>
      </c>
      <c r="AC422">
        <v>58167</v>
      </c>
      <c r="AF422" s="1">
        <v>44539</v>
      </c>
      <c r="AG422">
        <v>72.790000000000006</v>
      </c>
      <c r="AJ422" s="156">
        <f t="shared" si="6"/>
        <v>8.2566286577826692E-2</v>
      </c>
    </row>
    <row r="423" spans="1:36" x14ac:dyDescent="0.3">
      <c r="A423" s="152">
        <v>44658</v>
      </c>
      <c r="B423" s="153">
        <v>61</v>
      </c>
      <c r="C423" s="153">
        <v>61</v>
      </c>
      <c r="D423" s="153">
        <v>59</v>
      </c>
      <c r="E423" s="153">
        <v>59.8</v>
      </c>
      <c r="F423" s="154">
        <v>54879</v>
      </c>
      <c r="G423" s="155">
        <v>3296772.7</v>
      </c>
      <c r="H423" s="153">
        <v>116</v>
      </c>
      <c r="I423" s="155"/>
      <c r="J423" s="155"/>
      <c r="K423" s="155"/>
      <c r="L423" s="155"/>
      <c r="M423" s="155"/>
      <c r="N423" s="155"/>
      <c r="O423" s="148">
        <v>44658</v>
      </c>
      <c r="P423" s="149">
        <v>58.1</v>
      </c>
      <c r="Q423" s="149">
        <v>60</v>
      </c>
      <c r="R423" s="149">
        <v>56</v>
      </c>
      <c r="S423" s="149">
        <v>56.1</v>
      </c>
      <c r="T423" s="150">
        <v>11807</v>
      </c>
      <c r="U423" s="151">
        <v>665218.5</v>
      </c>
      <c r="V423" s="149">
        <v>28</v>
      </c>
      <c r="Z423" s="1">
        <v>44538</v>
      </c>
      <c r="AA423">
        <v>65.61</v>
      </c>
      <c r="AB423">
        <v>28298</v>
      </c>
      <c r="AC423">
        <v>55103</v>
      </c>
      <c r="AF423" s="1">
        <v>44538</v>
      </c>
      <c r="AG423">
        <v>72.97</v>
      </c>
      <c r="AJ423" s="156">
        <f t="shared" si="6"/>
        <v>0.10086336850760586</v>
      </c>
    </row>
    <row r="424" spans="1:36" x14ac:dyDescent="0.3">
      <c r="A424" s="152">
        <v>44657</v>
      </c>
      <c r="B424" s="153">
        <v>63.5</v>
      </c>
      <c r="C424" s="153">
        <v>63.9</v>
      </c>
      <c r="D424" s="153">
        <v>60</v>
      </c>
      <c r="E424" s="153">
        <v>61.1</v>
      </c>
      <c r="F424" s="154">
        <v>170196</v>
      </c>
      <c r="G424" s="155">
        <v>10529613.6</v>
      </c>
      <c r="H424" s="153">
        <v>176</v>
      </c>
      <c r="I424" s="155"/>
      <c r="J424" s="155"/>
      <c r="K424" s="155"/>
      <c r="L424" s="155"/>
      <c r="M424" s="155"/>
      <c r="N424" s="155"/>
      <c r="O424" s="148">
        <v>44657</v>
      </c>
      <c r="P424" s="149">
        <v>60</v>
      </c>
      <c r="Q424" s="149">
        <v>60</v>
      </c>
      <c r="R424" s="149">
        <v>55.1</v>
      </c>
      <c r="S424" s="149">
        <v>57.6</v>
      </c>
      <c r="T424" s="150">
        <v>33309</v>
      </c>
      <c r="U424" s="151">
        <v>1934885.7</v>
      </c>
      <c r="V424" s="149">
        <v>79</v>
      </c>
      <c r="Z424" s="1">
        <v>44537</v>
      </c>
      <c r="AA424">
        <v>65.61</v>
      </c>
      <c r="AB424">
        <v>74306</v>
      </c>
      <c r="AC424">
        <v>54467</v>
      </c>
      <c r="AF424" s="1">
        <v>44537</v>
      </c>
      <c r="AG424">
        <v>73.239999999999995</v>
      </c>
      <c r="AJ424" s="156">
        <f t="shared" si="6"/>
        <v>0.10417804478427084</v>
      </c>
    </row>
    <row r="425" spans="1:36" x14ac:dyDescent="0.3">
      <c r="A425" s="152">
        <v>44656</v>
      </c>
      <c r="B425" s="153">
        <v>60</v>
      </c>
      <c r="C425" s="153">
        <v>63</v>
      </c>
      <c r="D425" s="153">
        <v>59.5</v>
      </c>
      <c r="E425" s="153">
        <v>61</v>
      </c>
      <c r="F425" s="154">
        <v>104843</v>
      </c>
      <c r="G425" s="155">
        <v>6339071.2999999998</v>
      </c>
      <c r="H425" s="153">
        <v>162</v>
      </c>
      <c r="I425" s="155"/>
      <c r="J425" s="155"/>
      <c r="K425" s="155"/>
      <c r="L425" s="155"/>
      <c r="M425" s="155"/>
      <c r="N425" s="155"/>
      <c r="O425" s="148">
        <v>44656</v>
      </c>
      <c r="P425" s="149">
        <v>57</v>
      </c>
      <c r="Q425" s="149">
        <v>62.5</v>
      </c>
      <c r="R425" s="149">
        <v>55</v>
      </c>
      <c r="S425" s="149">
        <v>60</v>
      </c>
      <c r="T425" s="150">
        <v>33400</v>
      </c>
      <c r="U425" s="151">
        <v>1982686</v>
      </c>
      <c r="V425" s="149">
        <v>59</v>
      </c>
      <c r="Z425" s="1">
        <v>44536</v>
      </c>
      <c r="AA425">
        <v>65.88</v>
      </c>
      <c r="AB425">
        <v>39352</v>
      </c>
      <c r="AC425">
        <v>54267</v>
      </c>
      <c r="AF425" s="1">
        <v>44536</v>
      </c>
      <c r="AG425">
        <v>73.88</v>
      </c>
      <c r="AJ425" s="156">
        <f t="shared" si="6"/>
        <v>0.10828370330265295</v>
      </c>
    </row>
    <row r="426" spans="1:36" x14ac:dyDescent="0.3">
      <c r="A426" s="152">
        <v>44655</v>
      </c>
      <c r="B426" s="153">
        <v>59.5</v>
      </c>
      <c r="C426" s="153">
        <v>64.8</v>
      </c>
      <c r="D426" s="153">
        <v>57</v>
      </c>
      <c r="E426" s="153">
        <v>60</v>
      </c>
      <c r="F426" s="154">
        <v>188533</v>
      </c>
      <c r="G426" s="155">
        <v>11222783.1</v>
      </c>
      <c r="H426" s="153">
        <v>212</v>
      </c>
      <c r="I426" s="155"/>
      <c r="J426" s="155"/>
      <c r="K426" s="155"/>
      <c r="L426" s="155"/>
      <c r="M426" s="155"/>
      <c r="N426" s="155"/>
      <c r="O426" s="148">
        <v>44655</v>
      </c>
      <c r="P426" s="149">
        <v>59.2</v>
      </c>
      <c r="Q426" s="149">
        <v>60</v>
      </c>
      <c r="R426" s="149">
        <v>52</v>
      </c>
      <c r="S426" s="149">
        <v>57</v>
      </c>
      <c r="T426" s="150">
        <v>37024</v>
      </c>
      <c r="U426" s="151">
        <v>2121398.2999999998</v>
      </c>
      <c r="V426" s="149">
        <v>71</v>
      </c>
      <c r="Z426" s="1">
        <v>44533</v>
      </c>
      <c r="AA426">
        <v>65.97</v>
      </c>
      <c r="AB426">
        <v>34182</v>
      </c>
      <c r="AC426">
        <v>52126</v>
      </c>
      <c r="AF426" s="1">
        <v>44533</v>
      </c>
      <c r="AG426">
        <v>72.88</v>
      </c>
      <c r="AJ426" s="156">
        <f t="shared" si="6"/>
        <v>9.4813391877058131E-2</v>
      </c>
    </row>
    <row r="427" spans="1:36" x14ac:dyDescent="0.3">
      <c r="A427" s="152">
        <v>44652</v>
      </c>
      <c r="B427" s="153">
        <v>62.1</v>
      </c>
      <c r="C427" s="153">
        <v>62.1</v>
      </c>
      <c r="D427" s="153">
        <v>59</v>
      </c>
      <c r="E427" s="153">
        <v>59.4</v>
      </c>
      <c r="F427" s="154">
        <v>34424</v>
      </c>
      <c r="G427" s="155">
        <v>2068544.2</v>
      </c>
      <c r="H427" s="153">
        <v>73</v>
      </c>
      <c r="I427" s="155"/>
      <c r="J427" s="155"/>
      <c r="K427" s="155"/>
      <c r="L427" s="155"/>
      <c r="M427" s="155"/>
      <c r="N427" s="155"/>
      <c r="O427" s="148">
        <v>44652</v>
      </c>
      <c r="P427" s="149">
        <v>60</v>
      </c>
      <c r="Q427" s="149">
        <v>60</v>
      </c>
      <c r="R427" s="149">
        <v>60</v>
      </c>
      <c r="S427" s="149">
        <v>60</v>
      </c>
      <c r="T427" s="149">
        <v>244</v>
      </c>
      <c r="U427" s="151">
        <v>14640</v>
      </c>
      <c r="V427" s="149">
        <v>8</v>
      </c>
      <c r="Z427" s="1">
        <v>44532</v>
      </c>
      <c r="AA427">
        <v>66.06</v>
      </c>
      <c r="AB427">
        <v>14206</v>
      </c>
      <c r="AC427">
        <v>51864</v>
      </c>
      <c r="AF427" s="1">
        <v>44532</v>
      </c>
      <c r="AG427">
        <v>73.42</v>
      </c>
      <c r="AJ427" s="156">
        <f t="shared" si="6"/>
        <v>0.10024516480523017</v>
      </c>
    </row>
    <row r="428" spans="1:36" x14ac:dyDescent="0.3">
      <c r="A428" s="152">
        <v>44651</v>
      </c>
      <c r="B428" s="153">
        <v>69</v>
      </c>
      <c r="C428" s="153">
        <v>69</v>
      </c>
      <c r="D428" s="153">
        <v>61</v>
      </c>
      <c r="E428" s="153">
        <v>62.7</v>
      </c>
      <c r="F428" s="154">
        <v>163308</v>
      </c>
      <c r="G428" s="155">
        <v>10345617.6</v>
      </c>
      <c r="H428" s="153">
        <v>210</v>
      </c>
      <c r="I428" s="155"/>
      <c r="J428" s="155"/>
      <c r="K428" s="155"/>
      <c r="L428" s="155"/>
      <c r="M428" s="155"/>
      <c r="N428" s="155"/>
      <c r="O428" s="148">
        <v>44651</v>
      </c>
      <c r="P428" s="149">
        <v>66</v>
      </c>
      <c r="Q428" s="149">
        <v>66</v>
      </c>
      <c r="R428" s="149">
        <v>59.5</v>
      </c>
      <c r="S428" s="149">
        <v>60.9</v>
      </c>
      <c r="T428" s="150">
        <v>58270</v>
      </c>
      <c r="U428" s="151">
        <v>3566695.9</v>
      </c>
      <c r="V428" s="149">
        <v>92</v>
      </c>
      <c r="Z428" s="1">
        <v>44531</v>
      </c>
      <c r="AA428">
        <v>65.790000000000006</v>
      </c>
      <c r="AB428">
        <v>52118</v>
      </c>
      <c r="AC428">
        <v>51582</v>
      </c>
      <c r="AF428" s="1">
        <v>44531</v>
      </c>
      <c r="AG428">
        <v>73.510000000000005</v>
      </c>
      <c r="AJ428" s="156">
        <f t="shared" si="6"/>
        <v>0.10501972520745474</v>
      </c>
    </row>
    <row r="429" spans="1:36" x14ac:dyDescent="0.3">
      <c r="A429" s="152">
        <v>44650</v>
      </c>
      <c r="B429" s="153">
        <v>73</v>
      </c>
      <c r="C429" s="153">
        <v>73</v>
      </c>
      <c r="D429" s="153">
        <v>69.5</v>
      </c>
      <c r="E429" s="153">
        <v>70</v>
      </c>
      <c r="F429" s="154">
        <v>453068</v>
      </c>
      <c r="G429" s="155">
        <v>31825916.300000001</v>
      </c>
      <c r="H429" s="153">
        <v>390</v>
      </c>
      <c r="I429" s="155"/>
      <c r="J429" s="155"/>
      <c r="K429" s="155"/>
      <c r="L429" s="155"/>
      <c r="M429" s="155"/>
      <c r="N429" s="155"/>
      <c r="O429" s="148">
        <v>44650</v>
      </c>
      <c r="P429" s="149">
        <v>70.3</v>
      </c>
      <c r="Q429" s="149">
        <v>70.5</v>
      </c>
      <c r="R429" s="149">
        <v>69.8</v>
      </c>
      <c r="S429" s="149">
        <v>70</v>
      </c>
      <c r="T429" s="150">
        <v>71957</v>
      </c>
      <c r="U429" s="151">
        <v>5037420.9000000004</v>
      </c>
      <c r="V429" s="149">
        <v>106</v>
      </c>
      <c r="Z429" s="1">
        <v>44530</v>
      </c>
      <c r="AA429">
        <v>65.88</v>
      </c>
      <c r="AB429">
        <v>86198</v>
      </c>
      <c r="AC429">
        <v>48926</v>
      </c>
      <c r="AF429" s="1">
        <v>44530</v>
      </c>
      <c r="AG429">
        <v>72.88</v>
      </c>
      <c r="AJ429" s="156">
        <f t="shared" si="6"/>
        <v>9.604829857299671E-2</v>
      </c>
    </row>
    <row r="430" spans="1:36" x14ac:dyDescent="0.3">
      <c r="A430" s="152">
        <v>44649</v>
      </c>
      <c r="B430" s="153">
        <v>75</v>
      </c>
      <c r="C430" s="153">
        <v>75.400000000000006</v>
      </c>
      <c r="D430" s="153">
        <v>72</v>
      </c>
      <c r="E430" s="153">
        <v>72.2</v>
      </c>
      <c r="F430" s="154">
        <v>296510</v>
      </c>
      <c r="G430" s="155">
        <v>21643831.699999999</v>
      </c>
      <c r="H430" s="153">
        <v>236</v>
      </c>
      <c r="I430" s="155"/>
      <c r="J430" s="155"/>
      <c r="K430" s="155"/>
      <c r="L430" s="155"/>
      <c r="M430" s="155"/>
      <c r="N430" s="155"/>
      <c r="O430" s="148">
        <v>44649</v>
      </c>
      <c r="P430" s="149">
        <v>75.900000000000006</v>
      </c>
      <c r="Q430" s="149">
        <v>75.900000000000006</v>
      </c>
      <c r="R430" s="149">
        <v>70</v>
      </c>
      <c r="S430" s="149">
        <v>70.599999999999994</v>
      </c>
      <c r="T430" s="150">
        <v>55855</v>
      </c>
      <c r="U430" s="151">
        <v>3961047.8</v>
      </c>
      <c r="V430" s="149">
        <v>74</v>
      </c>
      <c r="Z430" s="1">
        <v>44529</v>
      </c>
      <c r="AA430">
        <v>66.33</v>
      </c>
      <c r="AB430">
        <v>24439</v>
      </c>
      <c r="AC430">
        <v>44546</v>
      </c>
      <c r="AF430" s="1">
        <v>44529</v>
      </c>
      <c r="AG430">
        <v>74.52</v>
      </c>
      <c r="AJ430" s="156">
        <f t="shared" si="6"/>
        <v>0.10990338164251205</v>
      </c>
    </row>
    <row r="431" spans="1:36" x14ac:dyDescent="0.3">
      <c r="A431" s="152">
        <v>44648</v>
      </c>
      <c r="B431" s="153">
        <v>76.3</v>
      </c>
      <c r="C431" s="153">
        <v>76.3</v>
      </c>
      <c r="D431" s="153">
        <v>74.5</v>
      </c>
      <c r="E431" s="153">
        <v>74.900000000000006</v>
      </c>
      <c r="F431" s="154">
        <v>363387</v>
      </c>
      <c r="G431" s="155">
        <v>27360451.399999999</v>
      </c>
      <c r="H431" s="153">
        <v>250</v>
      </c>
      <c r="I431" s="155"/>
      <c r="J431" s="155"/>
      <c r="K431" s="155"/>
      <c r="L431" s="155"/>
      <c r="M431" s="155"/>
      <c r="N431" s="155"/>
      <c r="O431" s="148">
        <v>44648</v>
      </c>
      <c r="P431" s="149">
        <v>74.099999999999994</v>
      </c>
      <c r="Q431" s="149">
        <v>75</v>
      </c>
      <c r="R431" s="149">
        <v>73.2</v>
      </c>
      <c r="S431" s="149">
        <v>73.599999999999994</v>
      </c>
      <c r="T431" s="150">
        <v>53145</v>
      </c>
      <c r="U431" s="151">
        <v>3923510.9</v>
      </c>
      <c r="V431" s="149">
        <v>57</v>
      </c>
      <c r="Z431" s="1">
        <v>44526</v>
      </c>
      <c r="AA431">
        <v>66.510000000000005</v>
      </c>
      <c r="AB431">
        <v>82220</v>
      </c>
      <c r="AC431">
        <v>45862</v>
      </c>
      <c r="AF431" s="1">
        <v>44526</v>
      </c>
      <c r="AG431">
        <v>75.150000000000006</v>
      </c>
      <c r="AJ431" s="156">
        <f t="shared" si="6"/>
        <v>0.11497005988023952</v>
      </c>
    </row>
    <row r="432" spans="1:36" x14ac:dyDescent="0.3">
      <c r="A432" s="152">
        <v>44645</v>
      </c>
      <c r="B432" s="153">
        <v>77</v>
      </c>
      <c r="C432" s="153">
        <v>78.8</v>
      </c>
      <c r="D432" s="153">
        <v>75.900000000000006</v>
      </c>
      <c r="E432" s="153">
        <v>76.099999999999994</v>
      </c>
      <c r="F432" s="154">
        <v>374367</v>
      </c>
      <c r="G432" s="155">
        <v>28587258.5</v>
      </c>
      <c r="H432" s="153">
        <v>271</v>
      </c>
      <c r="I432" s="155"/>
      <c r="J432" s="155"/>
      <c r="K432" s="155"/>
      <c r="L432" s="155"/>
      <c r="M432" s="155"/>
      <c r="N432" s="155"/>
      <c r="O432" s="148">
        <v>44645</v>
      </c>
      <c r="P432" s="149">
        <v>75.5</v>
      </c>
      <c r="Q432" s="149">
        <v>76</v>
      </c>
      <c r="R432" s="149">
        <v>74</v>
      </c>
      <c r="S432" s="149">
        <v>74.099999999999994</v>
      </c>
      <c r="T432" s="150">
        <v>25263</v>
      </c>
      <c r="U432" s="151">
        <v>1873611</v>
      </c>
      <c r="V432" s="149">
        <v>29</v>
      </c>
      <c r="Z432" s="1">
        <v>44525</v>
      </c>
      <c r="AA432">
        <v>66.599999999999994</v>
      </c>
      <c r="AB432">
        <v>97678</v>
      </c>
      <c r="AC432">
        <v>46103</v>
      </c>
      <c r="AF432" s="1">
        <v>44525</v>
      </c>
      <c r="AG432">
        <v>75.61</v>
      </c>
      <c r="AJ432" s="156">
        <f t="shared" si="6"/>
        <v>0.11916413172860739</v>
      </c>
    </row>
    <row r="433" spans="1:36" x14ac:dyDescent="0.3">
      <c r="A433" s="152">
        <v>44644</v>
      </c>
      <c r="B433" s="153">
        <v>76.900000000000006</v>
      </c>
      <c r="C433" s="153">
        <v>78.5</v>
      </c>
      <c r="D433" s="153">
        <v>76.599999999999994</v>
      </c>
      <c r="E433" s="153">
        <v>77</v>
      </c>
      <c r="F433" s="154">
        <v>508401</v>
      </c>
      <c r="G433" s="155">
        <v>39151997.100000001</v>
      </c>
      <c r="H433" s="153">
        <v>160</v>
      </c>
      <c r="I433" s="155"/>
      <c r="J433" s="155"/>
      <c r="K433" s="155"/>
      <c r="L433" s="155"/>
      <c r="M433" s="155"/>
      <c r="N433" s="155"/>
      <c r="O433" s="148">
        <v>44644</v>
      </c>
      <c r="P433" s="149">
        <v>75.099999999999994</v>
      </c>
      <c r="Q433" s="149">
        <v>75.5</v>
      </c>
      <c r="R433" s="149">
        <v>74</v>
      </c>
      <c r="S433" s="149">
        <v>74.900000000000006</v>
      </c>
      <c r="T433" s="150">
        <v>75967</v>
      </c>
      <c r="U433" s="151">
        <v>5691843.4000000004</v>
      </c>
      <c r="V433" s="149">
        <v>59</v>
      </c>
      <c r="Z433" s="1">
        <v>44524</v>
      </c>
      <c r="AA433">
        <v>66.87</v>
      </c>
      <c r="AB433">
        <v>147978</v>
      </c>
      <c r="AC433">
        <v>48624</v>
      </c>
      <c r="AF433" s="1">
        <v>44524</v>
      </c>
      <c r="AG433">
        <v>76.33</v>
      </c>
      <c r="AJ433" s="156">
        <f t="shared" si="6"/>
        <v>0.12393554303681376</v>
      </c>
    </row>
    <row r="434" spans="1:36" x14ac:dyDescent="0.3">
      <c r="A434" s="152">
        <v>44643</v>
      </c>
      <c r="B434" s="153">
        <v>77.099999999999994</v>
      </c>
      <c r="C434" s="153">
        <v>77.099999999999994</v>
      </c>
      <c r="D434" s="153">
        <v>76.400000000000006</v>
      </c>
      <c r="E434" s="153">
        <v>76.599999999999994</v>
      </c>
      <c r="F434" s="154">
        <v>131876</v>
      </c>
      <c r="G434" s="155">
        <v>10129176.1</v>
      </c>
      <c r="H434" s="153">
        <v>203</v>
      </c>
      <c r="I434" s="155"/>
      <c r="J434" s="155"/>
      <c r="K434" s="155"/>
      <c r="L434" s="155"/>
      <c r="M434" s="155"/>
      <c r="N434" s="155"/>
      <c r="O434" s="148">
        <v>44643</v>
      </c>
      <c r="P434" s="149">
        <v>75.5</v>
      </c>
      <c r="Q434" s="149">
        <v>76.8</v>
      </c>
      <c r="R434" s="149">
        <v>74.099999999999994</v>
      </c>
      <c r="S434" s="149">
        <v>75.099999999999994</v>
      </c>
      <c r="T434" s="150">
        <v>7243</v>
      </c>
      <c r="U434" s="151">
        <v>546472.30000000005</v>
      </c>
      <c r="V434" s="149">
        <v>23</v>
      </c>
      <c r="Z434" s="1">
        <v>44523</v>
      </c>
      <c r="AA434">
        <v>67.680000000000007</v>
      </c>
      <c r="AB434">
        <v>45235</v>
      </c>
      <c r="AC434">
        <v>43298</v>
      </c>
      <c r="AF434" s="1">
        <v>44523</v>
      </c>
      <c r="AG434">
        <v>76.33</v>
      </c>
      <c r="AJ434" s="156">
        <f t="shared" si="6"/>
        <v>0.11332372592689627</v>
      </c>
    </row>
    <row r="435" spans="1:36" x14ac:dyDescent="0.3">
      <c r="A435" s="152">
        <v>44642</v>
      </c>
      <c r="B435" s="153">
        <v>79</v>
      </c>
      <c r="C435" s="153">
        <v>79.5</v>
      </c>
      <c r="D435" s="153">
        <v>77</v>
      </c>
      <c r="E435" s="153">
        <v>77</v>
      </c>
      <c r="F435" s="154">
        <v>298719</v>
      </c>
      <c r="G435" s="155">
        <v>23228417.300000001</v>
      </c>
      <c r="H435" s="153">
        <v>300</v>
      </c>
      <c r="I435" s="155"/>
      <c r="J435" s="155"/>
      <c r="K435" s="155"/>
      <c r="L435" s="155"/>
      <c r="M435" s="155"/>
      <c r="N435" s="155"/>
      <c r="O435" s="148">
        <v>44642</v>
      </c>
      <c r="P435" s="149">
        <v>76.900000000000006</v>
      </c>
      <c r="Q435" s="149">
        <v>77.5</v>
      </c>
      <c r="R435" s="149">
        <v>75</v>
      </c>
      <c r="S435" s="149">
        <v>76.900000000000006</v>
      </c>
      <c r="T435" s="150">
        <v>36576</v>
      </c>
      <c r="U435" s="151">
        <v>2823627.2</v>
      </c>
      <c r="V435" s="149">
        <v>49</v>
      </c>
      <c r="Z435" s="1">
        <v>44522</v>
      </c>
      <c r="AA435">
        <v>67.77</v>
      </c>
      <c r="AB435">
        <v>16178</v>
      </c>
      <c r="AC435">
        <v>43109</v>
      </c>
      <c r="AF435" s="1">
        <v>44522</v>
      </c>
      <c r="AG435">
        <v>76.88</v>
      </c>
      <c r="AJ435" s="156">
        <f t="shared" si="6"/>
        <v>0.11849635796045786</v>
      </c>
    </row>
    <row r="436" spans="1:36" x14ac:dyDescent="0.3">
      <c r="A436" s="152">
        <v>44641</v>
      </c>
      <c r="B436" s="153">
        <v>77.8</v>
      </c>
      <c r="C436" s="153">
        <v>78.5</v>
      </c>
      <c r="D436" s="153">
        <v>77.599999999999994</v>
      </c>
      <c r="E436" s="153">
        <v>78.400000000000006</v>
      </c>
      <c r="F436" s="154">
        <v>132500</v>
      </c>
      <c r="G436" s="155">
        <v>10325001.4</v>
      </c>
      <c r="H436" s="153">
        <v>90</v>
      </c>
      <c r="I436" s="155"/>
      <c r="J436" s="155"/>
      <c r="K436" s="155"/>
      <c r="L436" s="155"/>
      <c r="M436" s="155"/>
      <c r="N436" s="155"/>
      <c r="O436" s="148">
        <v>44641</v>
      </c>
      <c r="P436" s="149">
        <v>74</v>
      </c>
      <c r="Q436" s="149">
        <v>76</v>
      </c>
      <c r="R436" s="149">
        <v>74</v>
      </c>
      <c r="S436" s="149">
        <v>76</v>
      </c>
      <c r="T436" s="150">
        <v>3456</v>
      </c>
      <c r="U436" s="151">
        <v>261770</v>
      </c>
      <c r="V436" s="149">
        <v>4</v>
      </c>
      <c r="Z436" s="1">
        <v>44519</v>
      </c>
      <c r="AA436">
        <v>67.59</v>
      </c>
      <c r="AB436">
        <v>55365</v>
      </c>
      <c r="AC436">
        <v>43012</v>
      </c>
      <c r="AF436" s="1">
        <v>44519</v>
      </c>
      <c r="AG436">
        <v>77.06</v>
      </c>
      <c r="AJ436" s="156">
        <f t="shared" si="6"/>
        <v>0.12289125356864779</v>
      </c>
    </row>
    <row r="437" spans="1:36" x14ac:dyDescent="0.3">
      <c r="A437" s="152">
        <v>44638</v>
      </c>
      <c r="B437" s="153">
        <v>79</v>
      </c>
      <c r="C437" s="153">
        <v>79</v>
      </c>
      <c r="D437" s="153">
        <v>76.7</v>
      </c>
      <c r="E437" s="153">
        <v>77.2</v>
      </c>
      <c r="F437" s="154">
        <v>769563</v>
      </c>
      <c r="G437" s="155">
        <v>59798371.700000003</v>
      </c>
      <c r="H437" s="153">
        <v>403</v>
      </c>
      <c r="I437" s="155"/>
      <c r="J437" s="155"/>
      <c r="K437" s="155"/>
      <c r="L437" s="155"/>
      <c r="M437" s="155"/>
      <c r="N437" s="155"/>
      <c r="O437" s="148">
        <v>44638</v>
      </c>
      <c r="P437" s="149">
        <v>75.8</v>
      </c>
      <c r="Q437" s="149">
        <v>76</v>
      </c>
      <c r="R437" s="149">
        <v>74</v>
      </c>
      <c r="S437" s="149">
        <v>74.900000000000006</v>
      </c>
      <c r="T437" s="150">
        <v>78205</v>
      </c>
      <c r="U437" s="151">
        <v>5888918.2999999998</v>
      </c>
      <c r="V437" s="149">
        <v>41</v>
      </c>
      <c r="Z437" s="1">
        <v>44517</v>
      </c>
      <c r="AA437">
        <v>67.86</v>
      </c>
      <c r="AB437">
        <v>28789</v>
      </c>
      <c r="AC437">
        <v>47009</v>
      </c>
      <c r="AF437" s="1">
        <v>44517</v>
      </c>
      <c r="AG437">
        <v>76.430000000000007</v>
      </c>
      <c r="AJ437" s="156">
        <f t="shared" si="6"/>
        <v>0.11212874525709808</v>
      </c>
    </row>
    <row r="438" spans="1:36" x14ac:dyDescent="0.3">
      <c r="A438" s="152">
        <v>44636</v>
      </c>
      <c r="B438" s="153">
        <v>78</v>
      </c>
      <c r="C438" s="153">
        <v>79.5</v>
      </c>
      <c r="D438" s="153">
        <v>77.599999999999994</v>
      </c>
      <c r="E438" s="153">
        <v>78.8</v>
      </c>
      <c r="F438" s="154">
        <v>17794</v>
      </c>
      <c r="G438" s="155">
        <v>1393090.3</v>
      </c>
      <c r="H438" s="153">
        <v>62</v>
      </c>
      <c r="I438" s="155"/>
      <c r="J438" s="155"/>
      <c r="K438" s="155"/>
      <c r="L438" s="155"/>
      <c r="M438" s="155"/>
      <c r="N438" s="155"/>
      <c r="O438" s="148">
        <v>44636</v>
      </c>
      <c r="P438" s="149">
        <v>75</v>
      </c>
      <c r="Q438" s="149">
        <v>75.8</v>
      </c>
      <c r="R438" s="149">
        <v>73</v>
      </c>
      <c r="S438" s="149">
        <v>74</v>
      </c>
      <c r="T438" s="150">
        <v>18781</v>
      </c>
      <c r="U438" s="151">
        <v>1384507.4</v>
      </c>
      <c r="V438" s="149">
        <v>48</v>
      </c>
      <c r="Z438" s="1">
        <v>44516</v>
      </c>
      <c r="AA438">
        <v>67.86</v>
      </c>
      <c r="AB438">
        <v>18761</v>
      </c>
      <c r="AC438">
        <v>48225</v>
      </c>
      <c r="AF438" s="1">
        <v>44516</v>
      </c>
      <c r="AG438">
        <v>76.61</v>
      </c>
      <c r="AJ438" s="156">
        <f t="shared" si="6"/>
        <v>0.11421485445764261</v>
      </c>
    </row>
    <row r="439" spans="1:36" x14ac:dyDescent="0.3">
      <c r="A439" s="152">
        <v>44635</v>
      </c>
      <c r="B439" s="153">
        <v>78.7</v>
      </c>
      <c r="C439" s="153">
        <v>78.7</v>
      </c>
      <c r="D439" s="153">
        <v>77.5</v>
      </c>
      <c r="E439" s="153">
        <v>77.8</v>
      </c>
      <c r="F439" s="154">
        <v>75135</v>
      </c>
      <c r="G439" s="155">
        <v>5885776</v>
      </c>
      <c r="H439" s="153">
        <v>104</v>
      </c>
      <c r="I439" s="155"/>
      <c r="J439" s="155"/>
      <c r="K439" s="155"/>
      <c r="L439" s="155"/>
      <c r="M439" s="155"/>
      <c r="N439" s="155"/>
      <c r="O439" s="148">
        <v>44635</v>
      </c>
      <c r="P439" s="149">
        <v>74.5</v>
      </c>
      <c r="Q439" s="149">
        <v>75.900000000000006</v>
      </c>
      <c r="R439" s="149">
        <v>74</v>
      </c>
      <c r="S439" s="149">
        <v>74.5</v>
      </c>
      <c r="T439" s="150">
        <v>5911</v>
      </c>
      <c r="U439" s="151">
        <v>438008.5</v>
      </c>
      <c r="V439" s="149">
        <v>9</v>
      </c>
      <c r="Z439" s="1">
        <v>44515</v>
      </c>
      <c r="AA439">
        <v>68.67</v>
      </c>
      <c r="AB439">
        <v>71306</v>
      </c>
      <c r="AC439">
        <v>48576</v>
      </c>
      <c r="AF439" s="1">
        <v>44515</v>
      </c>
      <c r="AG439">
        <v>76.430000000000007</v>
      </c>
      <c r="AJ439" s="156">
        <f t="shared" si="6"/>
        <v>0.10153081250817747</v>
      </c>
    </row>
    <row r="440" spans="1:36" x14ac:dyDescent="0.3">
      <c r="A440" s="152">
        <v>44634</v>
      </c>
      <c r="B440" s="153">
        <v>81</v>
      </c>
      <c r="C440" s="153">
        <v>81.3</v>
      </c>
      <c r="D440" s="153">
        <v>78.099999999999994</v>
      </c>
      <c r="E440" s="153">
        <v>78.5</v>
      </c>
      <c r="F440" s="154">
        <v>51520</v>
      </c>
      <c r="G440" s="155">
        <v>4048883.2</v>
      </c>
      <c r="H440" s="153">
        <v>114</v>
      </c>
      <c r="I440" s="155"/>
      <c r="J440" s="155"/>
      <c r="K440" s="155"/>
      <c r="L440" s="155"/>
      <c r="M440" s="155"/>
      <c r="N440" s="155"/>
      <c r="O440" s="148">
        <v>44634</v>
      </c>
      <c r="P440" s="149">
        <v>73.099999999999994</v>
      </c>
      <c r="Q440" s="149">
        <v>76</v>
      </c>
      <c r="R440" s="149">
        <v>73.099999999999994</v>
      </c>
      <c r="S440" s="149">
        <v>75.099999999999994</v>
      </c>
      <c r="T440" s="150">
        <v>11076</v>
      </c>
      <c r="U440" s="151">
        <v>838685.7</v>
      </c>
      <c r="V440" s="149">
        <v>17</v>
      </c>
      <c r="Z440" s="1">
        <v>44512</v>
      </c>
      <c r="AA440">
        <v>70.099999999999994</v>
      </c>
      <c r="AB440">
        <v>7234</v>
      </c>
      <c r="AC440">
        <v>45201</v>
      </c>
      <c r="AF440" s="1">
        <v>44512</v>
      </c>
      <c r="AG440">
        <v>77.61</v>
      </c>
      <c r="AJ440" s="156">
        <f t="shared" si="6"/>
        <v>9.6765880685478742E-2</v>
      </c>
    </row>
    <row r="441" spans="1:36" x14ac:dyDescent="0.3">
      <c r="A441" s="152">
        <v>44631</v>
      </c>
      <c r="B441" s="153">
        <v>81.5</v>
      </c>
      <c r="C441" s="153">
        <v>81.5</v>
      </c>
      <c r="D441" s="153">
        <v>79</v>
      </c>
      <c r="E441" s="153">
        <v>79</v>
      </c>
      <c r="F441" s="154">
        <v>38022</v>
      </c>
      <c r="G441" s="155">
        <v>3021685.3</v>
      </c>
      <c r="H441" s="153">
        <v>72</v>
      </c>
      <c r="I441" s="155"/>
      <c r="J441" s="155"/>
      <c r="K441" s="155"/>
      <c r="L441" s="155"/>
      <c r="M441" s="155"/>
      <c r="N441" s="155"/>
      <c r="O441" s="148">
        <v>44631</v>
      </c>
      <c r="P441" s="149">
        <v>75</v>
      </c>
      <c r="Q441" s="149">
        <v>75</v>
      </c>
      <c r="R441" s="149">
        <v>73</v>
      </c>
      <c r="S441" s="149">
        <v>74.8</v>
      </c>
      <c r="T441" s="150">
        <v>9253</v>
      </c>
      <c r="U441" s="151">
        <v>681709.3</v>
      </c>
      <c r="V441" s="149">
        <v>35</v>
      </c>
      <c r="Z441" s="1">
        <v>44511</v>
      </c>
      <c r="AA441">
        <v>70.19</v>
      </c>
      <c r="AB441">
        <v>30256</v>
      </c>
      <c r="AC441">
        <v>45405</v>
      </c>
      <c r="AF441" s="1">
        <v>44511</v>
      </c>
      <c r="AG441">
        <v>78.88</v>
      </c>
      <c r="AJ441" s="156">
        <f t="shared" si="6"/>
        <v>0.11016734279918862</v>
      </c>
    </row>
    <row r="442" spans="1:36" x14ac:dyDescent="0.3">
      <c r="A442" s="152">
        <v>44630</v>
      </c>
      <c r="B442" s="153">
        <v>78</v>
      </c>
      <c r="C442" s="153">
        <v>81</v>
      </c>
      <c r="D442" s="153">
        <v>77.5</v>
      </c>
      <c r="E442" s="153">
        <v>79.5</v>
      </c>
      <c r="F442" s="154">
        <v>63167</v>
      </c>
      <c r="G442" s="155">
        <v>5008364</v>
      </c>
      <c r="H442" s="153">
        <v>99</v>
      </c>
      <c r="I442" s="155"/>
      <c r="J442" s="155"/>
      <c r="K442" s="155"/>
      <c r="L442" s="155"/>
      <c r="M442" s="155"/>
      <c r="N442" s="155"/>
      <c r="O442" s="148">
        <v>44630</v>
      </c>
      <c r="P442" s="149">
        <v>74.5</v>
      </c>
      <c r="Q442" s="149">
        <v>76</v>
      </c>
      <c r="R442" s="149">
        <v>73</v>
      </c>
      <c r="S442" s="149">
        <v>75.3</v>
      </c>
      <c r="T442" s="150">
        <v>88982</v>
      </c>
      <c r="U442" s="151">
        <v>6661859</v>
      </c>
      <c r="V442" s="149">
        <v>64</v>
      </c>
      <c r="Z442" s="1">
        <v>44510</v>
      </c>
      <c r="AA442">
        <v>71</v>
      </c>
      <c r="AB442">
        <v>9968</v>
      </c>
      <c r="AC442">
        <v>46344</v>
      </c>
      <c r="AF442" s="1">
        <v>44510</v>
      </c>
      <c r="AG442">
        <v>78.790000000000006</v>
      </c>
      <c r="AJ442" s="156">
        <f t="shared" si="6"/>
        <v>9.88704150272878E-2</v>
      </c>
    </row>
    <row r="443" spans="1:36" x14ac:dyDescent="0.3">
      <c r="A443" s="152">
        <v>44629</v>
      </c>
      <c r="B443" s="153">
        <v>76</v>
      </c>
      <c r="C443" s="153">
        <v>80</v>
      </c>
      <c r="D443" s="153">
        <v>76</v>
      </c>
      <c r="E443" s="153">
        <v>77.5</v>
      </c>
      <c r="F443" s="154">
        <v>142156</v>
      </c>
      <c r="G443" s="155">
        <v>11009742.9</v>
      </c>
      <c r="H443" s="153">
        <v>127</v>
      </c>
      <c r="I443" s="155"/>
      <c r="J443" s="155"/>
      <c r="K443" s="155"/>
      <c r="L443" s="155"/>
      <c r="M443" s="155"/>
      <c r="N443" s="155"/>
      <c r="O443" s="148">
        <v>44629</v>
      </c>
      <c r="P443" s="149">
        <v>58</v>
      </c>
      <c r="Q443" s="149">
        <v>75.5</v>
      </c>
      <c r="R443" s="149">
        <v>58</v>
      </c>
      <c r="S443" s="149">
        <v>72.599999999999994</v>
      </c>
      <c r="T443" s="150">
        <v>91707</v>
      </c>
      <c r="U443" s="151">
        <v>5955996.0999999996</v>
      </c>
      <c r="V443" s="149">
        <v>114</v>
      </c>
      <c r="Z443" s="1">
        <v>44509</v>
      </c>
      <c r="AA443">
        <v>70.459999999999994</v>
      </c>
      <c r="AB443">
        <v>12286</v>
      </c>
      <c r="AC443">
        <v>48373</v>
      </c>
      <c r="AF443" s="1">
        <v>44509</v>
      </c>
      <c r="AG443">
        <v>78.7</v>
      </c>
      <c r="AJ443" s="156">
        <f t="shared" si="6"/>
        <v>0.10470139771283365</v>
      </c>
    </row>
    <row r="444" spans="1:36" x14ac:dyDescent="0.3">
      <c r="A444" s="152">
        <v>44628</v>
      </c>
      <c r="B444" s="153">
        <v>80.2</v>
      </c>
      <c r="C444" s="153">
        <v>80.5</v>
      </c>
      <c r="D444" s="153">
        <v>79</v>
      </c>
      <c r="E444" s="153">
        <v>79.3</v>
      </c>
      <c r="F444" s="154">
        <v>100181</v>
      </c>
      <c r="G444" s="155">
        <v>7997842</v>
      </c>
      <c r="H444" s="153">
        <v>114</v>
      </c>
      <c r="I444" s="155"/>
      <c r="J444" s="155"/>
      <c r="K444" s="155"/>
      <c r="L444" s="155"/>
      <c r="M444" s="155"/>
      <c r="N444" s="155"/>
      <c r="O444" s="148">
        <v>44628</v>
      </c>
      <c r="P444" s="149">
        <v>76.5</v>
      </c>
      <c r="Q444" s="149">
        <v>76.5</v>
      </c>
      <c r="R444" s="149">
        <v>75.400000000000006</v>
      </c>
      <c r="S444" s="149">
        <v>75.5</v>
      </c>
      <c r="T444" s="150">
        <v>19013</v>
      </c>
      <c r="U444" s="151">
        <v>1437131.9</v>
      </c>
      <c r="V444" s="149">
        <v>22</v>
      </c>
      <c r="Z444" s="1">
        <v>44508</v>
      </c>
      <c r="AA444">
        <v>71.36</v>
      </c>
      <c r="AB444">
        <v>20496</v>
      </c>
      <c r="AC444">
        <v>61711</v>
      </c>
      <c r="AF444" s="1">
        <v>44508</v>
      </c>
      <c r="AG444">
        <v>79.61</v>
      </c>
      <c r="AJ444" s="156">
        <f t="shared" si="6"/>
        <v>0.10363019721140561</v>
      </c>
    </row>
    <row r="445" spans="1:36" x14ac:dyDescent="0.3">
      <c r="A445" s="152">
        <v>44627</v>
      </c>
      <c r="B445" s="153">
        <v>81.400000000000006</v>
      </c>
      <c r="C445" s="153">
        <v>82</v>
      </c>
      <c r="D445" s="153">
        <v>80</v>
      </c>
      <c r="E445" s="153">
        <v>80.2</v>
      </c>
      <c r="F445" s="154">
        <v>382989</v>
      </c>
      <c r="G445" s="155">
        <v>30751001.5</v>
      </c>
      <c r="H445" s="153">
        <v>152</v>
      </c>
      <c r="I445" s="155"/>
      <c r="J445" s="155"/>
      <c r="K445" s="155"/>
      <c r="L445" s="155"/>
      <c r="M445" s="155"/>
      <c r="N445" s="155"/>
      <c r="O445" s="148">
        <v>44627</v>
      </c>
      <c r="P445" s="149">
        <v>76.5</v>
      </c>
      <c r="Q445" s="149">
        <v>76.5</v>
      </c>
      <c r="R445" s="149">
        <v>74.5</v>
      </c>
      <c r="S445" s="149">
        <v>75</v>
      </c>
      <c r="T445" s="150">
        <v>62660</v>
      </c>
      <c r="U445" s="151">
        <v>4707446.0999999996</v>
      </c>
      <c r="V445" s="149">
        <v>67</v>
      </c>
      <c r="Z445" s="1">
        <v>44505</v>
      </c>
      <c r="AA445">
        <v>71.900000000000006</v>
      </c>
      <c r="AB445">
        <v>44185</v>
      </c>
      <c r="AC445">
        <v>60884</v>
      </c>
      <c r="AF445" s="1">
        <v>44505</v>
      </c>
      <c r="AG445">
        <v>79.97</v>
      </c>
      <c r="AJ445" s="156">
        <f t="shared" si="6"/>
        <v>0.10091284231586836</v>
      </c>
    </row>
    <row r="446" spans="1:36" x14ac:dyDescent="0.3">
      <c r="A446" s="152">
        <v>44624</v>
      </c>
      <c r="B446" s="153">
        <v>81.900000000000006</v>
      </c>
      <c r="C446" s="153">
        <v>81.900000000000006</v>
      </c>
      <c r="D446" s="153">
        <v>81</v>
      </c>
      <c r="E446" s="153">
        <v>81.3</v>
      </c>
      <c r="F446" s="154">
        <v>30021</v>
      </c>
      <c r="G446" s="155">
        <v>2440814.9</v>
      </c>
      <c r="H446" s="153">
        <v>66</v>
      </c>
      <c r="I446" s="155"/>
      <c r="J446" s="155"/>
      <c r="K446" s="155"/>
      <c r="L446" s="155"/>
      <c r="M446" s="155"/>
      <c r="N446" s="155"/>
      <c r="O446" s="148">
        <v>44624</v>
      </c>
      <c r="P446" s="149">
        <v>76.5</v>
      </c>
      <c r="Q446" s="149">
        <v>76.5</v>
      </c>
      <c r="R446" s="149">
        <v>75.900000000000006</v>
      </c>
      <c r="S446" s="149">
        <v>76</v>
      </c>
      <c r="T446" s="150">
        <v>5749</v>
      </c>
      <c r="U446" s="151">
        <v>438017.9</v>
      </c>
      <c r="V446" s="149">
        <v>56</v>
      </c>
      <c r="Z446" s="1">
        <v>44503</v>
      </c>
      <c r="AA446">
        <v>72.349999999999994</v>
      </c>
      <c r="AB446">
        <v>85837</v>
      </c>
      <c r="AC446">
        <v>58887</v>
      </c>
      <c r="AF446" s="1">
        <v>44503</v>
      </c>
      <c r="AG446">
        <v>80.88</v>
      </c>
      <c r="AJ446" s="156">
        <f t="shared" si="6"/>
        <v>0.10546488625123641</v>
      </c>
    </row>
    <row r="447" spans="1:36" x14ac:dyDescent="0.3">
      <c r="A447" s="152">
        <v>44623</v>
      </c>
      <c r="B447" s="153">
        <v>81.3</v>
      </c>
      <c r="C447" s="153">
        <v>82.2</v>
      </c>
      <c r="D447" s="153">
        <v>81.099999999999994</v>
      </c>
      <c r="E447" s="153">
        <v>81.3</v>
      </c>
      <c r="F447" s="154">
        <v>284397</v>
      </c>
      <c r="G447" s="155">
        <v>23308959.199999999</v>
      </c>
      <c r="H447" s="153">
        <v>96</v>
      </c>
      <c r="I447" s="155"/>
      <c r="J447" s="155"/>
      <c r="K447" s="155"/>
      <c r="L447" s="155"/>
      <c r="M447" s="155"/>
      <c r="N447" s="155"/>
      <c r="O447" s="148">
        <v>44623</v>
      </c>
      <c r="P447" s="149">
        <v>76.8</v>
      </c>
      <c r="Q447" s="149">
        <v>76.8</v>
      </c>
      <c r="R447" s="149">
        <v>76.3</v>
      </c>
      <c r="S447" s="149">
        <v>76.3</v>
      </c>
      <c r="T447" s="150">
        <v>13839</v>
      </c>
      <c r="U447" s="151">
        <v>1059483</v>
      </c>
      <c r="V447" s="149">
        <v>29</v>
      </c>
      <c r="Z447" s="1">
        <v>44502</v>
      </c>
      <c r="AA447">
        <v>71.989999999999995</v>
      </c>
      <c r="AB447">
        <v>135485</v>
      </c>
      <c r="AC447">
        <v>54251</v>
      </c>
      <c r="AF447" s="1">
        <v>44502</v>
      </c>
      <c r="AG447">
        <v>80.430000000000007</v>
      </c>
      <c r="AJ447" s="156">
        <f t="shared" si="6"/>
        <v>0.10493596916573432</v>
      </c>
    </row>
    <row r="448" spans="1:36" x14ac:dyDescent="0.3">
      <c r="A448" s="152">
        <v>44622</v>
      </c>
      <c r="B448" s="153">
        <v>82.5</v>
      </c>
      <c r="C448" s="153">
        <v>83</v>
      </c>
      <c r="D448" s="153">
        <v>81</v>
      </c>
      <c r="E448" s="153">
        <v>81.3</v>
      </c>
      <c r="F448" s="154">
        <v>188977</v>
      </c>
      <c r="G448" s="155">
        <v>15377766.4</v>
      </c>
      <c r="H448" s="153">
        <v>136</v>
      </c>
      <c r="I448" s="155"/>
      <c r="J448" s="155"/>
      <c r="K448" s="155"/>
      <c r="L448" s="155"/>
      <c r="M448" s="155"/>
      <c r="N448" s="155"/>
      <c r="O448" s="148">
        <v>44622</v>
      </c>
      <c r="P448" s="149">
        <v>77.5</v>
      </c>
      <c r="Q448" s="149">
        <v>77.5</v>
      </c>
      <c r="R448" s="149">
        <v>76</v>
      </c>
      <c r="S448" s="149">
        <v>76.599999999999994</v>
      </c>
      <c r="T448" s="150">
        <v>41176</v>
      </c>
      <c r="U448" s="151">
        <v>3151319.4</v>
      </c>
      <c r="V448" s="149">
        <v>92</v>
      </c>
      <c r="Z448" s="1">
        <v>44501</v>
      </c>
      <c r="AA448">
        <v>70.73</v>
      </c>
      <c r="AB448">
        <v>68084</v>
      </c>
      <c r="AC448">
        <v>46481</v>
      </c>
      <c r="AF448" s="1">
        <v>44501</v>
      </c>
      <c r="AG448">
        <v>80.52</v>
      </c>
      <c r="AJ448" s="156">
        <f t="shared" si="6"/>
        <v>0.12158469945355183</v>
      </c>
    </row>
    <row r="449" spans="1:36" x14ac:dyDescent="0.3">
      <c r="A449" s="152">
        <v>44620</v>
      </c>
      <c r="B449" s="153">
        <v>82</v>
      </c>
      <c r="C449" s="153">
        <v>82.5</v>
      </c>
      <c r="D449" s="153">
        <v>79.8</v>
      </c>
      <c r="E449" s="153">
        <v>81.900000000000006</v>
      </c>
      <c r="F449" s="154">
        <v>1373924</v>
      </c>
      <c r="G449" s="155">
        <v>111439914</v>
      </c>
      <c r="H449" s="153">
        <v>309</v>
      </c>
      <c r="I449" s="155"/>
      <c r="J449" s="155"/>
      <c r="K449" s="155"/>
      <c r="L449" s="155"/>
      <c r="M449" s="155"/>
      <c r="N449" s="155"/>
      <c r="O449" s="148">
        <v>44620</v>
      </c>
      <c r="P449" s="149">
        <v>77</v>
      </c>
      <c r="Q449" s="149">
        <v>77.900000000000006</v>
      </c>
      <c r="R449" s="149">
        <v>76.400000000000006</v>
      </c>
      <c r="S449" s="149">
        <v>77.5</v>
      </c>
      <c r="T449" s="150">
        <v>98509</v>
      </c>
      <c r="U449" s="151">
        <v>7589998.4000000004</v>
      </c>
      <c r="V449" s="149">
        <v>75</v>
      </c>
      <c r="Z449" s="1">
        <v>44498</v>
      </c>
      <c r="AA449">
        <v>71.09</v>
      </c>
      <c r="AB449">
        <v>42403</v>
      </c>
      <c r="AC449">
        <v>53713</v>
      </c>
      <c r="AF449" s="1">
        <v>44498</v>
      </c>
      <c r="AG449">
        <v>80.88</v>
      </c>
      <c r="AJ449" s="156">
        <f t="shared" si="6"/>
        <v>0.12104352126607311</v>
      </c>
    </row>
    <row r="450" spans="1:36" x14ac:dyDescent="0.3">
      <c r="A450" s="152">
        <v>44617</v>
      </c>
      <c r="B450" s="153">
        <v>79</v>
      </c>
      <c r="C450" s="153">
        <v>80.5</v>
      </c>
      <c r="D450" s="153">
        <v>78.5</v>
      </c>
      <c r="E450" s="153">
        <v>80.099999999999994</v>
      </c>
      <c r="F450" s="154">
        <v>4350230</v>
      </c>
      <c r="G450" s="155">
        <v>343709084.30000001</v>
      </c>
      <c r="H450" s="153">
        <v>228</v>
      </c>
      <c r="I450" s="155"/>
      <c r="J450" s="155"/>
      <c r="K450" s="155"/>
      <c r="L450" s="155"/>
      <c r="M450" s="155"/>
      <c r="N450" s="155"/>
      <c r="O450" s="148">
        <v>44617</v>
      </c>
      <c r="P450" s="149">
        <v>75</v>
      </c>
      <c r="Q450" s="149">
        <v>76.8</v>
      </c>
      <c r="R450" s="149">
        <v>73.599999999999994</v>
      </c>
      <c r="S450" s="149">
        <v>75.599999999999994</v>
      </c>
      <c r="T450" s="150">
        <v>110587</v>
      </c>
      <c r="U450" s="151">
        <v>8287936.2000000002</v>
      </c>
      <c r="V450" s="149">
        <v>77</v>
      </c>
      <c r="Z450" s="1">
        <v>44497</v>
      </c>
      <c r="AA450">
        <v>71.36</v>
      </c>
      <c r="AB450">
        <v>14731</v>
      </c>
      <c r="AC450">
        <v>89678</v>
      </c>
      <c r="AF450" s="1">
        <v>44497</v>
      </c>
      <c r="AG450">
        <v>80.34</v>
      </c>
      <c r="AJ450" s="156">
        <f t="shared" si="6"/>
        <v>0.11177495643515066</v>
      </c>
    </row>
    <row r="451" spans="1:36" x14ac:dyDescent="0.3">
      <c r="A451" s="152">
        <v>44616</v>
      </c>
      <c r="B451" s="153">
        <v>79.5</v>
      </c>
      <c r="C451" s="153">
        <v>80.8</v>
      </c>
      <c r="D451" s="153">
        <v>78.5</v>
      </c>
      <c r="E451" s="153">
        <v>78.900000000000006</v>
      </c>
      <c r="F451" s="154">
        <v>154523</v>
      </c>
      <c r="G451" s="155">
        <v>12246772.5</v>
      </c>
      <c r="H451" s="153">
        <v>150</v>
      </c>
      <c r="I451" s="155"/>
      <c r="J451" s="155"/>
      <c r="K451" s="155"/>
      <c r="L451" s="155"/>
      <c r="M451" s="155"/>
      <c r="N451" s="155"/>
      <c r="O451" s="148">
        <v>44616</v>
      </c>
      <c r="P451" s="149">
        <v>76.5</v>
      </c>
      <c r="Q451" s="149">
        <v>76.5</v>
      </c>
      <c r="R451" s="149">
        <v>74.5</v>
      </c>
      <c r="S451" s="149">
        <v>74.7</v>
      </c>
      <c r="T451" s="150">
        <v>46442</v>
      </c>
      <c r="U451" s="151">
        <v>3483232.6</v>
      </c>
      <c r="V451" s="149">
        <v>71</v>
      </c>
      <c r="Z451" s="1">
        <v>44496</v>
      </c>
      <c r="AA451">
        <v>71.45</v>
      </c>
      <c r="AB451">
        <v>115312</v>
      </c>
      <c r="AC451">
        <v>91234</v>
      </c>
      <c r="AF451" s="1">
        <v>44496</v>
      </c>
      <c r="AG451">
        <v>79.7</v>
      </c>
      <c r="AJ451" s="156">
        <f t="shared" si="6"/>
        <v>0.10351317440401506</v>
      </c>
    </row>
    <row r="452" spans="1:36" x14ac:dyDescent="0.3">
      <c r="A452" s="152">
        <v>44615</v>
      </c>
      <c r="B452" s="153">
        <v>81</v>
      </c>
      <c r="C452" s="153">
        <v>81</v>
      </c>
      <c r="D452" s="153">
        <v>78.599999999999994</v>
      </c>
      <c r="E452" s="153">
        <v>80</v>
      </c>
      <c r="F452" s="154">
        <v>128860</v>
      </c>
      <c r="G452" s="155">
        <v>10226326.9</v>
      </c>
      <c r="H452" s="153">
        <v>183</v>
      </c>
      <c r="I452" s="155"/>
      <c r="J452" s="155"/>
      <c r="K452" s="155"/>
      <c r="L452" s="155"/>
      <c r="M452" s="155"/>
      <c r="N452" s="155"/>
      <c r="O452" s="148">
        <v>44615</v>
      </c>
      <c r="P452" s="149">
        <v>76.599999999999994</v>
      </c>
      <c r="Q452" s="149">
        <v>76.599999999999994</v>
      </c>
      <c r="R452" s="149">
        <v>75</v>
      </c>
      <c r="S452" s="149">
        <v>75.5</v>
      </c>
      <c r="T452" s="150">
        <v>57206</v>
      </c>
      <c r="U452" s="151">
        <v>4336767.3</v>
      </c>
      <c r="V452" s="149">
        <v>78</v>
      </c>
      <c r="Z452" s="1">
        <v>44495</v>
      </c>
      <c r="AA452">
        <v>70.55</v>
      </c>
      <c r="AB452">
        <v>47028</v>
      </c>
      <c r="AC452">
        <v>86090</v>
      </c>
      <c r="AF452" s="1">
        <v>44495</v>
      </c>
      <c r="AG452">
        <v>78.97</v>
      </c>
      <c r="AJ452" s="156">
        <f t="shared" si="6"/>
        <v>0.10662276813979994</v>
      </c>
    </row>
    <row r="453" spans="1:36" x14ac:dyDescent="0.3">
      <c r="A453" s="152">
        <v>44614</v>
      </c>
      <c r="B453" s="153">
        <v>79.5</v>
      </c>
      <c r="C453" s="153">
        <v>81.400000000000006</v>
      </c>
      <c r="D453" s="153">
        <v>79.2</v>
      </c>
      <c r="E453" s="153">
        <v>81</v>
      </c>
      <c r="F453" s="154">
        <v>57157</v>
      </c>
      <c r="G453" s="155">
        <v>4574054.5</v>
      </c>
      <c r="H453" s="153">
        <v>100</v>
      </c>
      <c r="I453" s="155"/>
      <c r="J453" s="155"/>
      <c r="K453" s="155"/>
      <c r="L453" s="155"/>
      <c r="M453" s="155"/>
      <c r="N453" s="155"/>
      <c r="O453" s="148">
        <v>44614</v>
      </c>
      <c r="P453" s="149">
        <v>76.8</v>
      </c>
      <c r="Q453" s="149">
        <v>77.400000000000006</v>
      </c>
      <c r="R453" s="149">
        <v>76.5</v>
      </c>
      <c r="S453" s="149">
        <v>76.7</v>
      </c>
      <c r="T453" s="150">
        <v>31406</v>
      </c>
      <c r="U453" s="151">
        <v>2411685.5</v>
      </c>
      <c r="V453" s="149">
        <v>47</v>
      </c>
      <c r="Z453" s="1">
        <v>44494</v>
      </c>
      <c r="AA453">
        <v>71</v>
      </c>
      <c r="AB453">
        <v>24027</v>
      </c>
      <c r="AC453">
        <v>85211</v>
      </c>
      <c r="AF453" s="1">
        <v>44494</v>
      </c>
      <c r="AG453">
        <v>79.88</v>
      </c>
      <c r="AJ453" s="156">
        <f t="shared" si="6"/>
        <v>0.11116675012518773</v>
      </c>
    </row>
    <row r="454" spans="1:36" x14ac:dyDescent="0.3">
      <c r="A454" s="152">
        <v>44613</v>
      </c>
      <c r="B454" s="153">
        <v>81.599999999999994</v>
      </c>
      <c r="C454" s="153">
        <v>82</v>
      </c>
      <c r="D454" s="153">
        <v>79.099999999999994</v>
      </c>
      <c r="E454" s="153">
        <v>80.099999999999994</v>
      </c>
      <c r="F454" s="154">
        <v>162080</v>
      </c>
      <c r="G454" s="155">
        <v>13060778.300000001</v>
      </c>
      <c r="H454" s="153">
        <v>169</v>
      </c>
      <c r="I454" s="155"/>
      <c r="J454" s="155"/>
      <c r="K454" s="155"/>
      <c r="L454" s="155"/>
      <c r="M454" s="155"/>
      <c r="N454" s="155"/>
      <c r="O454" s="148">
        <v>44613</v>
      </c>
      <c r="P454" s="149">
        <v>77.2</v>
      </c>
      <c r="Q454" s="149">
        <v>77.400000000000006</v>
      </c>
      <c r="R454" s="149">
        <v>76.8</v>
      </c>
      <c r="S454" s="149">
        <v>76.8</v>
      </c>
      <c r="T454" s="150">
        <v>24281</v>
      </c>
      <c r="U454" s="151">
        <v>1870907.4</v>
      </c>
      <c r="V454" s="149">
        <v>65</v>
      </c>
      <c r="Z454" s="1">
        <v>44491</v>
      </c>
      <c r="AA454">
        <v>71.09</v>
      </c>
      <c r="AB454">
        <v>20684</v>
      </c>
      <c r="AC454">
        <v>102863</v>
      </c>
      <c r="AF454" s="1">
        <v>44491</v>
      </c>
      <c r="AG454">
        <v>80.34</v>
      </c>
      <c r="AJ454" s="156">
        <f t="shared" ref="AJ454:AJ517" si="7">(AG454-AA454)/AG454</f>
        <v>0.11513567338810057</v>
      </c>
    </row>
    <row r="455" spans="1:36" x14ac:dyDescent="0.3">
      <c r="A455" s="152">
        <v>44610</v>
      </c>
      <c r="B455" s="153">
        <v>82.1</v>
      </c>
      <c r="C455" s="153">
        <v>82.1</v>
      </c>
      <c r="D455" s="153">
        <v>81.5</v>
      </c>
      <c r="E455" s="153">
        <v>81.599999999999994</v>
      </c>
      <c r="F455" s="154">
        <v>63171</v>
      </c>
      <c r="G455" s="155">
        <v>5159116.2</v>
      </c>
      <c r="H455" s="153">
        <v>107</v>
      </c>
      <c r="I455" s="155"/>
      <c r="J455" s="155"/>
      <c r="K455" s="155"/>
      <c r="L455" s="155"/>
      <c r="M455" s="155"/>
      <c r="N455" s="155"/>
      <c r="O455" s="148">
        <v>44610</v>
      </c>
      <c r="P455" s="149">
        <v>77.5</v>
      </c>
      <c r="Q455" s="149">
        <v>77.5</v>
      </c>
      <c r="R455" s="149">
        <v>76</v>
      </c>
      <c r="S455" s="149">
        <v>77.099999999999994</v>
      </c>
      <c r="T455" s="150">
        <v>17700</v>
      </c>
      <c r="U455" s="151">
        <v>1352069.3</v>
      </c>
      <c r="V455" s="149">
        <v>29</v>
      </c>
      <c r="Z455" s="1">
        <v>44490</v>
      </c>
      <c r="AA455">
        <v>70.73</v>
      </c>
      <c r="AB455">
        <v>10292</v>
      </c>
      <c r="AC455">
        <v>107852</v>
      </c>
      <c r="AF455" s="1">
        <v>44490</v>
      </c>
      <c r="AG455">
        <v>80.069999999999993</v>
      </c>
      <c r="AJ455" s="156">
        <f t="shared" si="7"/>
        <v>0.11664793305857363</v>
      </c>
    </row>
    <row r="456" spans="1:36" x14ac:dyDescent="0.3">
      <c r="A456" s="152">
        <v>44609</v>
      </c>
      <c r="B456" s="153">
        <v>81</v>
      </c>
      <c r="C456" s="153">
        <v>82.9</v>
      </c>
      <c r="D456" s="153">
        <v>80.3</v>
      </c>
      <c r="E456" s="153">
        <v>82.1</v>
      </c>
      <c r="F456" s="154">
        <v>97832</v>
      </c>
      <c r="G456" s="155">
        <v>7999860.5999999996</v>
      </c>
      <c r="H456" s="153">
        <v>143</v>
      </c>
      <c r="I456" s="155"/>
      <c r="J456" s="155"/>
      <c r="K456" s="155"/>
      <c r="L456" s="155"/>
      <c r="M456" s="155"/>
      <c r="N456" s="155"/>
      <c r="O456" s="148">
        <v>44609</v>
      </c>
      <c r="P456" s="149">
        <v>76</v>
      </c>
      <c r="Q456" s="149">
        <v>77.5</v>
      </c>
      <c r="R456" s="149">
        <v>76</v>
      </c>
      <c r="S456" s="149">
        <v>77.400000000000006</v>
      </c>
      <c r="T456" s="150">
        <v>75906</v>
      </c>
      <c r="U456" s="151">
        <v>5858871.7999999998</v>
      </c>
      <c r="V456" s="149">
        <v>54</v>
      </c>
      <c r="Z456" s="1">
        <v>44487</v>
      </c>
      <c r="AA456">
        <v>70.64</v>
      </c>
      <c r="AB456">
        <v>44348</v>
      </c>
      <c r="AC456">
        <v>109287</v>
      </c>
      <c r="AF456" s="1">
        <v>44487</v>
      </c>
      <c r="AG456">
        <v>78.88</v>
      </c>
      <c r="AJ456" s="156">
        <f t="shared" si="7"/>
        <v>0.10446247464503036</v>
      </c>
    </row>
    <row r="457" spans="1:36" x14ac:dyDescent="0.3">
      <c r="A457" s="152">
        <v>44607</v>
      </c>
      <c r="B457" s="153">
        <v>80</v>
      </c>
      <c r="C457" s="153">
        <v>81.900000000000006</v>
      </c>
      <c r="D457" s="153">
        <v>79.900000000000006</v>
      </c>
      <c r="E457" s="153">
        <v>80.099999999999994</v>
      </c>
      <c r="F457" s="154">
        <v>57414</v>
      </c>
      <c r="G457" s="155">
        <v>4594281</v>
      </c>
      <c r="H457" s="153">
        <v>66</v>
      </c>
      <c r="I457" s="155"/>
      <c r="J457" s="155"/>
      <c r="K457" s="155"/>
      <c r="L457" s="155"/>
      <c r="M457" s="155"/>
      <c r="N457" s="155"/>
      <c r="O457" s="148">
        <v>44607</v>
      </c>
      <c r="P457" s="149">
        <v>75.400000000000006</v>
      </c>
      <c r="Q457" s="149">
        <v>75.599999999999994</v>
      </c>
      <c r="R457" s="149">
        <v>75.400000000000006</v>
      </c>
      <c r="S457" s="149">
        <v>75.5</v>
      </c>
      <c r="T457" s="150">
        <v>12053</v>
      </c>
      <c r="U457" s="151">
        <v>909903.4</v>
      </c>
      <c r="V457" s="149">
        <v>14</v>
      </c>
      <c r="Z457" s="1">
        <v>44484</v>
      </c>
      <c r="AA457">
        <v>70.28</v>
      </c>
      <c r="AB457">
        <v>40392</v>
      </c>
      <c r="AC457">
        <v>110758</v>
      </c>
      <c r="AF457" s="1">
        <v>44484</v>
      </c>
      <c r="AG457">
        <v>78.25</v>
      </c>
      <c r="AJ457" s="156">
        <f t="shared" si="7"/>
        <v>0.10185303514376995</v>
      </c>
    </row>
    <row r="458" spans="1:36" x14ac:dyDescent="0.3">
      <c r="A458" s="152">
        <v>44606</v>
      </c>
      <c r="B458" s="153">
        <v>80.5</v>
      </c>
      <c r="C458" s="153">
        <v>81</v>
      </c>
      <c r="D458" s="153">
        <v>79</v>
      </c>
      <c r="E458" s="153">
        <v>79</v>
      </c>
      <c r="F458" s="154">
        <v>331196</v>
      </c>
      <c r="G458" s="155">
        <v>26223777.5</v>
      </c>
      <c r="H458" s="153">
        <v>167</v>
      </c>
      <c r="I458" s="155"/>
      <c r="J458" s="155"/>
      <c r="K458" s="155"/>
      <c r="L458" s="155"/>
      <c r="M458" s="155"/>
      <c r="N458" s="155"/>
      <c r="O458" s="148">
        <v>44606</v>
      </c>
      <c r="P458" s="149">
        <v>76.7</v>
      </c>
      <c r="Q458" s="149">
        <v>76.900000000000006</v>
      </c>
      <c r="R458" s="149">
        <v>75</v>
      </c>
      <c r="S458" s="149">
        <v>75.400000000000006</v>
      </c>
      <c r="T458" s="150">
        <v>6197</v>
      </c>
      <c r="U458" s="151">
        <v>467933.1</v>
      </c>
      <c r="V458" s="149">
        <v>31</v>
      </c>
      <c r="Z458" s="1">
        <v>44483</v>
      </c>
      <c r="AA458">
        <v>69.650000000000006</v>
      </c>
      <c r="AB458">
        <v>212368</v>
      </c>
      <c r="AC458">
        <v>108819</v>
      </c>
      <c r="AF458" s="1">
        <v>44483</v>
      </c>
      <c r="AG458">
        <v>78.06</v>
      </c>
      <c r="AJ458" s="156">
        <f t="shared" si="7"/>
        <v>0.10773763771457848</v>
      </c>
    </row>
    <row r="459" spans="1:36" x14ac:dyDescent="0.3">
      <c r="A459" s="152">
        <v>44603</v>
      </c>
      <c r="B459" s="153">
        <v>79</v>
      </c>
      <c r="C459" s="153">
        <v>80.400000000000006</v>
      </c>
      <c r="D459" s="153">
        <v>79</v>
      </c>
      <c r="E459" s="153">
        <v>79.900000000000006</v>
      </c>
      <c r="F459" s="154">
        <v>31138</v>
      </c>
      <c r="G459" s="155">
        <v>2489126.9</v>
      </c>
      <c r="H459" s="153">
        <v>75</v>
      </c>
      <c r="I459" s="155"/>
      <c r="J459" s="155"/>
      <c r="K459" s="155"/>
      <c r="L459" s="155"/>
      <c r="M459" s="155"/>
      <c r="N459" s="155"/>
      <c r="O459" s="148">
        <v>44603</v>
      </c>
      <c r="P459" s="149">
        <v>74.5</v>
      </c>
      <c r="Q459" s="149">
        <v>76.900000000000006</v>
      </c>
      <c r="R459" s="149">
        <v>74.5</v>
      </c>
      <c r="S459" s="149">
        <v>75.8</v>
      </c>
      <c r="T459" s="150">
        <v>28430</v>
      </c>
      <c r="U459" s="151">
        <v>2132221</v>
      </c>
      <c r="V459" s="149">
        <v>39</v>
      </c>
      <c r="Z459" s="1">
        <v>44482</v>
      </c>
      <c r="AA459">
        <v>70.19</v>
      </c>
      <c r="AB459">
        <v>8081</v>
      </c>
      <c r="AC459">
        <v>96534</v>
      </c>
      <c r="AF459" s="1">
        <v>44482</v>
      </c>
      <c r="AG459">
        <v>77.97</v>
      </c>
      <c r="AJ459" s="156">
        <f t="shared" si="7"/>
        <v>9.9781967423367979E-2</v>
      </c>
    </row>
    <row r="460" spans="1:36" x14ac:dyDescent="0.3">
      <c r="A460" s="152">
        <v>44602</v>
      </c>
      <c r="B460" s="153">
        <v>79.599999999999994</v>
      </c>
      <c r="C460" s="153">
        <v>81</v>
      </c>
      <c r="D460" s="153">
        <v>78.2</v>
      </c>
      <c r="E460" s="153">
        <v>79.900000000000006</v>
      </c>
      <c r="F460" s="154">
        <v>118292</v>
      </c>
      <c r="G460" s="155">
        <v>9345047.9000000004</v>
      </c>
      <c r="H460" s="153">
        <v>184</v>
      </c>
      <c r="I460" s="155"/>
      <c r="J460" s="155"/>
      <c r="K460" s="155"/>
      <c r="L460" s="155"/>
      <c r="M460" s="155"/>
      <c r="N460" s="155"/>
      <c r="O460" s="148">
        <v>44602</v>
      </c>
      <c r="P460" s="149">
        <v>75.099999999999994</v>
      </c>
      <c r="Q460" s="149">
        <v>76.2</v>
      </c>
      <c r="R460" s="149">
        <v>74</v>
      </c>
      <c r="S460" s="149">
        <v>74.900000000000006</v>
      </c>
      <c r="T460" s="150">
        <v>106424</v>
      </c>
      <c r="U460" s="151">
        <v>7895587.7000000002</v>
      </c>
      <c r="V460" s="149">
        <v>71</v>
      </c>
      <c r="Z460" s="1">
        <v>44481</v>
      </c>
      <c r="AA460">
        <v>70.91</v>
      </c>
      <c r="AB460">
        <v>14226</v>
      </c>
      <c r="AC460">
        <v>96260</v>
      </c>
      <c r="AF460" s="1">
        <v>44481</v>
      </c>
      <c r="AG460">
        <v>80.61</v>
      </c>
      <c r="AJ460" s="156">
        <f t="shared" si="7"/>
        <v>0.12033246495472029</v>
      </c>
    </row>
    <row r="461" spans="1:36" x14ac:dyDescent="0.3">
      <c r="A461" s="152">
        <v>44601</v>
      </c>
      <c r="B461" s="153">
        <v>80.5</v>
      </c>
      <c r="C461" s="153">
        <v>81</v>
      </c>
      <c r="D461" s="153">
        <v>79.599999999999994</v>
      </c>
      <c r="E461" s="153">
        <v>79.8</v>
      </c>
      <c r="F461" s="154">
        <v>407832</v>
      </c>
      <c r="G461" s="155">
        <v>32778433.199999999</v>
      </c>
      <c r="H461" s="153">
        <v>148</v>
      </c>
      <c r="I461" s="155"/>
      <c r="J461" s="155"/>
      <c r="K461" s="155"/>
      <c r="L461" s="155"/>
      <c r="M461" s="155"/>
      <c r="N461" s="155"/>
      <c r="O461" s="148">
        <v>44601</v>
      </c>
      <c r="P461" s="149">
        <v>76</v>
      </c>
      <c r="Q461" s="149">
        <v>76.3</v>
      </c>
      <c r="R461" s="149">
        <v>75</v>
      </c>
      <c r="S461" s="149">
        <v>75.7</v>
      </c>
      <c r="T461" s="150">
        <v>104334</v>
      </c>
      <c r="U461" s="151">
        <v>7899627</v>
      </c>
      <c r="V461" s="149">
        <v>68</v>
      </c>
      <c r="Z461" s="1">
        <v>44480</v>
      </c>
      <c r="AA461">
        <v>70.73</v>
      </c>
      <c r="AB461">
        <v>16308</v>
      </c>
      <c r="AC461">
        <v>95708</v>
      </c>
      <c r="AF461" s="1">
        <v>44480</v>
      </c>
      <c r="AG461">
        <v>79.16</v>
      </c>
      <c r="AJ461" s="156">
        <f t="shared" si="7"/>
        <v>0.10649317837291553</v>
      </c>
    </row>
    <row r="462" spans="1:36" x14ac:dyDescent="0.3">
      <c r="A462" s="152">
        <v>44600</v>
      </c>
      <c r="B462" s="153">
        <v>82.5</v>
      </c>
      <c r="C462" s="153">
        <v>82.5</v>
      </c>
      <c r="D462" s="153">
        <v>80.2</v>
      </c>
      <c r="E462" s="153">
        <v>80.5</v>
      </c>
      <c r="F462" s="154">
        <v>454697</v>
      </c>
      <c r="G462" s="155">
        <v>36612240.399999999</v>
      </c>
      <c r="H462" s="153">
        <v>149</v>
      </c>
      <c r="I462" s="155"/>
      <c r="J462" s="155"/>
      <c r="K462" s="155"/>
      <c r="L462" s="155"/>
      <c r="M462" s="155"/>
      <c r="N462" s="155"/>
      <c r="O462" s="148">
        <v>44600</v>
      </c>
      <c r="P462" s="149">
        <v>76</v>
      </c>
      <c r="Q462" s="149">
        <v>77</v>
      </c>
      <c r="R462" s="149">
        <v>75.599999999999994</v>
      </c>
      <c r="S462" s="149">
        <v>76.3</v>
      </c>
      <c r="T462" s="150">
        <v>35567</v>
      </c>
      <c r="U462" s="151">
        <v>2702802.6</v>
      </c>
      <c r="V462" s="149">
        <v>57</v>
      </c>
      <c r="Z462" s="1">
        <v>44477</v>
      </c>
      <c r="AA462">
        <v>71</v>
      </c>
      <c r="AB462">
        <v>18924</v>
      </c>
      <c r="AC462">
        <v>95287</v>
      </c>
      <c r="AF462" s="1">
        <v>44477</v>
      </c>
      <c r="AG462">
        <v>81.790000000000006</v>
      </c>
      <c r="AJ462" s="156">
        <f t="shared" si="7"/>
        <v>0.13192321799731024</v>
      </c>
    </row>
    <row r="463" spans="1:36" x14ac:dyDescent="0.3">
      <c r="A463" s="152">
        <v>44599</v>
      </c>
      <c r="B463" s="153">
        <v>82.2</v>
      </c>
      <c r="C463" s="153">
        <v>82.2</v>
      </c>
      <c r="D463" s="153">
        <v>80</v>
      </c>
      <c r="E463" s="153">
        <v>80.599999999999994</v>
      </c>
      <c r="F463" s="154">
        <v>310593</v>
      </c>
      <c r="G463" s="155">
        <v>25153988.300000001</v>
      </c>
      <c r="H463" s="153">
        <v>200</v>
      </c>
      <c r="I463" s="155"/>
      <c r="J463" s="155"/>
      <c r="K463" s="155"/>
      <c r="L463" s="155"/>
      <c r="M463" s="155"/>
      <c r="N463" s="155"/>
      <c r="O463" s="148">
        <v>44599</v>
      </c>
      <c r="P463" s="149">
        <v>76</v>
      </c>
      <c r="Q463" s="149">
        <v>76.5</v>
      </c>
      <c r="R463" s="149">
        <v>75.7</v>
      </c>
      <c r="S463" s="149">
        <v>76</v>
      </c>
      <c r="T463" s="150">
        <v>12757</v>
      </c>
      <c r="U463" s="151">
        <v>969515.6</v>
      </c>
      <c r="V463" s="149">
        <v>33</v>
      </c>
      <c r="Z463" s="1">
        <v>44476</v>
      </c>
      <c r="AA463">
        <v>71.900000000000006</v>
      </c>
      <c r="AB463">
        <v>176573</v>
      </c>
      <c r="AC463">
        <v>97765</v>
      </c>
      <c r="AF463" s="1">
        <v>44476</v>
      </c>
      <c r="AG463">
        <v>82.25</v>
      </c>
      <c r="AJ463" s="156">
        <f t="shared" si="7"/>
        <v>0.12583586626139812</v>
      </c>
    </row>
    <row r="464" spans="1:36" x14ac:dyDescent="0.3">
      <c r="A464" s="152">
        <v>44595</v>
      </c>
      <c r="B464" s="153">
        <v>82</v>
      </c>
      <c r="C464" s="153">
        <v>82.5</v>
      </c>
      <c r="D464" s="153">
        <v>80</v>
      </c>
      <c r="E464" s="153">
        <v>82</v>
      </c>
      <c r="F464" s="154">
        <v>342882</v>
      </c>
      <c r="G464" s="155">
        <v>27969094.300000001</v>
      </c>
      <c r="H464" s="153">
        <v>139</v>
      </c>
      <c r="I464" s="155"/>
      <c r="J464" s="155"/>
      <c r="K464" s="155"/>
      <c r="L464" s="155"/>
      <c r="M464" s="155"/>
      <c r="N464" s="155"/>
      <c r="O464" s="148">
        <v>44595</v>
      </c>
      <c r="P464" s="149">
        <v>75.099999999999994</v>
      </c>
      <c r="Q464" s="149">
        <v>76.599999999999994</v>
      </c>
      <c r="R464" s="149">
        <v>74.5</v>
      </c>
      <c r="S464" s="149">
        <v>75.400000000000006</v>
      </c>
      <c r="T464" s="150">
        <v>113865</v>
      </c>
      <c r="U464" s="151">
        <v>8516009.4000000004</v>
      </c>
      <c r="V464" s="149">
        <v>42</v>
      </c>
      <c r="Z464" s="1">
        <v>44475</v>
      </c>
      <c r="AA464">
        <v>71.27</v>
      </c>
      <c r="AB464">
        <v>581869</v>
      </c>
      <c r="AC464">
        <v>87309</v>
      </c>
      <c r="AF464" s="1">
        <v>44475</v>
      </c>
      <c r="AG464">
        <v>81.7</v>
      </c>
      <c r="AJ464" s="156">
        <f t="shared" si="7"/>
        <v>0.12766217870257046</v>
      </c>
    </row>
    <row r="465" spans="1:36" x14ac:dyDescent="0.3">
      <c r="A465" s="152">
        <v>44594</v>
      </c>
      <c r="B465" s="153">
        <v>82.2</v>
      </c>
      <c r="C465" s="153">
        <v>82.4</v>
      </c>
      <c r="D465" s="153">
        <v>81.599999999999994</v>
      </c>
      <c r="E465" s="153">
        <v>82</v>
      </c>
      <c r="F465" s="154">
        <v>267664</v>
      </c>
      <c r="G465" s="155">
        <v>21935518.399999999</v>
      </c>
      <c r="H465" s="153">
        <v>106</v>
      </c>
      <c r="I465" s="155"/>
      <c r="J465" s="155"/>
      <c r="K465" s="155"/>
      <c r="L465" s="155"/>
      <c r="M465" s="155"/>
      <c r="N465" s="155"/>
      <c r="O465" s="148">
        <v>44594</v>
      </c>
      <c r="P465" s="149">
        <v>77.8</v>
      </c>
      <c r="Q465" s="149">
        <v>77.900000000000006</v>
      </c>
      <c r="R465" s="149">
        <v>75</v>
      </c>
      <c r="S465" s="149">
        <v>75.400000000000006</v>
      </c>
      <c r="T465" s="150">
        <v>49478</v>
      </c>
      <c r="U465" s="151">
        <v>3733632.5</v>
      </c>
      <c r="V465" s="149">
        <v>76</v>
      </c>
      <c r="Z465" s="1">
        <v>44474</v>
      </c>
      <c r="AA465">
        <v>69.739999999999995</v>
      </c>
      <c r="AB465">
        <v>38074</v>
      </c>
      <c r="AC465">
        <v>49402</v>
      </c>
      <c r="AF465" s="1">
        <v>44474</v>
      </c>
      <c r="AG465">
        <v>79.16</v>
      </c>
      <c r="AJ465" s="156">
        <f t="shared" si="7"/>
        <v>0.11899949469429007</v>
      </c>
    </row>
    <row r="466" spans="1:36" x14ac:dyDescent="0.3">
      <c r="A466" s="152">
        <v>44593</v>
      </c>
      <c r="B466" s="153">
        <v>82</v>
      </c>
      <c r="C466" s="153">
        <v>83</v>
      </c>
      <c r="D466" s="153">
        <v>81.5</v>
      </c>
      <c r="E466" s="153">
        <v>82.2</v>
      </c>
      <c r="F466" s="154">
        <v>58796</v>
      </c>
      <c r="G466" s="155">
        <v>4846450.2</v>
      </c>
      <c r="H466" s="153">
        <v>89</v>
      </c>
      <c r="I466" s="155"/>
      <c r="J466" s="155"/>
      <c r="K466" s="155"/>
      <c r="L466" s="155"/>
      <c r="M466" s="155"/>
      <c r="N466" s="155"/>
      <c r="O466" s="148">
        <v>44593</v>
      </c>
      <c r="P466" s="149">
        <v>76</v>
      </c>
      <c r="Q466" s="149">
        <v>78</v>
      </c>
      <c r="R466" s="149">
        <v>76</v>
      </c>
      <c r="S466" s="149">
        <v>76.7</v>
      </c>
      <c r="T466" s="150">
        <v>73536</v>
      </c>
      <c r="U466" s="151">
        <v>5680646.7000000002</v>
      </c>
      <c r="V466" s="149">
        <v>48</v>
      </c>
      <c r="Z466" s="1">
        <v>44473</v>
      </c>
      <c r="AA466">
        <v>68.94</v>
      </c>
      <c r="AB466">
        <v>38162</v>
      </c>
      <c r="AC466">
        <v>49695</v>
      </c>
      <c r="AF466" s="1">
        <v>44473</v>
      </c>
      <c r="AG466">
        <v>77.06</v>
      </c>
      <c r="AJ466" s="156">
        <f t="shared" si="7"/>
        <v>0.10537243706202964</v>
      </c>
    </row>
    <row r="467" spans="1:36" x14ac:dyDescent="0.3">
      <c r="A467" s="152">
        <v>44592</v>
      </c>
      <c r="B467" s="153">
        <v>82</v>
      </c>
      <c r="C467" s="153">
        <v>83</v>
      </c>
      <c r="D467" s="153">
        <v>82</v>
      </c>
      <c r="E467" s="153">
        <v>82.6</v>
      </c>
      <c r="F467" s="154">
        <v>133228</v>
      </c>
      <c r="G467" s="155">
        <v>10956255.9</v>
      </c>
      <c r="H467" s="153">
        <v>79</v>
      </c>
      <c r="I467" s="155"/>
      <c r="J467" s="155"/>
      <c r="K467" s="155"/>
      <c r="L467" s="155"/>
      <c r="M467" s="155"/>
      <c r="N467" s="155"/>
      <c r="O467" s="148">
        <v>44592</v>
      </c>
      <c r="P467" s="149">
        <v>76</v>
      </c>
      <c r="Q467" s="149">
        <v>76</v>
      </c>
      <c r="R467" s="149">
        <v>75</v>
      </c>
      <c r="S467" s="149">
        <v>75.7</v>
      </c>
      <c r="T467" s="150">
        <v>39586</v>
      </c>
      <c r="U467" s="151">
        <v>2978419.2</v>
      </c>
      <c r="V467" s="149">
        <v>39</v>
      </c>
      <c r="Z467" s="1">
        <v>44470</v>
      </c>
      <c r="AA467">
        <v>69.209999999999994</v>
      </c>
      <c r="AB467">
        <v>33834</v>
      </c>
      <c r="AC467">
        <v>48659</v>
      </c>
      <c r="AF467" s="1">
        <v>44470</v>
      </c>
      <c r="AG467">
        <v>77.34</v>
      </c>
      <c r="AJ467" s="156">
        <f t="shared" si="7"/>
        <v>0.10512024825446094</v>
      </c>
    </row>
    <row r="468" spans="1:36" x14ac:dyDescent="0.3">
      <c r="A468" s="152">
        <v>44589</v>
      </c>
      <c r="B468" s="153">
        <v>82</v>
      </c>
      <c r="C468" s="153">
        <v>82.9</v>
      </c>
      <c r="D468" s="153">
        <v>81.5</v>
      </c>
      <c r="E468" s="153">
        <v>81.599999999999994</v>
      </c>
      <c r="F468" s="154">
        <v>60805</v>
      </c>
      <c r="G468" s="155">
        <v>4998564.7</v>
      </c>
      <c r="H468" s="153">
        <v>75</v>
      </c>
      <c r="I468" s="155"/>
      <c r="J468" s="155"/>
      <c r="K468" s="155"/>
      <c r="L468" s="155"/>
      <c r="M468" s="155"/>
      <c r="N468" s="155"/>
      <c r="O468" s="148">
        <v>44589</v>
      </c>
      <c r="P468" s="149">
        <v>75.5</v>
      </c>
      <c r="Q468" s="149">
        <v>76</v>
      </c>
      <c r="R468" s="149">
        <v>75</v>
      </c>
      <c r="S468" s="149">
        <v>75.900000000000006</v>
      </c>
      <c r="T468" s="150">
        <v>18912</v>
      </c>
      <c r="U468" s="151">
        <v>1424525.9</v>
      </c>
      <c r="V468" s="149">
        <v>52</v>
      </c>
      <c r="Z468" s="1">
        <v>44469</v>
      </c>
      <c r="AA468">
        <v>68.31</v>
      </c>
      <c r="AB468">
        <v>288803</v>
      </c>
      <c r="AC468">
        <v>46610</v>
      </c>
      <c r="AF468" s="1">
        <v>44469</v>
      </c>
      <c r="AG468">
        <v>76.88</v>
      </c>
      <c r="AJ468" s="156">
        <f t="shared" si="7"/>
        <v>0.11147242455775226</v>
      </c>
    </row>
    <row r="469" spans="1:36" x14ac:dyDescent="0.3">
      <c r="A469" s="152">
        <v>44588</v>
      </c>
      <c r="B469" s="153">
        <v>82.7</v>
      </c>
      <c r="C469" s="153">
        <v>83.5</v>
      </c>
      <c r="D469" s="153">
        <v>82</v>
      </c>
      <c r="E469" s="153">
        <v>82.1</v>
      </c>
      <c r="F469" s="154">
        <v>256700</v>
      </c>
      <c r="G469" s="155">
        <v>21278110.100000001</v>
      </c>
      <c r="H469" s="153">
        <v>123</v>
      </c>
      <c r="I469" s="155"/>
      <c r="J469" s="155"/>
      <c r="K469" s="155"/>
      <c r="L469" s="155"/>
      <c r="M469" s="155"/>
      <c r="N469" s="155"/>
      <c r="O469" s="148">
        <v>44588</v>
      </c>
      <c r="P469" s="149">
        <v>75.2</v>
      </c>
      <c r="Q469" s="149">
        <v>76.400000000000006</v>
      </c>
      <c r="R469" s="149">
        <v>75.099999999999994</v>
      </c>
      <c r="S469" s="149">
        <v>75.400000000000006</v>
      </c>
      <c r="T469" s="150">
        <v>125452</v>
      </c>
      <c r="U469" s="151">
        <v>9443910.5999999996</v>
      </c>
      <c r="V469" s="149">
        <v>51</v>
      </c>
      <c r="Z469" s="1">
        <v>44468</v>
      </c>
      <c r="AA469">
        <v>68.849999999999994</v>
      </c>
      <c r="AB469">
        <v>95527</v>
      </c>
      <c r="AC469">
        <v>30343</v>
      </c>
      <c r="AF469" s="1">
        <v>44468</v>
      </c>
      <c r="AG469">
        <v>76.239999999999995</v>
      </c>
      <c r="AJ469" s="156">
        <f t="shared" si="7"/>
        <v>9.6930745015739783E-2</v>
      </c>
    </row>
    <row r="470" spans="1:36" x14ac:dyDescent="0.3">
      <c r="A470" s="152">
        <v>44587</v>
      </c>
      <c r="B470" s="153">
        <v>82.5</v>
      </c>
      <c r="C470" s="153">
        <v>83</v>
      </c>
      <c r="D470" s="153">
        <v>82</v>
      </c>
      <c r="E470" s="153">
        <v>82.1</v>
      </c>
      <c r="F470" s="154">
        <v>76042</v>
      </c>
      <c r="G470" s="155">
        <v>6254290</v>
      </c>
      <c r="H470" s="153">
        <v>90</v>
      </c>
      <c r="I470" s="155"/>
      <c r="J470" s="155"/>
      <c r="K470" s="155"/>
      <c r="L470" s="155"/>
      <c r="M470" s="155"/>
      <c r="N470" s="155"/>
      <c r="O470" s="148">
        <v>44587</v>
      </c>
      <c r="P470" s="149">
        <v>76.2</v>
      </c>
      <c r="Q470" s="149">
        <v>76.2</v>
      </c>
      <c r="R470" s="149">
        <v>75</v>
      </c>
      <c r="S470" s="149">
        <v>75.3</v>
      </c>
      <c r="T470" s="150">
        <v>27040</v>
      </c>
      <c r="U470" s="151">
        <v>2039652.4</v>
      </c>
      <c r="V470" s="149">
        <v>53</v>
      </c>
      <c r="Z470" s="1">
        <v>44467</v>
      </c>
      <c r="AA470">
        <v>69.209999999999994</v>
      </c>
      <c r="AB470">
        <v>31818</v>
      </c>
      <c r="AC470">
        <v>26248</v>
      </c>
      <c r="AF470" s="1">
        <v>44467</v>
      </c>
      <c r="AG470">
        <v>75.52</v>
      </c>
      <c r="AJ470" s="156">
        <f t="shared" si="7"/>
        <v>8.3554025423728848E-2</v>
      </c>
    </row>
    <row r="471" spans="1:36" x14ac:dyDescent="0.3">
      <c r="A471" s="152">
        <v>44586</v>
      </c>
      <c r="B471" s="153">
        <v>84.5</v>
      </c>
      <c r="C471" s="153">
        <v>84.5</v>
      </c>
      <c r="D471" s="153">
        <v>82.5</v>
      </c>
      <c r="E471" s="153">
        <v>82.8</v>
      </c>
      <c r="F471" s="154">
        <v>119329</v>
      </c>
      <c r="G471" s="155">
        <v>9928904.3000000007</v>
      </c>
      <c r="H471" s="153">
        <v>102</v>
      </c>
      <c r="I471" s="155"/>
      <c r="J471" s="155"/>
      <c r="K471" s="155"/>
      <c r="L471" s="155"/>
      <c r="M471" s="155"/>
      <c r="N471" s="155"/>
      <c r="O471" s="148">
        <v>44586</v>
      </c>
      <c r="P471" s="149">
        <v>78</v>
      </c>
      <c r="Q471" s="149">
        <v>78</v>
      </c>
      <c r="R471" s="149">
        <v>76.400000000000006</v>
      </c>
      <c r="S471" s="149">
        <v>76.400000000000006</v>
      </c>
      <c r="T471" s="150">
        <v>32645</v>
      </c>
      <c r="U471" s="151">
        <v>2497819</v>
      </c>
      <c r="V471" s="149">
        <v>42</v>
      </c>
      <c r="Z471" s="1">
        <v>44466</v>
      </c>
      <c r="AA471">
        <v>69.650000000000006</v>
      </c>
      <c r="AB471">
        <v>66415</v>
      </c>
      <c r="AC471">
        <v>25011</v>
      </c>
      <c r="AF471" s="1">
        <v>44466</v>
      </c>
      <c r="AG471">
        <v>76.33</v>
      </c>
      <c r="AJ471" s="156">
        <f t="shared" si="7"/>
        <v>8.7514738634874786E-2</v>
      </c>
    </row>
    <row r="472" spans="1:36" x14ac:dyDescent="0.3">
      <c r="A472" s="152">
        <v>44585</v>
      </c>
      <c r="B472" s="153">
        <v>84</v>
      </c>
      <c r="C472" s="153">
        <v>85</v>
      </c>
      <c r="D472" s="153">
        <v>83.3</v>
      </c>
      <c r="E472" s="153">
        <v>84.5</v>
      </c>
      <c r="F472" s="154">
        <v>291656</v>
      </c>
      <c r="G472" s="155">
        <v>24579565.300000001</v>
      </c>
      <c r="H472" s="153">
        <v>228</v>
      </c>
      <c r="I472" s="155"/>
      <c r="J472" s="155"/>
      <c r="K472" s="155"/>
      <c r="L472" s="155"/>
      <c r="M472" s="155"/>
      <c r="N472" s="155"/>
      <c r="O472" s="148">
        <v>44585</v>
      </c>
      <c r="P472" s="149">
        <v>77.5</v>
      </c>
      <c r="Q472" s="149">
        <v>78.5</v>
      </c>
      <c r="R472" s="149">
        <v>76.900000000000006</v>
      </c>
      <c r="S472" s="149">
        <v>77.599999999999994</v>
      </c>
      <c r="T472" s="150">
        <v>38927</v>
      </c>
      <c r="U472" s="151">
        <v>3022869.1</v>
      </c>
      <c r="V472" s="149">
        <v>59</v>
      </c>
      <c r="Z472" s="1">
        <v>44463</v>
      </c>
      <c r="AA472">
        <v>69.47</v>
      </c>
      <c r="AB472">
        <v>11305</v>
      </c>
      <c r="AC472">
        <v>22700</v>
      </c>
      <c r="AF472" s="1">
        <v>44463</v>
      </c>
      <c r="AG472">
        <v>76.430000000000007</v>
      </c>
      <c r="AJ472" s="156">
        <f t="shared" si="7"/>
        <v>9.1063718435169527E-2</v>
      </c>
    </row>
    <row r="473" spans="1:36" x14ac:dyDescent="0.3">
      <c r="A473" s="152">
        <v>44582</v>
      </c>
      <c r="B473" s="153">
        <v>83.9</v>
      </c>
      <c r="C473" s="153">
        <v>84.3</v>
      </c>
      <c r="D473" s="153">
        <v>83.5</v>
      </c>
      <c r="E473" s="153">
        <v>83.5</v>
      </c>
      <c r="F473" s="154">
        <v>691101</v>
      </c>
      <c r="G473" s="155">
        <v>57773556.100000001</v>
      </c>
      <c r="H473" s="153">
        <v>170</v>
      </c>
      <c r="I473" s="155"/>
      <c r="J473" s="155"/>
      <c r="K473" s="155"/>
      <c r="L473" s="155"/>
      <c r="M473" s="155"/>
      <c r="N473" s="155"/>
      <c r="O473" s="148">
        <v>44582</v>
      </c>
      <c r="P473" s="149">
        <v>77.5</v>
      </c>
      <c r="Q473" s="149">
        <v>77.5</v>
      </c>
      <c r="R473" s="149">
        <v>77</v>
      </c>
      <c r="S473" s="149">
        <v>77.5</v>
      </c>
      <c r="T473" s="150">
        <v>35830</v>
      </c>
      <c r="U473" s="151">
        <v>2771132</v>
      </c>
      <c r="V473" s="149">
        <v>38</v>
      </c>
      <c r="Z473" s="1">
        <v>44462</v>
      </c>
      <c r="AA473">
        <v>68.94</v>
      </c>
      <c r="AB473">
        <v>28084</v>
      </c>
      <c r="AC473">
        <v>24616</v>
      </c>
      <c r="AF473" s="1">
        <v>44462</v>
      </c>
      <c r="AG473">
        <v>75.790000000000006</v>
      </c>
      <c r="AJ473" s="156">
        <f t="shared" si="7"/>
        <v>9.0381316796411246E-2</v>
      </c>
    </row>
    <row r="474" spans="1:36" x14ac:dyDescent="0.3">
      <c r="A474" s="152">
        <v>44581</v>
      </c>
      <c r="B474" s="153">
        <v>82.9</v>
      </c>
      <c r="C474" s="153">
        <v>83.6</v>
      </c>
      <c r="D474" s="153">
        <v>82.4</v>
      </c>
      <c r="E474" s="153">
        <v>83.3</v>
      </c>
      <c r="F474" s="154">
        <v>460955</v>
      </c>
      <c r="G474" s="155">
        <v>38140503.200000003</v>
      </c>
      <c r="H474" s="153">
        <v>165</v>
      </c>
      <c r="I474" s="155"/>
      <c r="J474" s="155"/>
      <c r="K474" s="155"/>
      <c r="L474" s="155"/>
      <c r="M474" s="155"/>
      <c r="N474" s="155"/>
      <c r="O474" s="148">
        <v>44581</v>
      </c>
      <c r="P474" s="149">
        <v>77</v>
      </c>
      <c r="Q474" s="149">
        <v>77.5</v>
      </c>
      <c r="R474" s="149">
        <v>76.5</v>
      </c>
      <c r="S474" s="149">
        <v>77.2</v>
      </c>
      <c r="T474" s="150">
        <v>24062</v>
      </c>
      <c r="U474" s="151">
        <v>1850977.8</v>
      </c>
      <c r="V474" s="149">
        <v>50</v>
      </c>
      <c r="Z474" s="1">
        <v>44461</v>
      </c>
      <c r="AA474">
        <v>68.94</v>
      </c>
      <c r="AB474">
        <v>3984</v>
      </c>
      <c r="AC474">
        <v>28450</v>
      </c>
      <c r="AF474" s="1">
        <v>44461</v>
      </c>
      <c r="AG474">
        <v>75.52</v>
      </c>
      <c r="AJ474" s="156">
        <f t="shared" si="7"/>
        <v>8.7129237288135569E-2</v>
      </c>
    </row>
    <row r="475" spans="1:36" x14ac:dyDescent="0.3">
      <c r="A475" s="152">
        <v>44580</v>
      </c>
      <c r="B475" s="153">
        <v>81.900000000000006</v>
      </c>
      <c r="C475" s="153">
        <v>83.2</v>
      </c>
      <c r="D475" s="153">
        <v>81.5</v>
      </c>
      <c r="E475" s="153">
        <v>82.8</v>
      </c>
      <c r="F475" s="154">
        <v>1183206</v>
      </c>
      <c r="G475" s="155">
        <v>98125495.799999997</v>
      </c>
      <c r="H475" s="153">
        <v>151</v>
      </c>
      <c r="I475" s="155"/>
      <c r="J475" s="155"/>
      <c r="K475" s="155"/>
      <c r="L475" s="155"/>
      <c r="M475" s="155"/>
      <c r="N475" s="155"/>
      <c r="O475" s="148">
        <v>44580</v>
      </c>
      <c r="P475" s="149">
        <v>76</v>
      </c>
      <c r="Q475" s="149">
        <v>77.2</v>
      </c>
      <c r="R475" s="149">
        <v>76</v>
      </c>
      <c r="S475" s="149">
        <v>77</v>
      </c>
      <c r="T475" s="150">
        <v>92030</v>
      </c>
      <c r="U475" s="151">
        <v>7045172.2000000002</v>
      </c>
      <c r="V475" s="149">
        <v>73</v>
      </c>
      <c r="Z475" s="1">
        <v>44460</v>
      </c>
      <c r="AA475">
        <v>68.760000000000005</v>
      </c>
      <c r="AB475">
        <v>5947</v>
      </c>
      <c r="AC475">
        <v>34154</v>
      </c>
      <c r="AF475" s="1">
        <v>44460</v>
      </c>
      <c r="AG475">
        <v>75.7</v>
      </c>
      <c r="AJ475" s="156">
        <f t="shared" si="7"/>
        <v>9.1677675033025069E-2</v>
      </c>
    </row>
    <row r="476" spans="1:36" x14ac:dyDescent="0.3">
      <c r="A476" s="152">
        <v>44579</v>
      </c>
      <c r="B476" s="153">
        <v>81.5</v>
      </c>
      <c r="C476" s="153">
        <v>83.5</v>
      </c>
      <c r="D476" s="153">
        <v>81</v>
      </c>
      <c r="E476" s="153">
        <v>81.900000000000006</v>
      </c>
      <c r="F476" s="154">
        <v>345660</v>
      </c>
      <c r="G476" s="155">
        <v>28422961.399999999</v>
      </c>
      <c r="H476" s="153">
        <v>220</v>
      </c>
      <c r="I476" s="155"/>
      <c r="J476" s="155"/>
      <c r="K476" s="155"/>
      <c r="L476" s="155"/>
      <c r="M476" s="155"/>
      <c r="N476" s="155"/>
      <c r="O476" s="148">
        <v>44579</v>
      </c>
      <c r="P476" s="149">
        <v>76</v>
      </c>
      <c r="Q476" s="149">
        <v>76.400000000000006</v>
      </c>
      <c r="R476" s="149">
        <v>75.400000000000006</v>
      </c>
      <c r="S476" s="149">
        <v>76.099999999999994</v>
      </c>
      <c r="T476" s="150">
        <v>61563</v>
      </c>
      <c r="U476" s="151">
        <v>4660728.8</v>
      </c>
      <c r="V476" s="149">
        <v>48</v>
      </c>
      <c r="Z476" s="1">
        <v>44456</v>
      </c>
      <c r="AA476">
        <v>68.400000000000006</v>
      </c>
      <c r="AB476">
        <v>9983</v>
      </c>
      <c r="AC476">
        <v>35950</v>
      </c>
      <c r="AF476" s="1">
        <v>44456</v>
      </c>
      <c r="AG476">
        <v>75.97</v>
      </c>
      <c r="AJ476" s="156">
        <f t="shared" si="7"/>
        <v>9.9644596551270156E-2</v>
      </c>
    </row>
    <row r="477" spans="1:36" x14ac:dyDescent="0.3">
      <c r="A477" s="152">
        <v>44574</v>
      </c>
      <c r="B477" s="153">
        <v>81.5</v>
      </c>
      <c r="C477" s="153">
        <v>82</v>
      </c>
      <c r="D477" s="153">
        <v>80.099999999999994</v>
      </c>
      <c r="E477" s="153">
        <v>81.8</v>
      </c>
      <c r="F477" s="154">
        <v>130266</v>
      </c>
      <c r="G477" s="155">
        <v>10558903.4</v>
      </c>
      <c r="H477" s="153">
        <v>144</v>
      </c>
      <c r="I477" s="155"/>
      <c r="J477" s="155"/>
      <c r="K477" s="155"/>
      <c r="L477" s="155"/>
      <c r="M477" s="155"/>
      <c r="N477" s="155"/>
      <c r="O477" s="148">
        <v>44574</v>
      </c>
      <c r="P477" s="149">
        <v>75.099999999999994</v>
      </c>
      <c r="Q477" s="149">
        <v>76.3</v>
      </c>
      <c r="R477" s="149">
        <v>75.099999999999994</v>
      </c>
      <c r="S477" s="149">
        <v>76.2</v>
      </c>
      <c r="T477" s="150">
        <v>45649</v>
      </c>
      <c r="U477" s="151">
        <v>3471781.7</v>
      </c>
      <c r="V477" s="149">
        <v>35</v>
      </c>
      <c r="Z477" s="1">
        <v>44455</v>
      </c>
      <c r="AA477">
        <v>68.489999999999995</v>
      </c>
      <c r="AB477">
        <v>56100</v>
      </c>
      <c r="AC477">
        <v>40842</v>
      </c>
      <c r="AF477" s="1">
        <v>44455</v>
      </c>
      <c r="AG477">
        <v>76.430000000000007</v>
      </c>
      <c r="AJ477" s="156">
        <f t="shared" si="7"/>
        <v>0.10388590867460436</v>
      </c>
    </row>
    <row r="478" spans="1:36" x14ac:dyDescent="0.3">
      <c r="A478" s="152">
        <v>44573</v>
      </c>
      <c r="B478" s="153">
        <v>81.599999999999994</v>
      </c>
      <c r="C478" s="153">
        <v>82.8</v>
      </c>
      <c r="D478" s="153">
        <v>80.900000000000006</v>
      </c>
      <c r="E478" s="153">
        <v>81</v>
      </c>
      <c r="F478" s="154">
        <v>332478</v>
      </c>
      <c r="G478" s="155">
        <v>27096013.199999999</v>
      </c>
      <c r="H478" s="153">
        <v>184</v>
      </c>
      <c r="I478" s="155"/>
      <c r="J478" s="155"/>
      <c r="K478" s="155"/>
      <c r="L478" s="155"/>
      <c r="M478" s="155"/>
      <c r="N478" s="155"/>
      <c r="O478" s="148">
        <v>44573</v>
      </c>
      <c r="P478" s="149">
        <v>75.400000000000006</v>
      </c>
      <c r="Q478" s="149">
        <v>76.8</v>
      </c>
      <c r="R478" s="149">
        <v>75</v>
      </c>
      <c r="S478" s="149">
        <v>76.400000000000006</v>
      </c>
      <c r="T478" s="150">
        <v>37646</v>
      </c>
      <c r="U478" s="151">
        <v>2870618.6</v>
      </c>
      <c r="V478" s="149">
        <v>78</v>
      </c>
      <c r="Z478" s="1">
        <v>44454</v>
      </c>
      <c r="AA478">
        <v>68.31</v>
      </c>
      <c r="AB478">
        <v>19730</v>
      </c>
      <c r="AC478">
        <v>69933</v>
      </c>
      <c r="AF478" s="1">
        <v>44454</v>
      </c>
      <c r="AG478">
        <v>76.33</v>
      </c>
      <c r="AJ478" s="156">
        <f t="shared" si="7"/>
        <v>0.10507009039696051</v>
      </c>
    </row>
    <row r="479" spans="1:36" x14ac:dyDescent="0.3">
      <c r="A479" s="152">
        <v>44572</v>
      </c>
      <c r="B479" s="153">
        <v>84</v>
      </c>
      <c r="C479" s="153">
        <v>84</v>
      </c>
      <c r="D479" s="153">
        <v>81.5</v>
      </c>
      <c r="E479" s="153">
        <v>81.7</v>
      </c>
      <c r="F479" s="154">
        <v>139580</v>
      </c>
      <c r="G479" s="155">
        <v>11496263.800000001</v>
      </c>
      <c r="H479" s="153">
        <v>201</v>
      </c>
      <c r="I479" s="155"/>
      <c r="J479" s="155"/>
      <c r="K479" s="155"/>
      <c r="L479" s="155"/>
      <c r="M479" s="155"/>
      <c r="N479" s="155"/>
      <c r="O479" s="148">
        <v>44572</v>
      </c>
      <c r="P479" s="149">
        <v>75</v>
      </c>
      <c r="Q479" s="149">
        <v>75.400000000000006</v>
      </c>
      <c r="R479" s="149">
        <v>74</v>
      </c>
      <c r="S479" s="149">
        <v>75.099999999999994</v>
      </c>
      <c r="T479" s="150">
        <v>61381</v>
      </c>
      <c r="U479" s="151">
        <v>4603795.3</v>
      </c>
      <c r="V479" s="149">
        <v>39</v>
      </c>
      <c r="Z479" s="1">
        <v>44453</v>
      </c>
      <c r="AA479">
        <v>67.41</v>
      </c>
      <c r="AB479">
        <v>13270</v>
      </c>
      <c r="AC479">
        <v>70503</v>
      </c>
      <c r="AF479" s="1">
        <v>44453</v>
      </c>
      <c r="AG479">
        <v>75.52</v>
      </c>
      <c r="AJ479" s="156">
        <f t="shared" si="7"/>
        <v>0.10738877118644068</v>
      </c>
    </row>
    <row r="480" spans="1:36" x14ac:dyDescent="0.3">
      <c r="A480" s="152">
        <v>44571</v>
      </c>
      <c r="B480" s="153">
        <v>80.3</v>
      </c>
      <c r="C480" s="153">
        <v>84</v>
      </c>
      <c r="D480" s="153">
        <v>80</v>
      </c>
      <c r="E480" s="153">
        <v>82.9</v>
      </c>
      <c r="F480" s="154">
        <v>1277442</v>
      </c>
      <c r="G480" s="155">
        <v>104370344.5</v>
      </c>
      <c r="H480" s="153">
        <v>486</v>
      </c>
      <c r="I480" s="155"/>
      <c r="J480" s="155"/>
      <c r="K480" s="155"/>
      <c r="L480" s="155"/>
      <c r="M480" s="155"/>
      <c r="N480" s="155"/>
      <c r="O480" s="148">
        <v>44571</v>
      </c>
      <c r="P480" s="149">
        <v>73.599999999999994</v>
      </c>
      <c r="Q480" s="149">
        <v>75.599999999999994</v>
      </c>
      <c r="R480" s="149">
        <v>73</v>
      </c>
      <c r="S480" s="149">
        <v>74.400000000000006</v>
      </c>
      <c r="T480" s="150">
        <v>307132</v>
      </c>
      <c r="U480" s="151">
        <v>22691531.5</v>
      </c>
      <c r="V480" s="149">
        <v>148</v>
      </c>
      <c r="Z480" s="1">
        <v>44452</v>
      </c>
      <c r="AA480">
        <v>67.41</v>
      </c>
      <c r="AB480">
        <v>42464</v>
      </c>
      <c r="AC480">
        <v>73306</v>
      </c>
      <c r="AF480" s="1">
        <v>44452</v>
      </c>
      <c r="AG480">
        <v>75.239999999999995</v>
      </c>
      <c r="AJ480" s="156">
        <f t="shared" si="7"/>
        <v>0.104066985645933</v>
      </c>
    </row>
    <row r="481" spans="1:36" x14ac:dyDescent="0.3">
      <c r="A481" s="152">
        <v>44568</v>
      </c>
      <c r="B481" s="153">
        <v>79.599999999999994</v>
      </c>
      <c r="C481" s="153">
        <v>80</v>
      </c>
      <c r="D481" s="153">
        <v>79</v>
      </c>
      <c r="E481" s="153">
        <v>79.8</v>
      </c>
      <c r="F481" s="154">
        <v>717289</v>
      </c>
      <c r="G481" s="155">
        <v>56854875.100000001</v>
      </c>
      <c r="H481" s="153">
        <v>265</v>
      </c>
      <c r="I481" s="155"/>
      <c r="J481" s="155"/>
      <c r="K481" s="155"/>
      <c r="L481" s="155"/>
      <c r="M481" s="155"/>
      <c r="N481" s="155"/>
      <c r="O481" s="148">
        <v>44568</v>
      </c>
      <c r="P481" s="149">
        <v>72.099999999999994</v>
      </c>
      <c r="Q481" s="149">
        <v>74</v>
      </c>
      <c r="R481" s="149">
        <v>71.900000000000006</v>
      </c>
      <c r="S481" s="149">
        <v>72.900000000000006</v>
      </c>
      <c r="T481" s="150">
        <v>181906</v>
      </c>
      <c r="U481" s="151">
        <v>13131309.6</v>
      </c>
      <c r="V481" s="149">
        <v>74</v>
      </c>
      <c r="Z481" s="1">
        <v>44449</v>
      </c>
      <c r="AA481">
        <v>68.13</v>
      </c>
      <c r="AB481">
        <v>22623</v>
      </c>
      <c r="AC481">
        <v>80294</v>
      </c>
      <c r="AF481" s="1">
        <v>44449</v>
      </c>
      <c r="AG481">
        <v>76.88</v>
      </c>
      <c r="AJ481" s="156">
        <f t="shared" si="7"/>
        <v>0.11381373569198752</v>
      </c>
    </row>
    <row r="482" spans="1:36" x14ac:dyDescent="0.3">
      <c r="A482" s="152">
        <v>44567</v>
      </c>
      <c r="B482" s="153">
        <v>80</v>
      </c>
      <c r="C482" s="153">
        <v>80</v>
      </c>
      <c r="D482" s="153">
        <v>79.3</v>
      </c>
      <c r="E482" s="153">
        <v>79.7</v>
      </c>
      <c r="F482" s="154">
        <v>155339</v>
      </c>
      <c r="G482" s="155">
        <v>12413452.5</v>
      </c>
      <c r="H482" s="153">
        <v>136</v>
      </c>
      <c r="I482" s="155"/>
      <c r="J482" s="155"/>
      <c r="K482" s="155"/>
      <c r="L482" s="155"/>
      <c r="M482" s="155"/>
      <c r="N482" s="155"/>
      <c r="O482" s="148">
        <v>44567</v>
      </c>
      <c r="P482" s="149">
        <v>72</v>
      </c>
      <c r="Q482" s="149">
        <v>73.5</v>
      </c>
      <c r="R482" s="149">
        <v>71.5</v>
      </c>
      <c r="S482" s="149">
        <v>72.7</v>
      </c>
      <c r="T482" s="150">
        <v>20926</v>
      </c>
      <c r="U482" s="151">
        <v>1514199.6</v>
      </c>
      <c r="V482" s="149">
        <v>58</v>
      </c>
      <c r="Z482" s="1">
        <v>44448</v>
      </c>
      <c r="AA482">
        <v>68.58</v>
      </c>
      <c r="AB482">
        <v>3101</v>
      </c>
      <c r="AC482">
        <v>80088</v>
      </c>
      <c r="AF482" s="1">
        <v>44448</v>
      </c>
      <c r="AG482">
        <v>76.52</v>
      </c>
      <c r="AJ482" s="156">
        <f t="shared" si="7"/>
        <v>0.10376372190277049</v>
      </c>
    </row>
    <row r="483" spans="1:36" x14ac:dyDescent="0.3">
      <c r="A483" s="152">
        <v>44566</v>
      </c>
      <c r="B483" s="153">
        <v>80.400000000000006</v>
      </c>
      <c r="C483" s="153">
        <v>80.5</v>
      </c>
      <c r="D483" s="153">
        <v>79.5</v>
      </c>
      <c r="E483" s="153">
        <v>79.8</v>
      </c>
      <c r="F483" s="154">
        <v>387793</v>
      </c>
      <c r="G483" s="155">
        <v>30970594.5</v>
      </c>
      <c r="H483" s="153">
        <v>167</v>
      </c>
      <c r="I483" s="155"/>
      <c r="J483" s="155"/>
      <c r="K483" s="155"/>
      <c r="L483" s="155"/>
      <c r="M483" s="155"/>
      <c r="N483" s="155"/>
      <c r="O483" s="148">
        <v>44566</v>
      </c>
      <c r="P483" s="149">
        <v>72.5</v>
      </c>
      <c r="Q483" s="149">
        <v>73.3</v>
      </c>
      <c r="R483" s="149">
        <v>72</v>
      </c>
      <c r="S483" s="149">
        <v>72.2</v>
      </c>
      <c r="T483" s="150">
        <v>46346</v>
      </c>
      <c r="U483" s="151">
        <v>3366195.9</v>
      </c>
      <c r="V483" s="149">
        <v>62</v>
      </c>
      <c r="Z483" s="1">
        <v>44447</v>
      </c>
      <c r="AA483">
        <v>67.59</v>
      </c>
      <c r="AB483">
        <v>44797</v>
      </c>
      <c r="AC483">
        <v>86978</v>
      </c>
      <c r="AF483" s="1">
        <v>44447</v>
      </c>
      <c r="AG483">
        <v>76.790000000000006</v>
      </c>
      <c r="AJ483" s="156">
        <f t="shared" si="7"/>
        <v>0.11980726657116815</v>
      </c>
    </row>
    <row r="484" spans="1:36" x14ac:dyDescent="0.3">
      <c r="A484" s="152">
        <v>44565</v>
      </c>
      <c r="B484" s="153">
        <v>80.2</v>
      </c>
      <c r="C484" s="153">
        <v>80.2</v>
      </c>
      <c r="D484" s="153">
        <v>79.5</v>
      </c>
      <c r="E484" s="153">
        <v>79.8</v>
      </c>
      <c r="F484" s="154">
        <v>280398</v>
      </c>
      <c r="G484" s="155">
        <v>22368307.5</v>
      </c>
      <c r="H484" s="153">
        <v>174</v>
      </c>
      <c r="I484" s="155"/>
      <c r="J484" s="155"/>
      <c r="K484" s="155"/>
      <c r="L484" s="155"/>
      <c r="M484" s="155"/>
      <c r="N484" s="155"/>
      <c r="O484" s="148">
        <v>44565</v>
      </c>
      <c r="P484" s="149">
        <v>73</v>
      </c>
      <c r="Q484" s="149">
        <v>73.5</v>
      </c>
      <c r="R484" s="149">
        <v>72.5</v>
      </c>
      <c r="S484" s="149">
        <v>72.599999999999994</v>
      </c>
      <c r="T484" s="150">
        <v>9587</v>
      </c>
      <c r="U484" s="151">
        <v>697245.6</v>
      </c>
      <c r="V484" s="149">
        <v>16</v>
      </c>
      <c r="Z484" s="1">
        <v>44446</v>
      </c>
      <c r="AA484">
        <v>68.760000000000005</v>
      </c>
      <c r="AB484">
        <v>34102</v>
      </c>
      <c r="AC484">
        <v>85670</v>
      </c>
      <c r="AF484" s="1">
        <v>44446</v>
      </c>
      <c r="AG484">
        <v>77.34</v>
      </c>
      <c r="AJ484" s="156">
        <f t="shared" si="7"/>
        <v>0.11093871217998445</v>
      </c>
    </row>
    <row r="485" spans="1:36" x14ac:dyDescent="0.3">
      <c r="A485" s="152">
        <v>44564</v>
      </c>
      <c r="B485" s="153">
        <v>79.099999999999994</v>
      </c>
      <c r="C485" s="153">
        <v>80.900000000000006</v>
      </c>
      <c r="D485" s="153">
        <v>79.099999999999994</v>
      </c>
      <c r="E485" s="153">
        <v>80.2</v>
      </c>
      <c r="F485" s="154">
        <v>793611</v>
      </c>
      <c r="G485" s="155">
        <v>63577848.399999999</v>
      </c>
      <c r="H485" s="153">
        <v>250</v>
      </c>
      <c r="I485" s="155"/>
      <c r="J485" s="155"/>
      <c r="K485" s="155"/>
      <c r="L485" s="155"/>
      <c r="M485" s="155"/>
      <c r="N485" s="155"/>
      <c r="O485" s="148">
        <v>44564</v>
      </c>
      <c r="P485" s="149">
        <v>73</v>
      </c>
      <c r="Q485" s="149">
        <v>73</v>
      </c>
      <c r="R485" s="149">
        <v>71.5</v>
      </c>
      <c r="S485" s="149">
        <v>72.5</v>
      </c>
      <c r="T485" s="150">
        <v>348986</v>
      </c>
      <c r="U485" s="151">
        <v>25303562.600000001</v>
      </c>
      <c r="V485" s="149">
        <v>72</v>
      </c>
      <c r="Z485" s="1">
        <v>44445</v>
      </c>
      <c r="AA485">
        <v>68.67</v>
      </c>
      <c r="AB485">
        <v>13254</v>
      </c>
      <c r="AC485">
        <v>85422</v>
      </c>
      <c r="AF485" s="1">
        <v>44445</v>
      </c>
      <c r="AG485">
        <v>77.430000000000007</v>
      </c>
      <c r="AJ485" s="156">
        <f t="shared" si="7"/>
        <v>0.11313444401394813</v>
      </c>
    </row>
    <row r="486" spans="1:36" x14ac:dyDescent="0.3">
      <c r="A486" s="152">
        <v>44561</v>
      </c>
      <c r="B486" s="153">
        <v>80</v>
      </c>
      <c r="C486" s="153">
        <v>80</v>
      </c>
      <c r="D486" s="153">
        <v>78.8</v>
      </c>
      <c r="E486" s="153">
        <v>79.3</v>
      </c>
      <c r="F486" s="154">
        <v>100690</v>
      </c>
      <c r="G486" s="155">
        <v>8023402.2999999998</v>
      </c>
      <c r="H486" s="153">
        <v>138</v>
      </c>
      <c r="I486" s="155"/>
      <c r="J486" s="155"/>
      <c r="K486" s="155"/>
      <c r="L486" s="155"/>
      <c r="M486" s="155"/>
      <c r="N486" s="155"/>
      <c r="O486" s="148">
        <v>44561</v>
      </c>
      <c r="P486" s="149">
        <v>73.599999999999994</v>
      </c>
      <c r="Q486" s="149">
        <v>73.599999999999994</v>
      </c>
      <c r="R486" s="149">
        <v>71.5</v>
      </c>
      <c r="S486" s="149">
        <v>72</v>
      </c>
      <c r="T486" s="150">
        <v>84535</v>
      </c>
      <c r="U486" s="151">
        <v>6093053.9000000004</v>
      </c>
      <c r="V486" s="149">
        <v>32</v>
      </c>
      <c r="Z486" s="1">
        <v>44442</v>
      </c>
      <c r="AA486">
        <v>69.209999999999994</v>
      </c>
      <c r="AB486">
        <v>31749</v>
      </c>
      <c r="AC486">
        <v>84739</v>
      </c>
      <c r="AF486" s="1">
        <v>44442</v>
      </c>
      <c r="AG486">
        <v>78.06</v>
      </c>
      <c r="AJ486" s="156">
        <f t="shared" si="7"/>
        <v>0.11337432744043055</v>
      </c>
    </row>
    <row r="487" spans="1:36" x14ac:dyDescent="0.3">
      <c r="A487" s="152">
        <v>44560</v>
      </c>
      <c r="B487" s="153">
        <v>78.900000000000006</v>
      </c>
      <c r="C487" s="153">
        <v>80</v>
      </c>
      <c r="D487" s="153">
        <v>78.5</v>
      </c>
      <c r="E487" s="153">
        <v>79.900000000000006</v>
      </c>
      <c r="F487" s="154">
        <v>4353764</v>
      </c>
      <c r="G487" s="155">
        <v>343951342</v>
      </c>
      <c r="H487" s="153">
        <v>178</v>
      </c>
      <c r="I487" s="155"/>
      <c r="J487" s="155"/>
      <c r="K487" s="155"/>
      <c r="L487" s="155"/>
      <c r="M487" s="155"/>
      <c r="N487" s="155"/>
      <c r="O487" s="148">
        <v>44560</v>
      </c>
      <c r="P487" s="149">
        <v>70.8</v>
      </c>
      <c r="Q487" s="149">
        <v>72</v>
      </c>
      <c r="R487" s="149">
        <v>70.599999999999994</v>
      </c>
      <c r="S487" s="149">
        <v>71.900000000000006</v>
      </c>
      <c r="T487" s="150">
        <v>31633</v>
      </c>
      <c r="U487" s="151">
        <v>2264104.7999999998</v>
      </c>
      <c r="V487" s="149">
        <v>50</v>
      </c>
      <c r="Z487" s="1">
        <v>44441</v>
      </c>
      <c r="AA487">
        <v>68.94</v>
      </c>
      <c r="AB487">
        <v>40055</v>
      </c>
      <c r="AC487">
        <v>87076</v>
      </c>
      <c r="AF487" s="1">
        <v>44441</v>
      </c>
      <c r="AG487">
        <v>77.97</v>
      </c>
      <c r="AJ487" s="156">
        <f t="shared" si="7"/>
        <v>0.11581377452866488</v>
      </c>
    </row>
    <row r="488" spans="1:36" x14ac:dyDescent="0.3">
      <c r="A488" s="152">
        <v>44559</v>
      </c>
      <c r="B488" s="153">
        <v>78.7</v>
      </c>
      <c r="C488" s="153">
        <v>80</v>
      </c>
      <c r="D488" s="153">
        <v>77.5</v>
      </c>
      <c r="E488" s="153">
        <v>78.7</v>
      </c>
      <c r="F488" s="154">
        <v>6142305</v>
      </c>
      <c r="G488" s="155">
        <v>482166311.69999999</v>
      </c>
      <c r="H488" s="153">
        <v>221</v>
      </c>
      <c r="I488" s="155"/>
      <c r="J488" s="155"/>
      <c r="K488" s="155"/>
      <c r="L488" s="155"/>
      <c r="M488" s="155"/>
      <c r="N488" s="155"/>
      <c r="O488" s="148">
        <v>44559</v>
      </c>
      <c r="P488" s="149">
        <v>72</v>
      </c>
      <c r="Q488" s="149">
        <v>72</v>
      </c>
      <c r="R488" s="149">
        <v>71.400000000000006</v>
      </c>
      <c r="S488" s="149">
        <v>71.5</v>
      </c>
      <c r="T488" s="150">
        <v>13941</v>
      </c>
      <c r="U488" s="151">
        <v>1000809.1</v>
      </c>
      <c r="V488" s="149">
        <v>25</v>
      </c>
      <c r="Z488" s="1">
        <v>44440</v>
      </c>
      <c r="AA488">
        <v>71</v>
      </c>
      <c r="AB488">
        <v>85596</v>
      </c>
      <c r="AC488">
        <v>88231</v>
      </c>
      <c r="AF488" s="1">
        <v>44440</v>
      </c>
      <c r="AG488">
        <v>77.97</v>
      </c>
      <c r="AJ488" s="156">
        <f t="shared" si="7"/>
        <v>8.9393356419135553E-2</v>
      </c>
    </row>
    <row r="489" spans="1:36" x14ac:dyDescent="0.3">
      <c r="A489" s="152">
        <v>44558</v>
      </c>
      <c r="B489" s="153">
        <v>77.900000000000006</v>
      </c>
      <c r="C489" s="153">
        <v>79.900000000000006</v>
      </c>
      <c r="D489" s="153">
        <v>77.599999999999994</v>
      </c>
      <c r="E489" s="153">
        <v>78.599999999999994</v>
      </c>
      <c r="F489" s="154">
        <v>8040169</v>
      </c>
      <c r="G489" s="155">
        <v>627393954</v>
      </c>
      <c r="H489" s="153">
        <v>155</v>
      </c>
      <c r="I489" s="155"/>
      <c r="J489" s="155"/>
      <c r="K489" s="155"/>
      <c r="L489" s="155"/>
      <c r="M489" s="155"/>
      <c r="N489" s="155"/>
      <c r="O489" s="148">
        <v>44558</v>
      </c>
      <c r="P489" s="149">
        <v>71.5</v>
      </c>
      <c r="Q489" s="149">
        <v>71.5</v>
      </c>
      <c r="R489" s="149">
        <v>70.2</v>
      </c>
      <c r="S489" s="149">
        <v>71</v>
      </c>
      <c r="T489" s="150">
        <v>10048</v>
      </c>
      <c r="U489" s="151">
        <v>713396.4</v>
      </c>
      <c r="V489" s="149">
        <v>25</v>
      </c>
      <c r="Z489" s="1">
        <v>44439</v>
      </c>
      <c r="AA489">
        <v>67.59</v>
      </c>
      <c r="AB489">
        <v>89539</v>
      </c>
      <c r="AC489">
        <v>83174</v>
      </c>
      <c r="AF489" s="1">
        <v>44439</v>
      </c>
      <c r="AG489">
        <v>79.16</v>
      </c>
      <c r="AJ489" s="156">
        <f t="shared" si="7"/>
        <v>0.14615967660434556</v>
      </c>
    </row>
    <row r="490" spans="1:36" x14ac:dyDescent="0.3">
      <c r="A490" s="152">
        <v>44557</v>
      </c>
      <c r="B490" s="153">
        <v>77.900000000000006</v>
      </c>
      <c r="C490" s="153">
        <v>78</v>
      </c>
      <c r="D490" s="153">
        <v>77</v>
      </c>
      <c r="E490" s="153">
        <v>77.5</v>
      </c>
      <c r="F490" s="154">
        <v>344478</v>
      </c>
      <c r="G490" s="155">
        <v>26676207.399999999</v>
      </c>
      <c r="H490" s="153">
        <v>203</v>
      </c>
      <c r="I490" s="155"/>
      <c r="J490" s="155"/>
      <c r="K490" s="155"/>
      <c r="L490" s="155"/>
      <c r="M490" s="155"/>
      <c r="N490" s="155"/>
      <c r="O490" s="148">
        <v>44557</v>
      </c>
      <c r="P490" s="149">
        <v>71.599999999999994</v>
      </c>
      <c r="Q490" s="149">
        <v>72.599999999999994</v>
      </c>
      <c r="R490" s="149">
        <v>70</v>
      </c>
      <c r="S490" s="149">
        <v>71.2</v>
      </c>
      <c r="T490" s="150">
        <v>70356</v>
      </c>
      <c r="U490" s="151">
        <v>4965584.2</v>
      </c>
      <c r="V490" s="149">
        <v>132</v>
      </c>
      <c r="Z490" s="1">
        <v>44438</v>
      </c>
      <c r="AA490">
        <v>69.209999999999994</v>
      </c>
      <c r="AB490">
        <v>32880</v>
      </c>
      <c r="AC490">
        <v>79753</v>
      </c>
      <c r="AF490" s="1">
        <v>44438</v>
      </c>
      <c r="AG490">
        <v>77.52</v>
      </c>
      <c r="AJ490" s="156">
        <f t="shared" si="7"/>
        <v>0.10719814241486071</v>
      </c>
    </row>
    <row r="491" spans="1:36" x14ac:dyDescent="0.3">
      <c r="A491" s="152">
        <v>44554</v>
      </c>
      <c r="B491" s="153">
        <v>78</v>
      </c>
      <c r="C491" s="153">
        <v>78</v>
      </c>
      <c r="D491" s="153">
        <v>77.2</v>
      </c>
      <c r="E491" s="153">
        <v>77.599999999999994</v>
      </c>
      <c r="F491" s="154">
        <v>177664</v>
      </c>
      <c r="G491" s="155">
        <v>13793381.6</v>
      </c>
      <c r="H491" s="153">
        <v>128</v>
      </c>
      <c r="I491" s="155"/>
      <c r="J491" s="155"/>
      <c r="K491" s="155"/>
      <c r="L491" s="155"/>
      <c r="M491" s="155"/>
      <c r="N491" s="155"/>
      <c r="O491" s="148">
        <v>44554</v>
      </c>
      <c r="P491" s="149">
        <v>71</v>
      </c>
      <c r="Q491" s="149">
        <v>71.7</v>
      </c>
      <c r="R491" s="149">
        <v>70.5</v>
      </c>
      <c r="S491" s="149">
        <v>70.7</v>
      </c>
      <c r="T491" s="150">
        <v>9061</v>
      </c>
      <c r="U491" s="151">
        <v>640752</v>
      </c>
      <c r="V491" s="149">
        <v>34</v>
      </c>
      <c r="Z491" s="1">
        <v>44435</v>
      </c>
      <c r="AA491">
        <v>70.19</v>
      </c>
      <c r="AB491">
        <v>83367</v>
      </c>
      <c r="AC491">
        <v>78085</v>
      </c>
      <c r="AF491" s="1">
        <v>44435</v>
      </c>
      <c r="AG491">
        <v>79.61</v>
      </c>
      <c r="AJ491" s="156">
        <f t="shared" si="7"/>
        <v>0.11832684336138678</v>
      </c>
    </row>
    <row r="492" spans="1:36" x14ac:dyDescent="0.3">
      <c r="A492" s="152">
        <v>44553</v>
      </c>
      <c r="B492" s="153">
        <v>77.5</v>
      </c>
      <c r="C492" s="153">
        <v>78.5</v>
      </c>
      <c r="D492" s="153">
        <v>76.900000000000006</v>
      </c>
      <c r="E492" s="153">
        <v>78</v>
      </c>
      <c r="F492" s="154">
        <v>285840</v>
      </c>
      <c r="G492" s="155">
        <v>22067156.5</v>
      </c>
      <c r="H492" s="153">
        <v>317</v>
      </c>
      <c r="I492" s="155"/>
      <c r="J492" s="155"/>
      <c r="K492" s="155"/>
      <c r="L492" s="155"/>
      <c r="M492" s="155"/>
      <c r="N492" s="155"/>
      <c r="O492" s="148">
        <v>44553</v>
      </c>
      <c r="P492" s="149">
        <v>70</v>
      </c>
      <c r="Q492" s="149">
        <v>71.5</v>
      </c>
      <c r="R492" s="149">
        <v>70</v>
      </c>
      <c r="S492" s="149">
        <v>71</v>
      </c>
      <c r="T492" s="150">
        <v>74696</v>
      </c>
      <c r="U492" s="151">
        <v>5264125.5999999996</v>
      </c>
      <c r="V492" s="149">
        <v>85</v>
      </c>
      <c r="Z492" s="1">
        <v>44434</v>
      </c>
      <c r="AA492">
        <v>71.81</v>
      </c>
      <c r="AB492">
        <v>492469</v>
      </c>
      <c r="AC492">
        <v>76975</v>
      </c>
      <c r="AF492" s="1">
        <v>44434</v>
      </c>
      <c r="AG492">
        <v>80.16</v>
      </c>
      <c r="AJ492" s="156">
        <f t="shared" si="7"/>
        <v>0.1041666666666666</v>
      </c>
    </row>
    <row r="493" spans="1:36" x14ac:dyDescent="0.3">
      <c r="A493" s="152">
        <v>44552</v>
      </c>
      <c r="B493" s="153">
        <v>78</v>
      </c>
      <c r="C493" s="153">
        <v>78</v>
      </c>
      <c r="D493" s="153">
        <v>77</v>
      </c>
      <c r="E493" s="153">
        <v>77.2</v>
      </c>
      <c r="F493" s="154">
        <v>1444150</v>
      </c>
      <c r="G493" s="155">
        <v>111883738.40000001</v>
      </c>
      <c r="H493" s="153">
        <v>338</v>
      </c>
      <c r="I493" s="155"/>
      <c r="J493" s="155"/>
      <c r="K493" s="155"/>
      <c r="L493" s="155"/>
      <c r="M493" s="155"/>
      <c r="N493" s="155"/>
      <c r="O493" s="148">
        <v>44552</v>
      </c>
      <c r="P493" s="149">
        <v>71.7</v>
      </c>
      <c r="Q493" s="149">
        <v>71.7</v>
      </c>
      <c r="R493" s="149">
        <v>69.599999999999994</v>
      </c>
      <c r="S493" s="149">
        <v>70</v>
      </c>
      <c r="T493" s="150">
        <v>40255</v>
      </c>
      <c r="U493" s="151">
        <v>2818170.9</v>
      </c>
      <c r="V493" s="149">
        <v>95</v>
      </c>
      <c r="Z493" s="1">
        <v>44433</v>
      </c>
      <c r="AA493">
        <v>69.209999999999994</v>
      </c>
      <c r="AB493">
        <v>28275</v>
      </c>
      <c r="AC493">
        <v>47898</v>
      </c>
      <c r="AF493" s="1">
        <v>44433</v>
      </c>
      <c r="AG493">
        <v>77.7</v>
      </c>
      <c r="AJ493" s="156">
        <f t="shared" si="7"/>
        <v>0.10926640926640938</v>
      </c>
    </row>
    <row r="494" spans="1:36" x14ac:dyDescent="0.3">
      <c r="A494" s="152">
        <v>44551</v>
      </c>
      <c r="B494" s="153">
        <v>78.599999999999994</v>
      </c>
      <c r="C494" s="153">
        <v>78.599999999999994</v>
      </c>
      <c r="D494" s="153">
        <v>77.900000000000006</v>
      </c>
      <c r="E494" s="153">
        <v>78</v>
      </c>
      <c r="F494" s="154">
        <v>414919</v>
      </c>
      <c r="G494" s="155">
        <v>32397609.199999999</v>
      </c>
      <c r="H494" s="153">
        <v>258</v>
      </c>
      <c r="I494" s="155"/>
      <c r="J494" s="155"/>
      <c r="K494" s="155"/>
      <c r="L494" s="155"/>
      <c r="M494" s="155"/>
      <c r="N494" s="155"/>
      <c r="O494" s="148">
        <v>44551</v>
      </c>
      <c r="P494" s="149">
        <v>72</v>
      </c>
      <c r="Q494" s="149">
        <v>72</v>
      </c>
      <c r="R494" s="149">
        <v>70</v>
      </c>
      <c r="S494" s="149">
        <v>70.099999999999994</v>
      </c>
      <c r="T494" s="150">
        <v>105284</v>
      </c>
      <c r="U494" s="151">
        <v>7440774.4000000004</v>
      </c>
      <c r="V494" s="149">
        <v>154</v>
      </c>
      <c r="Z494" s="1">
        <v>44432</v>
      </c>
      <c r="AA494">
        <v>69.739999999999995</v>
      </c>
      <c r="AB494">
        <v>55323</v>
      </c>
      <c r="AC494">
        <v>49001</v>
      </c>
      <c r="AF494" s="1">
        <v>44432</v>
      </c>
      <c r="AG494">
        <v>77.61</v>
      </c>
      <c r="AJ494" s="156">
        <f t="shared" si="7"/>
        <v>0.10140445818837784</v>
      </c>
    </row>
    <row r="495" spans="1:36" x14ac:dyDescent="0.3">
      <c r="A495" s="152">
        <v>44550</v>
      </c>
      <c r="B495" s="153">
        <v>79.2</v>
      </c>
      <c r="C495" s="153">
        <v>79.3</v>
      </c>
      <c r="D495" s="153">
        <v>78.599999999999994</v>
      </c>
      <c r="E495" s="153">
        <v>78.599999999999994</v>
      </c>
      <c r="F495" s="154">
        <v>253808</v>
      </c>
      <c r="G495" s="155">
        <v>19990294.199999999</v>
      </c>
      <c r="H495" s="153">
        <v>270</v>
      </c>
      <c r="I495" s="155"/>
      <c r="J495" s="155"/>
      <c r="K495" s="155"/>
      <c r="L495" s="155"/>
      <c r="M495" s="155"/>
      <c r="N495" s="155"/>
      <c r="O495" s="148">
        <v>44550</v>
      </c>
      <c r="P495" s="149">
        <v>73</v>
      </c>
      <c r="Q495" s="149">
        <v>73</v>
      </c>
      <c r="R495" s="149">
        <v>71.900000000000006</v>
      </c>
      <c r="S495" s="149">
        <v>71.900000000000006</v>
      </c>
      <c r="T495" s="150">
        <v>100287</v>
      </c>
      <c r="U495" s="151">
        <v>7240908.5</v>
      </c>
      <c r="V495" s="149">
        <v>153</v>
      </c>
      <c r="Z495" s="1">
        <v>44431</v>
      </c>
      <c r="AA495">
        <v>69.209999999999994</v>
      </c>
      <c r="AB495">
        <v>147276</v>
      </c>
      <c r="AC495">
        <v>50689</v>
      </c>
      <c r="AF495" s="1">
        <v>44431</v>
      </c>
      <c r="AG495">
        <v>77.239999999999995</v>
      </c>
      <c r="AJ495" s="156">
        <f t="shared" si="7"/>
        <v>0.10396167788710514</v>
      </c>
    </row>
    <row r="496" spans="1:36" x14ac:dyDescent="0.3">
      <c r="A496" s="152">
        <v>44547</v>
      </c>
      <c r="B496" s="153">
        <v>80.2</v>
      </c>
      <c r="C496" s="153">
        <v>80.2</v>
      </c>
      <c r="D496" s="153">
        <v>79.2</v>
      </c>
      <c r="E496" s="153">
        <v>79.3</v>
      </c>
      <c r="F496" s="154">
        <v>235091</v>
      </c>
      <c r="G496" s="155">
        <v>18673757</v>
      </c>
      <c r="H496" s="153">
        <v>199</v>
      </c>
      <c r="I496" s="155"/>
      <c r="J496" s="155"/>
      <c r="K496" s="155"/>
      <c r="L496" s="155"/>
      <c r="M496" s="155"/>
      <c r="N496" s="155"/>
      <c r="O496" s="148">
        <v>44547</v>
      </c>
      <c r="P496" s="149">
        <v>73.5</v>
      </c>
      <c r="Q496" s="149">
        <v>73.5</v>
      </c>
      <c r="R496" s="149">
        <v>72.8</v>
      </c>
      <c r="S496" s="149">
        <v>73</v>
      </c>
      <c r="T496" s="150">
        <v>28953</v>
      </c>
      <c r="U496" s="151">
        <v>2113721.9</v>
      </c>
      <c r="V496" s="149">
        <v>48</v>
      </c>
      <c r="Z496" s="1">
        <v>44428</v>
      </c>
      <c r="AA496">
        <v>68.760000000000005</v>
      </c>
      <c r="AB496">
        <v>19541</v>
      </c>
      <c r="AC496">
        <v>47349</v>
      </c>
      <c r="AF496" s="1">
        <v>44428</v>
      </c>
      <c r="AG496">
        <v>77.06</v>
      </c>
      <c r="AJ496" s="156">
        <f t="shared" si="7"/>
        <v>0.10770827926291197</v>
      </c>
    </row>
    <row r="497" spans="1:36" x14ac:dyDescent="0.3">
      <c r="A497" s="152">
        <v>44546</v>
      </c>
      <c r="B497" s="153">
        <v>80.5</v>
      </c>
      <c r="C497" s="153">
        <v>80.5</v>
      </c>
      <c r="D497" s="153">
        <v>79.5</v>
      </c>
      <c r="E497" s="153">
        <v>79.599999999999994</v>
      </c>
      <c r="F497" s="154">
        <v>2539290</v>
      </c>
      <c r="G497" s="155">
        <v>202009042.30000001</v>
      </c>
      <c r="H497" s="153">
        <v>267</v>
      </c>
      <c r="I497" s="155"/>
      <c r="J497" s="155"/>
      <c r="K497" s="155"/>
      <c r="L497" s="155"/>
      <c r="M497" s="155"/>
      <c r="N497" s="155"/>
      <c r="O497" s="148">
        <v>44546</v>
      </c>
      <c r="P497" s="149">
        <v>74</v>
      </c>
      <c r="Q497" s="149">
        <v>74</v>
      </c>
      <c r="R497" s="149">
        <v>72.7</v>
      </c>
      <c r="S497" s="149">
        <v>73.400000000000006</v>
      </c>
      <c r="T497" s="150">
        <v>3899</v>
      </c>
      <c r="U497" s="151">
        <v>285703.40000000002</v>
      </c>
      <c r="V497" s="149">
        <v>21</v>
      </c>
      <c r="Z497" s="1">
        <v>44427</v>
      </c>
      <c r="AA497">
        <v>69.209999999999994</v>
      </c>
      <c r="AB497">
        <v>106444</v>
      </c>
      <c r="AC497">
        <v>46925</v>
      </c>
      <c r="AF497" s="1">
        <v>44427</v>
      </c>
      <c r="AG497">
        <v>77.52</v>
      </c>
      <c r="AJ497" s="156">
        <f t="shared" si="7"/>
        <v>0.10719814241486071</v>
      </c>
    </row>
    <row r="498" spans="1:36" x14ac:dyDescent="0.3">
      <c r="A498" s="152">
        <v>44545</v>
      </c>
      <c r="B498" s="153">
        <v>79.5</v>
      </c>
      <c r="C498" s="153">
        <v>80.400000000000006</v>
      </c>
      <c r="D498" s="153">
        <v>79</v>
      </c>
      <c r="E498" s="153">
        <v>80</v>
      </c>
      <c r="F498" s="154">
        <v>5207644</v>
      </c>
      <c r="G498" s="155">
        <v>416099160.30000001</v>
      </c>
      <c r="H498" s="153">
        <v>311</v>
      </c>
      <c r="I498" s="155"/>
      <c r="J498" s="155"/>
      <c r="K498" s="155"/>
      <c r="L498" s="155"/>
      <c r="M498" s="155"/>
      <c r="N498" s="155"/>
      <c r="O498" s="148">
        <v>44545</v>
      </c>
      <c r="P498" s="149">
        <v>72.8</v>
      </c>
      <c r="Q498" s="149">
        <v>74.5</v>
      </c>
      <c r="R498" s="149">
        <v>72.599999999999994</v>
      </c>
      <c r="S498" s="149">
        <v>73.400000000000006</v>
      </c>
      <c r="T498" s="150">
        <v>18862</v>
      </c>
      <c r="U498" s="151">
        <v>1380635</v>
      </c>
      <c r="V498" s="149">
        <v>45</v>
      </c>
      <c r="Z498" s="1">
        <v>44426</v>
      </c>
      <c r="AA498">
        <v>68.67</v>
      </c>
      <c r="AB498">
        <v>25173</v>
      </c>
      <c r="AC498">
        <v>40189</v>
      </c>
      <c r="AF498" s="1">
        <v>44426</v>
      </c>
      <c r="AG498">
        <v>77.430000000000007</v>
      </c>
      <c r="AJ498" s="156">
        <f t="shared" si="7"/>
        <v>0.11313444401394813</v>
      </c>
    </row>
    <row r="499" spans="1:36" x14ac:dyDescent="0.3">
      <c r="A499" s="152">
        <v>44544</v>
      </c>
      <c r="B499" s="153">
        <v>79.900000000000006</v>
      </c>
      <c r="C499" s="153">
        <v>80</v>
      </c>
      <c r="D499" s="153">
        <v>79.5</v>
      </c>
      <c r="E499" s="153">
        <v>79.599999999999994</v>
      </c>
      <c r="F499" s="154">
        <v>182485</v>
      </c>
      <c r="G499" s="155">
        <v>14532577.699999999</v>
      </c>
      <c r="H499" s="153">
        <v>290</v>
      </c>
      <c r="I499" s="155"/>
      <c r="J499" s="155"/>
      <c r="K499" s="155"/>
      <c r="L499" s="155"/>
      <c r="M499" s="155"/>
      <c r="N499" s="155"/>
      <c r="O499" s="148">
        <v>44544</v>
      </c>
      <c r="P499" s="149">
        <v>73</v>
      </c>
      <c r="Q499" s="149">
        <v>74</v>
      </c>
      <c r="R499" s="149">
        <v>72.5</v>
      </c>
      <c r="S499" s="149">
        <v>73</v>
      </c>
      <c r="T499" s="150">
        <v>13034</v>
      </c>
      <c r="U499" s="151">
        <v>951337.9</v>
      </c>
      <c r="V499" s="149">
        <v>64</v>
      </c>
      <c r="Z499" s="1">
        <v>44425</v>
      </c>
      <c r="AA499">
        <v>68.400000000000006</v>
      </c>
      <c r="AB499">
        <v>30392</v>
      </c>
      <c r="AC499">
        <v>41847</v>
      </c>
      <c r="AF499" s="1">
        <v>44425</v>
      </c>
      <c r="AG499">
        <v>77.06</v>
      </c>
      <c r="AJ499" s="156">
        <f t="shared" si="7"/>
        <v>0.11237996366467683</v>
      </c>
    </row>
    <row r="500" spans="1:36" x14ac:dyDescent="0.3">
      <c r="A500" s="152">
        <v>44543</v>
      </c>
      <c r="B500" s="153">
        <v>80</v>
      </c>
      <c r="C500" s="153">
        <v>80.099999999999994</v>
      </c>
      <c r="D500" s="153">
        <v>79.599999999999994</v>
      </c>
      <c r="E500" s="153">
        <v>79.8</v>
      </c>
      <c r="F500" s="154">
        <v>600802</v>
      </c>
      <c r="G500" s="155">
        <v>48040046.299999997</v>
      </c>
      <c r="H500" s="153">
        <v>331</v>
      </c>
      <c r="I500" s="155"/>
      <c r="J500" s="155"/>
      <c r="K500" s="155"/>
      <c r="L500" s="155"/>
      <c r="M500" s="155"/>
      <c r="N500" s="155"/>
      <c r="O500" s="148">
        <v>44543</v>
      </c>
      <c r="P500" s="149">
        <v>74.599999999999994</v>
      </c>
      <c r="Q500" s="149">
        <v>74.599999999999994</v>
      </c>
      <c r="R500" s="149">
        <v>72.7</v>
      </c>
      <c r="S500" s="149">
        <v>72.900000000000006</v>
      </c>
      <c r="T500" s="150">
        <v>46063</v>
      </c>
      <c r="U500" s="151">
        <v>3371887.9</v>
      </c>
      <c r="V500" s="149">
        <v>109</v>
      </c>
      <c r="Z500" s="1">
        <v>44424</v>
      </c>
      <c r="AA500">
        <v>67.95</v>
      </c>
      <c r="AB500">
        <v>3005</v>
      </c>
      <c r="AC500">
        <v>40677</v>
      </c>
      <c r="AF500" s="1">
        <v>44424</v>
      </c>
      <c r="AG500">
        <v>76.06</v>
      </c>
      <c r="AJ500" s="156">
        <f t="shared" si="7"/>
        <v>0.10662634762029975</v>
      </c>
    </row>
    <row r="501" spans="1:36" x14ac:dyDescent="0.3">
      <c r="A501" s="152">
        <v>44540</v>
      </c>
      <c r="B501" s="153">
        <v>81</v>
      </c>
      <c r="C501" s="153">
        <v>81</v>
      </c>
      <c r="D501" s="153">
        <v>79.900000000000006</v>
      </c>
      <c r="E501" s="153">
        <v>80</v>
      </c>
      <c r="F501" s="154">
        <v>966476</v>
      </c>
      <c r="G501" s="155">
        <v>77327483.299999997</v>
      </c>
      <c r="H501" s="153">
        <v>281</v>
      </c>
      <c r="I501" s="155"/>
      <c r="J501" s="155"/>
      <c r="K501" s="155"/>
      <c r="L501" s="155"/>
      <c r="M501" s="155"/>
      <c r="N501" s="155"/>
      <c r="O501" s="148">
        <v>44540</v>
      </c>
      <c r="P501" s="149">
        <v>74.099999999999994</v>
      </c>
      <c r="Q501" s="149">
        <v>74.099999999999994</v>
      </c>
      <c r="R501" s="149">
        <v>73</v>
      </c>
      <c r="S501" s="149">
        <v>73.900000000000006</v>
      </c>
      <c r="T501" s="150">
        <v>28640</v>
      </c>
      <c r="U501" s="151">
        <v>2109087.4</v>
      </c>
      <c r="V501" s="149">
        <v>75</v>
      </c>
      <c r="Z501" s="1">
        <v>44421</v>
      </c>
      <c r="AA501">
        <v>68.13</v>
      </c>
      <c r="AB501">
        <v>66807</v>
      </c>
      <c r="AC501">
        <v>42084</v>
      </c>
      <c r="AF501" s="1">
        <v>44421</v>
      </c>
      <c r="AG501">
        <v>76.06</v>
      </c>
      <c r="AJ501" s="156">
        <f t="shared" si="7"/>
        <v>0.10425979489876422</v>
      </c>
    </row>
    <row r="502" spans="1:36" x14ac:dyDescent="0.3">
      <c r="A502" s="152">
        <v>44539</v>
      </c>
      <c r="B502" s="153">
        <v>80.599999999999994</v>
      </c>
      <c r="C502" s="153">
        <v>81</v>
      </c>
      <c r="D502" s="153">
        <v>79.900000000000006</v>
      </c>
      <c r="E502" s="153">
        <v>80</v>
      </c>
      <c r="F502" s="154">
        <v>368161</v>
      </c>
      <c r="G502" s="155">
        <v>29498423</v>
      </c>
      <c r="H502" s="153">
        <v>234</v>
      </c>
      <c r="I502" s="155"/>
      <c r="J502" s="155"/>
      <c r="K502" s="155"/>
      <c r="L502" s="155"/>
      <c r="M502" s="155"/>
      <c r="N502" s="155"/>
      <c r="O502" s="148">
        <v>44539</v>
      </c>
      <c r="P502" s="149">
        <v>73</v>
      </c>
      <c r="Q502" s="149">
        <v>74.8</v>
      </c>
      <c r="R502" s="149">
        <v>73</v>
      </c>
      <c r="S502" s="149">
        <v>74.3</v>
      </c>
      <c r="T502" s="150">
        <v>67190</v>
      </c>
      <c r="U502" s="151">
        <v>4995549.4000000004</v>
      </c>
      <c r="V502" s="149">
        <v>26</v>
      </c>
      <c r="Z502" s="1">
        <v>44420</v>
      </c>
      <c r="AA502">
        <v>66.42</v>
      </c>
      <c r="AB502">
        <v>57379</v>
      </c>
      <c r="AC502">
        <v>43357</v>
      </c>
      <c r="AF502" s="1">
        <v>44420</v>
      </c>
      <c r="AG502">
        <v>75.42</v>
      </c>
      <c r="AJ502" s="156">
        <f t="shared" si="7"/>
        <v>0.11933174224343675</v>
      </c>
    </row>
    <row r="503" spans="1:36" x14ac:dyDescent="0.3">
      <c r="A503" s="152">
        <v>44538</v>
      </c>
      <c r="B503" s="153">
        <v>80.599999999999994</v>
      </c>
      <c r="C503" s="153">
        <v>80.7</v>
      </c>
      <c r="D503" s="153">
        <v>80</v>
      </c>
      <c r="E503" s="153">
        <v>80.2</v>
      </c>
      <c r="F503" s="154">
        <v>258261</v>
      </c>
      <c r="G503" s="155">
        <v>20689758.600000001</v>
      </c>
      <c r="H503" s="153">
        <v>140</v>
      </c>
      <c r="I503" s="155"/>
      <c r="J503" s="155"/>
      <c r="K503" s="155"/>
      <c r="L503" s="155"/>
      <c r="M503" s="155"/>
      <c r="N503" s="155"/>
      <c r="O503" s="148">
        <v>44538</v>
      </c>
      <c r="P503" s="149">
        <v>73.099999999999994</v>
      </c>
      <c r="Q503" s="149">
        <v>73.099999999999994</v>
      </c>
      <c r="R503" s="149">
        <v>72.900000000000006</v>
      </c>
      <c r="S503" s="149">
        <v>73</v>
      </c>
      <c r="T503" s="150">
        <v>25433</v>
      </c>
      <c r="U503" s="151">
        <v>1856244.2</v>
      </c>
      <c r="V503" s="149">
        <v>70</v>
      </c>
      <c r="Z503" s="1">
        <v>44419</v>
      </c>
      <c r="AA503">
        <v>66.87</v>
      </c>
      <c r="AB503">
        <v>9739</v>
      </c>
      <c r="AC503">
        <v>41178</v>
      </c>
      <c r="AF503" s="1">
        <v>44419</v>
      </c>
      <c r="AG503">
        <v>75.88</v>
      </c>
      <c r="AJ503" s="156">
        <f t="shared" si="7"/>
        <v>0.11874011597258818</v>
      </c>
    </row>
    <row r="504" spans="1:36" x14ac:dyDescent="0.3">
      <c r="A504" s="152">
        <v>44537</v>
      </c>
      <c r="B504" s="153">
        <v>80.099999999999994</v>
      </c>
      <c r="C504" s="153">
        <v>81.5</v>
      </c>
      <c r="D504" s="153">
        <v>79.900000000000006</v>
      </c>
      <c r="E504" s="153">
        <v>80.5</v>
      </c>
      <c r="F504" s="154">
        <v>323377</v>
      </c>
      <c r="G504" s="155">
        <v>25873841.600000001</v>
      </c>
      <c r="H504" s="153">
        <v>393</v>
      </c>
      <c r="I504" s="155"/>
      <c r="J504" s="155"/>
      <c r="K504" s="155"/>
      <c r="L504" s="155"/>
      <c r="M504" s="155"/>
      <c r="N504" s="155"/>
      <c r="O504" s="148">
        <v>44537</v>
      </c>
      <c r="P504" s="149">
        <v>73</v>
      </c>
      <c r="Q504" s="149">
        <v>74.400000000000006</v>
      </c>
      <c r="R504" s="149">
        <v>72.8</v>
      </c>
      <c r="S504" s="149">
        <v>73</v>
      </c>
      <c r="T504" s="150">
        <v>66784</v>
      </c>
      <c r="U504" s="151">
        <v>4882122.5</v>
      </c>
      <c r="V504" s="149">
        <v>92</v>
      </c>
      <c r="Z504" s="1">
        <v>44418</v>
      </c>
      <c r="AA504">
        <v>67.05</v>
      </c>
      <c r="AB504">
        <v>38232</v>
      </c>
      <c r="AC504">
        <v>41816</v>
      </c>
      <c r="AF504" s="1">
        <v>44418</v>
      </c>
      <c r="AG504">
        <v>75.52</v>
      </c>
      <c r="AJ504" s="156">
        <f t="shared" si="7"/>
        <v>0.11215572033898304</v>
      </c>
    </row>
    <row r="505" spans="1:36" x14ac:dyDescent="0.3">
      <c r="A505" s="152">
        <v>44536</v>
      </c>
      <c r="B505" s="153">
        <v>80</v>
      </c>
      <c r="C505" s="153">
        <v>81.5</v>
      </c>
      <c r="D505" s="153">
        <v>79.7</v>
      </c>
      <c r="E505" s="153">
        <v>81.2</v>
      </c>
      <c r="F505" s="154">
        <v>29871</v>
      </c>
      <c r="G505" s="155">
        <v>2405185.6</v>
      </c>
      <c r="H505" s="153">
        <v>113</v>
      </c>
      <c r="I505" s="155"/>
      <c r="J505" s="155"/>
      <c r="K505" s="155"/>
      <c r="L505" s="155"/>
      <c r="M505" s="155"/>
      <c r="N505" s="155"/>
      <c r="O505" s="148">
        <v>44536</v>
      </c>
      <c r="P505" s="149">
        <v>75</v>
      </c>
      <c r="Q505" s="149">
        <v>75</v>
      </c>
      <c r="R505" s="149">
        <v>72.900000000000006</v>
      </c>
      <c r="S505" s="149">
        <v>73.3</v>
      </c>
      <c r="T505" s="150">
        <v>35368</v>
      </c>
      <c r="U505" s="151">
        <v>2591975.9</v>
      </c>
      <c r="V505" s="149">
        <v>68</v>
      </c>
      <c r="Z505" s="1">
        <v>44417</v>
      </c>
      <c r="AA505">
        <v>67.41</v>
      </c>
      <c r="AB505">
        <v>7853</v>
      </c>
      <c r="AC505">
        <v>40705</v>
      </c>
      <c r="AF505" s="1">
        <v>44417</v>
      </c>
      <c r="AG505">
        <v>75.52</v>
      </c>
      <c r="AJ505" s="156">
        <f t="shared" si="7"/>
        <v>0.10738877118644068</v>
      </c>
    </row>
    <row r="506" spans="1:36" x14ac:dyDescent="0.3">
      <c r="A506" s="152">
        <v>44533</v>
      </c>
      <c r="B506" s="153">
        <v>80.900000000000006</v>
      </c>
      <c r="C506" s="153">
        <v>81</v>
      </c>
      <c r="D506" s="153">
        <v>80</v>
      </c>
      <c r="E506" s="153">
        <v>80.099999999999994</v>
      </c>
      <c r="F506" s="154">
        <v>202006</v>
      </c>
      <c r="G506" s="155">
        <v>16204417.6</v>
      </c>
      <c r="H506" s="153">
        <v>250</v>
      </c>
      <c r="I506" s="155"/>
      <c r="J506" s="155"/>
      <c r="K506" s="155"/>
      <c r="L506" s="155"/>
      <c r="M506" s="155"/>
      <c r="N506" s="155"/>
      <c r="O506" s="148">
        <v>44533</v>
      </c>
      <c r="P506" s="149">
        <v>73.400000000000006</v>
      </c>
      <c r="Q506" s="149">
        <v>75</v>
      </c>
      <c r="R506" s="149">
        <v>73</v>
      </c>
      <c r="S506" s="149">
        <v>73.400000000000006</v>
      </c>
      <c r="T506" s="150">
        <v>30722</v>
      </c>
      <c r="U506" s="151">
        <v>2258593.2000000002</v>
      </c>
      <c r="V506" s="149">
        <v>75</v>
      </c>
      <c r="Z506" s="1">
        <v>44414</v>
      </c>
      <c r="AA506">
        <v>68.22</v>
      </c>
      <c r="AB506">
        <v>66714</v>
      </c>
      <c r="AC506">
        <v>42974</v>
      </c>
      <c r="AF506" s="1">
        <v>44414</v>
      </c>
      <c r="AG506">
        <v>76.150000000000006</v>
      </c>
      <c r="AJ506" s="156">
        <f t="shared" si="7"/>
        <v>0.10413657255416948</v>
      </c>
    </row>
    <row r="507" spans="1:36" x14ac:dyDescent="0.3">
      <c r="A507" s="152">
        <v>44532</v>
      </c>
      <c r="B507" s="153">
        <v>82.9</v>
      </c>
      <c r="C507" s="153">
        <v>82.9</v>
      </c>
      <c r="D507" s="153">
        <v>80.5</v>
      </c>
      <c r="E507" s="153">
        <v>80.7</v>
      </c>
      <c r="F507" s="154">
        <v>111906</v>
      </c>
      <c r="G507" s="155">
        <v>9062326.5</v>
      </c>
      <c r="H507" s="153">
        <v>143</v>
      </c>
      <c r="I507" s="155"/>
      <c r="J507" s="155"/>
      <c r="K507" s="155"/>
      <c r="L507" s="155"/>
      <c r="M507" s="155"/>
      <c r="N507" s="155"/>
      <c r="O507" s="148">
        <v>44532</v>
      </c>
      <c r="P507" s="149">
        <v>73.7</v>
      </c>
      <c r="Q507" s="149">
        <v>73.900000000000006</v>
      </c>
      <c r="R507" s="149">
        <v>73.400000000000006</v>
      </c>
      <c r="S507" s="149">
        <v>73.5</v>
      </c>
      <c r="T507" s="150">
        <v>12768</v>
      </c>
      <c r="U507" s="151">
        <v>940684.6</v>
      </c>
      <c r="V507" s="149">
        <v>35</v>
      </c>
      <c r="Z507" s="1">
        <v>44413</v>
      </c>
      <c r="AA507">
        <v>67.14</v>
      </c>
      <c r="AB507">
        <v>56319</v>
      </c>
      <c r="AC507">
        <v>39547</v>
      </c>
      <c r="AF507" s="1">
        <v>44413</v>
      </c>
      <c r="AG507">
        <v>76.06</v>
      </c>
      <c r="AJ507" s="156">
        <f t="shared" si="7"/>
        <v>0.11727583486721012</v>
      </c>
    </row>
    <row r="508" spans="1:36" x14ac:dyDescent="0.3">
      <c r="A508" s="152">
        <v>44531</v>
      </c>
      <c r="B508" s="153">
        <v>80</v>
      </c>
      <c r="C508" s="153">
        <v>81.5</v>
      </c>
      <c r="D508" s="153">
        <v>80</v>
      </c>
      <c r="E508" s="153">
        <v>80.8</v>
      </c>
      <c r="F508" s="154">
        <v>202203</v>
      </c>
      <c r="G508" s="155">
        <v>16339305</v>
      </c>
      <c r="H508" s="153">
        <v>200</v>
      </c>
      <c r="I508" s="155"/>
      <c r="J508" s="155"/>
      <c r="K508" s="155"/>
      <c r="L508" s="155"/>
      <c r="M508" s="155"/>
      <c r="N508" s="155"/>
      <c r="O508" s="148">
        <v>44531</v>
      </c>
      <c r="P508" s="149">
        <v>73.5</v>
      </c>
      <c r="Q508" s="149">
        <v>73.900000000000006</v>
      </c>
      <c r="R508" s="149">
        <v>73.099999999999994</v>
      </c>
      <c r="S508" s="149">
        <v>73.2</v>
      </c>
      <c r="T508" s="150">
        <v>46842</v>
      </c>
      <c r="U508" s="151">
        <v>3428380.5</v>
      </c>
      <c r="V508" s="149">
        <v>99</v>
      </c>
      <c r="Z508" s="1">
        <v>44412</v>
      </c>
      <c r="AA508">
        <v>69.03</v>
      </c>
      <c r="AB508">
        <v>44823</v>
      </c>
      <c r="AC508">
        <v>36312</v>
      </c>
      <c r="AF508" s="1">
        <v>44412</v>
      </c>
      <c r="AG508">
        <v>76.88</v>
      </c>
      <c r="AJ508" s="156">
        <f t="shared" si="7"/>
        <v>0.10210718002081158</v>
      </c>
    </row>
    <row r="509" spans="1:36" x14ac:dyDescent="0.3">
      <c r="A509" s="152">
        <v>44530</v>
      </c>
      <c r="B509" s="153">
        <v>82.3</v>
      </c>
      <c r="C509" s="153">
        <v>82.3</v>
      </c>
      <c r="D509" s="153">
        <v>79.900000000000006</v>
      </c>
      <c r="E509" s="153">
        <v>80.099999999999994</v>
      </c>
      <c r="F509" s="154">
        <v>1427202</v>
      </c>
      <c r="G509" s="155">
        <v>114815059.3</v>
      </c>
      <c r="H509" s="153">
        <v>757</v>
      </c>
      <c r="I509" s="155"/>
      <c r="J509" s="155"/>
      <c r="K509" s="155"/>
      <c r="L509" s="155"/>
      <c r="M509" s="155"/>
      <c r="N509" s="155"/>
      <c r="O509" s="148">
        <v>44530</v>
      </c>
      <c r="P509" s="149">
        <v>73.8</v>
      </c>
      <c r="Q509" s="149">
        <v>73.900000000000006</v>
      </c>
      <c r="R509" s="149">
        <v>73</v>
      </c>
      <c r="S509" s="149">
        <v>73.3</v>
      </c>
      <c r="T509" s="150">
        <v>77472</v>
      </c>
      <c r="U509" s="151">
        <v>5686191</v>
      </c>
      <c r="V509" s="149">
        <v>136</v>
      </c>
      <c r="Z509" s="1">
        <v>44411</v>
      </c>
      <c r="AA509">
        <v>67.77</v>
      </c>
      <c r="AB509">
        <v>80645</v>
      </c>
      <c r="AC509">
        <v>34291</v>
      </c>
      <c r="AF509" s="1">
        <v>44411</v>
      </c>
      <c r="AG509">
        <v>76.88</v>
      </c>
      <c r="AJ509" s="156">
        <f t="shared" si="7"/>
        <v>0.11849635796045786</v>
      </c>
    </row>
    <row r="510" spans="1:36" x14ac:dyDescent="0.3">
      <c r="A510" s="152">
        <v>44529</v>
      </c>
      <c r="B510" s="153">
        <v>82</v>
      </c>
      <c r="C510" s="153">
        <v>82.5</v>
      </c>
      <c r="D510" s="153">
        <v>81.3</v>
      </c>
      <c r="E510" s="153">
        <v>81.900000000000006</v>
      </c>
      <c r="F510" s="154">
        <v>441172</v>
      </c>
      <c r="G510" s="155">
        <v>36108482.399999999</v>
      </c>
      <c r="H510" s="153">
        <v>360</v>
      </c>
      <c r="I510" s="155"/>
      <c r="J510" s="155"/>
      <c r="K510" s="155"/>
      <c r="L510" s="155"/>
      <c r="M510" s="155"/>
      <c r="N510" s="155"/>
      <c r="O510" s="148">
        <v>44529</v>
      </c>
      <c r="P510" s="149">
        <v>73.599999999999994</v>
      </c>
      <c r="Q510" s="149">
        <v>74.5</v>
      </c>
      <c r="R510" s="149">
        <v>73.5</v>
      </c>
      <c r="S510" s="149">
        <v>73.8</v>
      </c>
      <c r="T510" s="150">
        <v>21965</v>
      </c>
      <c r="U510" s="151">
        <v>1616800.7</v>
      </c>
      <c r="V510" s="149">
        <v>80</v>
      </c>
      <c r="Z510" s="1">
        <v>44410</v>
      </c>
      <c r="AA510">
        <v>68.31</v>
      </c>
      <c r="AB510">
        <v>97162</v>
      </c>
      <c r="AC510">
        <v>38669</v>
      </c>
      <c r="AF510" s="1">
        <v>44410</v>
      </c>
      <c r="AG510">
        <v>77.430000000000007</v>
      </c>
      <c r="AJ510" s="156">
        <f t="shared" si="7"/>
        <v>0.1177838047268501</v>
      </c>
    </row>
    <row r="511" spans="1:36" x14ac:dyDescent="0.3">
      <c r="A511" s="152">
        <v>44526</v>
      </c>
      <c r="B511" s="153">
        <v>83</v>
      </c>
      <c r="C511" s="153">
        <v>83.1</v>
      </c>
      <c r="D511" s="153">
        <v>82</v>
      </c>
      <c r="E511" s="153">
        <v>82.6</v>
      </c>
      <c r="F511" s="154">
        <v>155830</v>
      </c>
      <c r="G511" s="155">
        <v>12870939.300000001</v>
      </c>
      <c r="H511" s="153">
        <v>211</v>
      </c>
      <c r="I511" s="155"/>
      <c r="J511" s="155"/>
      <c r="K511" s="155"/>
      <c r="L511" s="155"/>
      <c r="M511" s="155"/>
      <c r="N511" s="155"/>
      <c r="O511" s="148">
        <v>44526</v>
      </c>
      <c r="P511" s="149">
        <v>74.2</v>
      </c>
      <c r="Q511" s="149">
        <v>74.400000000000006</v>
      </c>
      <c r="R511" s="149">
        <v>73.5</v>
      </c>
      <c r="S511" s="149">
        <v>74</v>
      </c>
      <c r="T511" s="150">
        <v>73897</v>
      </c>
      <c r="U511" s="151">
        <v>5456831.2999999998</v>
      </c>
      <c r="V511" s="149">
        <v>122</v>
      </c>
      <c r="Z511" s="1">
        <v>44407</v>
      </c>
      <c r="AA511">
        <v>69.56</v>
      </c>
      <c r="AB511">
        <v>13186</v>
      </c>
      <c r="AC511">
        <v>33028</v>
      </c>
      <c r="AF511" s="1">
        <v>44407</v>
      </c>
      <c r="AG511">
        <v>77.61</v>
      </c>
      <c r="AJ511" s="156">
        <f t="shared" si="7"/>
        <v>0.1037237469398273</v>
      </c>
    </row>
    <row r="512" spans="1:36" x14ac:dyDescent="0.3">
      <c r="A512" s="152">
        <v>44525</v>
      </c>
      <c r="B512" s="153">
        <v>84</v>
      </c>
      <c r="C512" s="153">
        <v>84</v>
      </c>
      <c r="D512" s="153">
        <v>83</v>
      </c>
      <c r="E512" s="153">
        <v>83.1</v>
      </c>
      <c r="F512" s="154">
        <v>388652</v>
      </c>
      <c r="G512" s="155">
        <v>32372762.199999999</v>
      </c>
      <c r="H512" s="153">
        <v>226</v>
      </c>
      <c r="I512" s="155"/>
      <c r="J512" s="155"/>
      <c r="K512" s="155"/>
      <c r="L512" s="155"/>
      <c r="M512" s="155"/>
      <c r="N512" s="155"/>
      <c r="O512" s="148">
        <v>44525</v>
      </c>
      <c r="P512" s="149">
        <v>74.099999999999994</v>
      </c>
      <c r="Q512" s="149">
        <v>74.5</v>
      </c>
      <c r="R512" s="149">
        <v>74</v>
      </c>
      <c r="S512" s="149">
        <v>74.099999999999994</v>
      </c>
      <c r="T512" s="150">
        <v>87790</v>
      </c>
      <c r="U512" s="151">
        <v>6509269.2000000002</v>
      </c>
      <c r="V512" s="149">
        <v>132</v>
      </c>
      <c r="Z512" s="1">
        <v>44406</v>
      </c>
      <c r="AA512">
        <v>69.650000000000006</v>
      </c>
      <c r="AB512">
        <v>5410</v>
      </c>
      <c r="AC512">
        <v>32796</v>
      </c>
      <c r="AF512" s="1">
        <v>44406</v>
      </c>
      <c r="AG512">
        <v>77.239999999999995</v>
      </c>
      <c r="AJ512" s="156">
        <f t="shared" si="7"/>
        <v>9.8265147591921148E-2</v>
      </c>
    </row>
    <row r="513" spans="1:36" x14ac:dyDescent="0.3">
      <c r="A513" s="152">
        <v>44524</v>
      </c>
      <c r="B513" s="153">
        <v>83.8</v>
      </c>
      <c r="C513" s="153">
        <v>84</v>
      </c>
      <c r="D513" s="153">
        <v>83.5</v>
      </c>
      <c r="E513" s="153">
        <v>83.9</v>
      </c>
      <c r="F513" s="154">
        <v>99526</v>
      </c>
      <c r="G513" s="155">
        <v>8320331.9000000004</v>
      </c>
      <c r="H513" s="153">
        <v>108</v>
      </c>
      <c r="I513" s="155"/>
      <c r="J513" s="155"/>
      <c r="K513" s="155"/>
      <c r="L513" s="155"/>
      <c r="M513" s="155"/>
      <c r="N513" s="155"/>
      <c r="O513" s="148">
        <v>44524</v>
      </c>
      <c r="P513" s="149">
        <v>75.2</v>
      </c>
      <c r="Q513" s="149">
        <v>75.2</v>
      </c>
      <c r="R513" s="149">
        <v>74.099999999999994</v>
      </c>
      <c r="S513" s="149">
        <v>74.400000000000006</v>
      </c>
      <c r="T513" s="150">
        <v>132998</v>
      </c>
      <c r="U513" s="151">
        <v>9923096</v>
      </c>
      <c r="V513" s="149">
        <v>193</v>
      </c>
      <c r="Z513" s="1">
        <v>44405</v>
      </c>
      <c r="AA513">
        <v>68.31</v>
      </c>
      <c r="AB513">
        <v>50034</v>
      </c>
      <c r="AC513">
        <v>52078</v>
      </c>
      <c r="AF513" s="1">
        <v>44405</v>
      </c>
      <c r="AG513">
        <v>76.790000000000006</v>
      </c>
      <c r="AJ513" s="156">
        <f t="shared" si="7"/>
        <v>0.11043104570907675</v>
      </c>
    </row>
    <row r="514" spans="1:36" x14ac:dyDescent="0.3">
      <c r="A514" s="152">
        <v>44523</v>
      </c>
      <c r="B514" s="153">
        <v>84.2</v>
      </c>
      <c r="C514" s="153">
        <v>84.4</v>
      </c>
      <c r="D514" s="153">
        <v>83.5</v>
      </c>
      <c r="E514" s="153">
        <v>83.9</v>
      </c>
      <c r="F514" s="154">
        <v>275265</v>
      </c>
      <c r="G514" s="155">
        <v>23088465.699999999</v>
      </c>
      <c r="H514" s="153">
        <v>148</v>
      </c>
      <c r="I514" s="155"/>
      <c r="J514" s="155"/>
      <c r="K514" s="155"/>
      <c r="L514" s="155"/>
      <c r="M514" s="155"/>
      <c r="N514" s="155"/>
      <c r="O514" s="148">
        <v>44523</v>
      </c>
      <c r="P514" s="149">
        <v>75.3</v>
      </c>
      <c r="Q514" s="149">
        <v>75.7</v>
      </c>
      <c r="R514" s="149">
        <v>74.900000000000006</v>
      </c>
      <c r="S514" s="149">
        <v>75.3</v>
      </c>
      <c r="T514" s="150">
        <v>40656</v>
      </c>
      <c r="U514" s="151">
        <v>3053083.2</v>
      </c>
      <c r="V514" s="149">
        <v>58</v>
      </c>
      <c r="Z514" s="1">
        <v>44404</v>
      </c>
      <c r="AA514">
        <v>68.760000000000005</v>
      </c>
      <c r="AB514">
        <v>12846</v>
      </c>
      <c r="AC514">
        <v>51494</v>
      </c>
      <c r="AF514" s="1">
        <v>44404</v>
      </c>
      <c r="AG514">
        <v>76.430000000000007</v>
      </c>
      <c r="AJ514" s="156">
        <f t="shared" si="7"/>
        <v>0.10035326442496403</v>
      </c>
    </row>
    <row r="515" spans="1:36" x14ac:dyDescent="0.3">
      <c r="A515" s="152">
        <v>44522</v>
      </c>
      <c r="B515" s="153">
        <v>85</v>
      </c>
      <c r="C515" s="153">
        <v>85.3</v>
      </c>
      <c r="D515" s="153">
        <v>84.1</v>
      </c>
      <c r="E515" s="153">
        <v>84.5</v>
      </c>
      <c r="F515" s="154">
        <v>367482</v>
      </c>
      <c r="G515" s="155">
        <v>31159187.399999999</v>
      </c>
      <c r="H515" s="153">
        <v>113</v>
      </c>
      <c r="I515" s="155"/>
      <c r="J515" s="155"/>
      <c r="K515" s="155"/>
      <c r="L515" s="155"/>
      <c r="M515" s="155"/>
      <c r="N515" s="155"/>
      <c r="O515" s="148">
        <v>44522</v>
      </c>
      <c r="P515" s="149">
        <v>75</v>
      </c>
      <c r="Q515" s="149">
        <v>75.7</v>
      </c>
      <c r="R515" s="149">
        <v>75</v>
      </c>
      <c r="S515" s="149">
        <v>75.400000000000006</v>
      </c>
      <c r="T515" s="150">
        <v>14540</v>
      </c>
      <c r="U515" s="151">
        <v>1096331.5</v>
      </c>
      <c r="V515" s="149">
        <v>47</v>
      </c>
      <c r="Z515" s="1">
        <v>44403</v>
      </c>
      <c r="AA515">
        <v>68.67</v>
      </c>
      <c r="AB515">
        <v>24114</v>
      </c>
      <c r="AC515">
        <v>51308</v>
      </c>
      <c r="AF515" s="1">
        <v>44403</v>
      </c>
      <c r="AG515">
        <v>76.33</v>
      </c>
      <c r="AJ515" s="156">
        <f t="shared" si="7"/>
        <v>0.1003537272369972</v>
      </c>
    </row>
    <row r="516" spans="1:36" x14ac:dyDescent="0.3">
      <c r="A516" s="152">
        <v>44519</v>
      </c>
      <c r="B516" s="153">
        <v>84.3</v>
      </c>
      <c r="C516" s="153">
        <v>85.7</v>
      </c>
      <c r="D516" s="153">
        <v>84</v>
      </c>
      <c r="E516" s="153">
        <v>84.7</v>
      </c>
      <c r="F516" s="154">
        <v>259449</v>
      </c>
      <c r="G516" s="155">
        <v>21976320.100000001</v>
      </c>
      <c r="H516" s="153">
        <v>133</v>
      </c>
      <c r="I516" s="155"/>
      <c r="J516" s="155"/>
      <c r="K516" s="155"/>
      <c r="L516" s="155"/>
      <c r="M516" s="155"/>
      <c r="N516" s="155"/>
      <c r="O516" s="148">
        <v>44519</v>
      </c>
      <c r="P516" s="149">
        <v>75.5</v>
      </c>
      <c r="Q516" s="149">
        <v>75.7</v>
      </c>
      <c r="R516" s="149">
        <v>75</v>
      </c>
      <c r="S516" s="149">
        <v>75.2</v>
      </c>
      <c r="T516" s="150">
        <v>49760</v>
      </c>
      <c r="U516" s="151">
        <v>3749410.9</v>
      </c>
      <c r="V516" s="149">
        <v>68</v>
      </c>
      <c r="Z516" s="1">
        <v>44399</v>
      </c>
      <c r="AA516">
        <v>69.39</v>
      </c>
      <c r="AB516">
        <v>85902</v>
      </c>
      <c r="AC516">
        <v>82754</v>
      </c>
      <c r="AF516" s="1">
        <v>44399</v>
      </c>
      <c r="AG516">
        <v>77.430000000000007</v>
      </c>
      <c r="AJ516" s="156">
        <f t="shared" si="7"/>
        <v>0.10383572258814421</v>
      </c>
    </row>
    <row r="517" spans="1:36" x14ac:dyDescent="0.3">
      <c r="A517" s="152">
        <v>44517</v>
      </c>
      <c r="B517" s="153">
        <v>85</v>
      </c>
      <c r="C517" s="153">
        <v>85</v>
      </c>
      <c r="D517" s="153">
        <v>83</v>
      </c>
      <c r="E517" s="153">
        <v>84</v>
      </c>
      <c r="F517" s="154">
        <v>184747</v>
      </c>
      <c r="G517" s="155">
        <v>15455277.5</v>
      </c>
      <c r="H517" s="153">
        <v>174</v>
      </c>
      <c r="I517" s="155"/>
      <c r="J517" s="155"/>
      <c r="K517" s="155"/>
      <c r="L517" s="155"/>
      <c r="M517" s="155"/>
      <c r="N517" s="155"/>
      <c r="O517" s="148">
        <v>44517</v>
      </c>
      <c r="P517" s="149">
        <v>75.5</v>
      </c>
      <c r="Q517" s="149">
        <v>76.900000000000006</v>
      </c>
      <c r="R517" s="149">
        <v>75</v>
      </c>
      <c r="S517" s="149">
        <v>75.5</v>
      </c>
      <c r="T517" s="150">
        <v>25875</v>
      </c>
      <c r="U517" s="151">
        <v>1945961.5</v>
      </c>
      <c r="V517" s="149">
        <v>98</v>
      </c>
      <c r="Z517" s="1">
        <v>44397</v>
      </c>
      <c r="AA517">
        <v>70.010000000000005</v>
      </c>
      <c r="AB517">
        <v>24684</v>
      </c>
      <c r="AC517">
        <v>87569</v>
      </c>
      <c r="AF517" s="1">
        <v>44397</v>
      </c>
      <c r="AG517">
        <v>78.97</v>
      </c>
      <c r="AJ517" s="156">
        <f t="shared" si="7"/>
        <v>0.11346080790173475</v>
      </c>
    </row>
    <row r="518" spans="1:36" x14ac:dyDescent="0.3">
      <c r="A518" s="152">
        <v>44516</v>
      </c>
      <c r="B518" s="153">
        <v>83.7</v>
      </c>
      <c r="C518" s="153">
        <v>85.1</v>
      </c>
      <c r="D518" s="153">
        <v>83.5</v>
      </c>
      <c r="E518" s="153">
        <v>84.2</v>
      </c>
      <c r="F518" s="154">
        <v>380294</v>
      </c>
      <c r="G518" s="155">
        <v>32073052.100000001</v>
      </c>
      <c r="H518" s="153">
        <v>134</v>
      </c>
      <c r="I518" s="155"/>
      <c r="J518" s="155"/>
      <c r="K518" s="155"/>
      <c r="L518" s="155"/>
      <c r="M518" s="155"/>
      <c r="N518" s="155"/>
      <c r="O518" s="148">
        <v>44516</v>
      </c>
      <c r="P518" s="149">
        <v>76.400000000000006</v>
      </c>
      <c r="Q518" s="149">
        <v>76.400000000000006</v>
      </c>
      <c r="R518" s="149">
        <v>75.400000000000006</v>
      </c>
      <c r="S518" s="149">
        <v>75.5</v>
      </c>
      <c r="T518" s="150">
        <v>16862</v>
      </c>
      <c r="U518" s="151">
        <v>1279563.6000000001</v>
      </c>
      <c r="V518" s="149">
        <v>79</v>
      </c>
      <c r="Z518" s="1">
        <v>44396</v>
      </c>
      <c r="AA518">
        <v>70.099999999999994</v>
      </c>
      <c r="AB518">
        <v>19312</v>
      </c>
      <c r="AC518">
        <v>91482</v>
      </c>
      <c r="AF518" s="1">
        <v>44396</v>
      </c>
      <c r="AG518">
        <v>79.88</v>
      </c>
      <c r="AJ518" s="156">
        <f t="shared" ref="AJ518:AJ581" si="8">(AG518-AA518)/AG518</f>
        <v>0.12243365047571358</v>
      </c>
    </row>
    <row r="519" spans="1:36" x14ac:dyDescent="0.3">
      <c r="A519" s="152">
        <v>44515</v>
      </c>
      <c r="B519" s="153">
        <v>83</v>
      </c>
      <c r="C519" s="153">
        <v>85.2</v>
      </c>
      <c r="D519" s="153">
        <v>82.8</v>
      </c>
      <c r="E519" s="153">
        <v>84</v>
      </c>
      <c r="F519" s="154">
        <v>588243</v>
      </c>
      <c r="G519" s="155">
        <v>49482995.299999997</v>
      </c>
      <c r="H519" s="153">
        <v>299</v>
      </c>
      <c r="I519" s="155"/>
      <c r="J519" s="155"/>
      <c r="K519" s="155"/>
      <c r="L519" s="155"/>
      <c r="M519" s="155"/>
      <c r="N519" s="155"/>
      <c r="O519" s="148">
        <v>44515</v>
      </c>
      <c r="P519" s="149">
        <v>75</v>
      </c>
      <c r="Q519" s="149">
        <v>77.400000000000006</v>
      </c>
      <c r="R519" s="149">
        <v>73.900000000000006</v>
      </c>
      <c r="S519" s="149">
        <v>76.400000000000006</v>
      </c>
      <c r="T519" s="150">
        <v>64088</v>
      </c>
      <c r="U519" s="151">
        <v>4884026.8</v>
      </c>
      <c r="V519" s="149">
        <v>114</v>
      </c>
      <c r="Z519" s="1">
        <v>44393</v>
      </c>
      <c r="AA519">
        <v>70.010000000000005</v>
      </c>
      <c r="AB519">
        <v>21569</v>
      </c>
      <c r="AC519">
        <v>92466</v>
      </c>
      <c r="AF519" s="1">
        <v>44393</v>
      </c>
      <c r="AG519">
        <v>79.430000000000007</v>
      </c>
      <c r="AJ519" s="156">
        <f t="shared" si="8"/>
        <v>0.11859498929875363</v>
      </c>
    </row>
    <row r="520" spans="1:36" x14ac:dyDescent="0.3">
      <c r="A520" s="152">
        <v>44512</v>
      </c>
      <c r="B520" s="153">
        <v>86.6</v>
      </c>
      <c r="C520" s="153">
        <v>88</v>
      </c>
      <c r="D520" s="153">
        <v>85</v>
      </c>
      <c r="E520" s="153">
        <v>85.3</v>
      </c>
      <c r="F520" s="154">
        <v>413356</v>
      </c>
      <c r="G520" s="155">
        <v>35599270.899999999</v>
      </c>
      <c r="H520" s="153">
        <v>175</v>
      </c>
      <c r="I520" s="155"/>
      <c r="J520" s="155"/>
      <c r="K520" s="155"/>
      <c r="L520" s="155"/>
      <c r="M520" s="155"/>
      <c r="N520" s="155"/>
      <c r="O520" s="148">
        <v>44512</v>
      </c>
      <c r="P520" s="149">
        <v>78.900000000000006</v>
      </c>
      <c r="Q520" s="149">
        <v>78.900000000000006</v>
      </c>
      <c r="R520" s="149">
        <v>77.7</v>
      </c>
      <c r="S520" s="149">
        <v>78</v>
      </c>
      <c r="T520" s="150">
        <v>6502</v>
      </c>
      <c r="U520" s="151">
        <v>508507.7</v>
      </c>
      <c r="V520" s="149">
        <v>28</v>
      </c>
      <c r="Z520" s="1">
        <v>44392</v>
      </c>
      <c r="AA520">
        <v>69.650000000000006</v>
      </c>
      <c r="AB520">
        <v>41886</v>
      </c>
      <c r="AC520">
        <v>107541</v>
      </c>
      <c r="AF520" s="1">
        <v>44392</v>
      </c>
      <c r="AG520">
        <v>79.16</v>
      </c>
      <c r="AJ520" s="156">
        <f t="shared" si="8"/>
        <v>0.12013643254168761</v>
      </c>
    </row>
    <row r="521" spans="1:36" x14ac:dyDescent="0.3">
      <c r="A521" s="152">
        <v>44511</v>
      </c>
      <c r="B521" s="153">
        <v>86.5</v>
      </c>
      <c r="C521" s="153">
        <v>87.5</v>
      </c>
      <c r="D521" s="153">
        <v>86.5</v>
      </c>
      <c r="E521" s="153">
        <v>86.7</v>
      </c>
      <c r="F521" s="154">
        <v>118622</v>
      </c>
      <c r="G521" s="155">
        <v>10303810.5</v>
      </c>
      <c r="H521" s="153">
        <v>85</v>
      </c>
      <c r="I521" s="155"/>
      <c r="J521" s="155"/>
      <c r="K521" s="155"/>
      <c r="L521" s="155"/>
      <c r="M521" s="155"/>
      <c r="N521" s="155"/>
      <c r="O521" s="148">
        <v>44511</v>
      </c>
      <c r="P521" s="149">
        <v>78.599999999999994</v>
      </c>
      <c r="Q521" s="149">
        <v>79</v>
      </c>
      <c r="R521" s="149">
        <v>78</v>
      </c>
      <c r="S521" s="149">
        <v>78.099999999999994</v>
      </c>
      <c r="T521" s="150">
        <v>27193</v>
      </c>
      <c r="U521" s="151">
        <v>2129932</v>
      </c>
      <c r="V521" s="149">
        <v>59</v>
      </c>
      <c r="Z521" s="1">
        <v>44391</v>
      </c>
      <c r="AA521">
        <v>69.56</v>
      </c>
      <c r="AB521">
        <v>15312</v>
      </c>
      <c r="AC521">
        <v>105027</v>
      </c>
      <c r="AF521" s="1">
        <v>44391</v>
      </c>
      <c r="AG521">
        <v>79.25</v>
      </c>
      <c r="AJ521" s="156">
        <f t="shared" si="8"/>
        <v>0.12227129337539429</v>
      </c>
    </row>
    <row r="522" spans="1:36" x14ac:dyDescent="0.3">
      <c r="A522" s="152">
        <v>44510</v>
      </c>
      <c r="B522" s="153">
        <v>86.7</v>
      </c>
      <c r="C522" s="153">
        <v>87.4</v>
      </c>
      <c r="D522" s="153">
        <v>86.1</v>
      </c>
      <c r="E522" s="153">
        <v>86.6</v>
      </c>
      <c r="F522" s="154">
        <v>59597</v>
      </c>
      <c r="G522" s="155">
        <v>5157670</v>
      </c>
      <c r="H522" s="153">
        <v>93</v>
      </c>
      <c r="I522" s="155"/>
      <c r="J522" s="155"/>
      <c r="K522" s="155"/>
      <c r="L522" s="155"/>
      <c r="M522" s="155"/>
      <c r="N522" s="155"/>
      <c r="O522" s="148">
        <v>44510</v>
      </c>
      <c r="P522" s="149">
        <v>78.099999999999994</v>
      </c>
      <c r="Q522" s="149">
        <v>80</v>
      </c>
      <c r="R522" s="149">
        <v>78.099999999999994</v>
      </c>
      <c r="S522" s="149">
        <v>79</v>
      </c>
      <c r="T522" s="150">
        <v>8959</v>
      </c>
      <c r="U522" s="151">
        <v>706008.2</v>
      </c>
      <c r="V522" s="149">
        <v>33</v>
      </c>
      <c r="Z522" s="1">
        <v>44390</v>
      </c>
      <c r="AA522">
        <v>69.47</v>
      </c>
      <c r="AB522">
        <v>7791</v>
      </c>
      <c r="AC522">
        <v>111220</v>
      </c>
      <c r="AF522" s="1">
        <v>44390</v>
      </c>
      <c r="AG522">
        <v>79.06</v>
      </c>
      <c r="AJ522" s="156">
        <f t="shared" si="8"/>
        <v>0.12130027826966865</v>
      </c>
    </row>
    <row r="523" spans="1:36" x14ac:dyDescent="0.3">
      <c r="A523" s="152">
        <v>44509</v>
      </c>
      <c r="B523" s="153">
        <v>86.7</v>
      </c>
      <c r="C523" s="153">
        <v>86.7</v>
      </c>
      <c r="D523" s="153">
        <v>86.1</v>
      </c>
      <c r="E523" s="153">
        <v>86.5</v>
      </c>
      <c r="F523" s="154">
        <v>67392</v>
      </c>
      <c r="G523" s="155">
        <v>5827474.9000000004</v>
      </c>
      <c r="H523" s="153">
        <v>92</v>
      </c>
      <c r="I523" s="155"/>
      <c r="J523" s="155"/>
      <c r="K523" s="155"/>
      <c r="L523" s="155"/>
      <c r="M523" s="155"/>
      <c r="N523" s="155"/>
      <c r="O523" s="148">
        <v>44509</v>
      </c>
      <c r="P523" s="149">
        <v>79.5</v>
      </c>
      <c r="Q523" s="149">
        <v>79.5</v>
      </c>
      <c r="R523" s="149">
        <v>78.2</v>
      </c>
      <c r="S523" s="149">
        <v>78.400000000000006</v>
      </c>
      <c r="T523" s="150">
        <v>11042</v>
      </c>
      <c r="U523" s="151">
        <v>870393.4</v>
      </c>
      <c r="V523" s="149">
        <v>36</v>
      </c>
      <c r="Z523" s="1">
        <v>44389</v>
      </c>
      <c r="AA523">
        <v>69.39</v>
      </c>
      <c r="AB523">
        <v>14505</v>
      </c>
      <c r="AC523">
        <v>119926</v>
      </c>
      <c r="AF523" s="1">
        <v>44389</v>
      </c>
      <c r="AG523">
        <v>79.430000000000007</v>
      </c>
      <c r="AJ523" s="156">
        <f t="shared" si="8"/>
        <v>0.12640060430567801</v>
      </c>
    </row>
    <row r="524" spans="1:36" x14ac:dyDescent="0.3">
      <c r="A524" s="152">
        <v>44508</v>
      </c>
      <c r="B524" s="153">
        <v>87.9</v>
      </c>
      <c r="C524" s="153">
        <v>88</v>
      </c>
      <c r="D524" s="153">
        <v>86.5</v>
      </c>
      <c r="E524" s="153">
        <v>87.5</v>
      </c>
      <c r="F524" s="154">
        <v>111165</v>
      </c>
      <c r="G524" s="155">
        <v>9686629.6999999993</v>
      </c>
      <c r="H524" s="153">
        <v>99</v>
      </c>
      <c r="I524" s="155"/>
      <c r="J524" s="155"/>
      <c r="K524" s="155"/>
      <c r="L524" s="155"/>
      <c r="M524" s="155"/>
      <c r="N524" s="155"/>
      <c r="O524" s="148">
        <v>44508</v>
      </c>
      <c r="P524" s="149">
        <v>80</v>
      </c>
      <c r="Q524" s="149">
        <v>80</v>
      </c>
      <c r="R524" s="149">
        <v>78.5</v>
      </c>
      <c r="S524" s="149">
        <v>79.400000000000006</v>
      </c>
      <c r="T524" s="150">
        <v>18421</v>
      </c>
      <c r="U524" s="151">
        <v>1461208.8</v>
      </c>
      <c r="V524" s="149">
        <v>28</v>
      </c>
      <c r="Z524" s="1">
        <v>44386</v>
      </c>
      <c r="AA524">
        <v>69.12</v>
      </c>
      <c r="AB524">
        <v>146328</v>
      </c>
      <c r="AC524">
        <v>121523</v>
      </c>
      <c r="AF524" s="1">
        <v>44386</v>
      </c>
      <c r="AG524">
        <v>79.430000000000007</v>
      </c>
      <c r="AJ524" s="156">
        <f t="shared" si="8"/>
        <v>0.12979982374417728</v>
      </c>
    </row>
    <row r="525" spans="1:36" x14ac:dyDescent="0.3">
      <c r="A525" s="152">
        <v>44505</v>
      </c>
      <c r="B525" s="153">
        <v>89</v>
      </c>
      <c r="C525" s="153">
        <v>89</v>
      </c>
      <c r="D525" s="153">
        <v>87.7</v>
      </c>
      <c r="E525" s="153">
        <v>87.9</v>
      </c>
      <c r="F525" s="154">
        <v>216484</v>
      </c>
      <c r="G525" s="155">
        <v>19049043.300000001</v>
      </c>
      <c r="H525" s="153">
        <v>113</v>
      </c>
      <c r="I525" s="155"/>
      <c r="J525" s="155"/>
      <c r="K525" s="155"/>
      <c r="L525" s="155"/>
      <c r="M525" s="155"/>
      <c r="N525" s="155"/>
      <c r="O525" s="148">
        <v>44505</v>
      </c>
      <c r="P525" s="149">
        <v>80.5</v>
      </c>
      <c r="Q525" s="149">
        <v>80.5</v>
      </c>
      <c r="R525" s="149">
        <v>79.599999999999994</v>
      </c>
      <c r="S525" s="149">
        <v>80</v>
      </c>
      <c r="T525" s="150">
        <v>39712</v>
      </c>
      <c r="U525" s="151">
        <v>3176796.4</v>
      </c>
      <c r="V525" s="149">
        <v>17</v>
      </c>
      <c r="Z525" s="1">
        <v>44385</v>
      </c>
      <c r="AA525">
        <v>69.03</v>
      </c>
      <c r="AB525">
        <v>12542</v>
      </c>
      <c r="AC525">
        <v>131553</v>
      </c>
      <c r="AF525" s="1">
        <v>44385</v>
      </c>
      <c r="AG525">
        <v>78.790000000000006</v>
      </c>
      <c r="AJ525" s="156">
        <f t="shared" si="8"/>
        <v>0.12387358801878416</v>
      </c>
    </row>
    <row r="526" spans="1:36" x14ac:dyDescent="0.3">
      <c r="A526" s="152">
        <v>44503</v>
      </c>
      <c r="B526" s="153">
        <v>89</v>
      </c>
      <c r="C526" s="153">
        <v>90</v>
      </c>
      <c r="D526" s="153">
        <v>88.5</v>
      </c>
      <c r="E526" s="153">
        <v>88.9</v>
      </c>
      <c r="F526" s="154">
        <v>199866</v>
      </c>
      <c r="G526" s="155">
        <v>17782604.399999999</v>
      </c>
      <c r="H526" s="153">
        <v>114</v>
      </c>
      <c r="I526" s="155"/>
      <c r="J526" s="155"/>
      <c r="K526" s="155"/>
      <c r="L526" s="155"/>
      <c r="M526" s="155"/>
      <c r="N526" s="155"/>
      <c r="O526" s="148">
        <v>44503</v>
      </c>
      <c r="P526" s="149">
        <v>78.599999999999994</v>
      </c>
      <c r="Q526" s="149">
        <v>81</v>
      </c>
      <c r="R526" s="149">
        <v>78.599999999999994</v>
      </c>
      <c r="S526" s="149">
        <v>80.5</v>
      </c>
      <c r="T526" s="150">
        <v>77148</v>
      </c>
      <c r="U526" s="151">
        <v>6226519.7999999998</v>
      </c>
      <c r="V526" s="149">
        <v>57</v>
      </c>
      <c r="Z526" s="1">
        <v>44384</v>
      </c>
      <c r="AA526">
        <v>69.209999999999994</v>
      </c>
      <c r="AB526">
        <v>9701</v>
      </c>
      <c r="AC526">
        <v>135347</v>
      </c>
      <c r="AF526" s="1">
        <v>44384</v>
      </c>
      <c r="AG526">
        <v>78.7</v>
      </c>
      <c r="AJ526" s="156">
        <f t="shared" si="8"/>
        <v>0.12058449809402806</v>
      </c>
    </row>
    <row r="527" spans="1:36" x14ac:dyDescent="0.3">
      <c r="A527" s="152">
        <v>44502</v>
      </c>
      <c r="B527" s="153">
        <v>88.2</v>
      </c>
      <c r="C527" s="153">
        <v>89.1</v>
      </c>
      <c r="D527" s="153">
        <v>88</v>
      </c>
      <c r="E527" s="153">
        <v>88.4</v>
      </c>
      <c r="F527" s="154">
        <v>437784</v>
      </c>
      <c r="G527" s="155">
        <v>38764416.899999999</v>
      </c>
      <c r="H527" s="153">
        <v>147</v>
      </c>
      <c r="I527" s="155"/>
      <c r="J527" s="155"/>
      <c r="K527" s="155"/>
      <c r="L527" s="155"/>
      <c r="M527" s="155"/>
      <c r="N527" s="155"/>
      <c r="O527" s="148">
        <v>44502</v>
      </c>
      <c r="P527" s="149">
        <v>78.5</v>
      </c>
      <c r="Q527" s="149">
        <v>80.5</v>
      </c>
      <c r="R527" s="149">
        <v>78.5</v>
      </c>
      <c r="S527" s="149">
        <v>80.099999999999994</v>
      </c>
      <c r="T527" s="150">
        <v>121770</v>
      </c>
      <c r="U527" s="151">
        <v>9726700.4000000004</v>
      </c>
      <c r="V527" s="149">
        <v>59</v>
      </c>
      <c r="Z527" s="1">
        <v>44383</v>
      </c>
      <c r="AA527">
        <v>69.39</v>
      </c>
      <c r="AB527">
        <v>294639</v>
      </c>
      <c r="AC527">
        <v>140949</v>
      </c>
      <c r="AF527" s="1">
        <v>44383</v>
      </c>
      <c r="AG527">
        <v>78.61</v>
      </c>
      <c r="AJ527" s="156">
        <f t="shared" si="8"/>
        <v>0.11728787686045031</v>
      </c>
    </row>
    <row r="528" spans="1:36" x14ac:dyDescent="0.3">
      <c r="A528" s="152">
        <v>44501</v>
      </c>
      <c r="B528" s="153">
        <v>89</v>
      </c>
      <c r="C528" s="153">
        <v>89</v>
      </c>
      <c r="D528" s="153">
        <v>88.1</v>
      </c>
      <c r="E528" s="153">
        <v>88.5</v>
      </c>
      <c r="F528" s="154">
        <v>1218935</v>
      </c>
      <c r="G528" s="155">
        <v>108380902.09999999</v>
      </c>
      <c r="H528" s="153">
        <v>136</v>
      </c>
      <c r="I528" s="155"/>
      <c r="J528" s="155"/>
      <c r="K528" s="155"/>
      <c r="L528" s="155"/>
      <c r="M528" s="155"/>
      <c r="N528" s="155"/>
      <c r="O528" s="148">
        <v>44501</v>
      </c>
      <c r="P528" s="149">
        <v>79</v>
      </c>
      <c r="Q528" s="149">
        <v>79.099999999999994</v>
      </c>
      <c r="R528" s="149">
        <v>78</v>
      </c>
      <c r="S528" s="149">
        <v>78.7</v>
      </c>
      <c r="T528" s="150">
        <v>61192</v>
      </c>
      <c r="U528" s="151">
        <v>4823171.3</v>
      </c>
      <c r="V528" s="149">
        <v>64</v>
      </c>
      <c r="Z528" s="1">
        <v>44382</v>
      </c>
      <c r="AA528">
        <v>69.83</v>
      </c>
      <c r="AB528">
        <v>41280</v>
      </c>
      <c r="AC528">
        <v>126033</v>
      </c>
      <c r="AF528" s="1">
        <v>44382</v>
      </c>
      <c r="AG528">
        <v>79.06</v>
      </c>
      <c r="AJ528" s="156">
        <f t="shared" si="8"/>
        <v>0.11674677460156847</v>
      </c>
    </row>
    <row r="529" spans="1:36" x14ac:dyDescent="0.3">
      <c r="A529" s="152">
        <v>44498</v>
      </c>
      <c r="B529" s="153">
        <v>88.5</v>
      </c>
      <c r="C529" s="153">
        <v>89.5</v>
      </c>
      <c r="D529" s="153">
        <v>87.5</v>
      </c>
      <c r="E529" s="153">
        <v>88.9</v>
      </c>
      <c r="F529" s="154">
        <v>799145</v>
      </c>
      <c r="G529" s="155">
        <v>70954756.5</v>
      </c>
      <c r="H529" s="153">
        <v>127</v>
      </c>
      <c r="I529" s="155"/>
      <c r="J529" s="155"/>
      <c r="K529" s="155"/>
      <c r="L529" s="155"/>
      <c r="M529" s="155"/>
      <c r="N529" s="155"/>
      <c r="O529" s="148">
        <v>44498</v>
      </c>
      <c r="P529" s="149">
        <v>79.099999999999994</v>
      </c>
      <c r="Q529" s="149">
        <v>79.400000000000006</v>
      </c>
      <c r="R529" s="149">
        <v>78.099999999999994</v>
      </c>
      <c r="S529" s="149">
        <v>79.099999999999994</v>
      </c>
      <c r="T529" s="150">
        <v>38111</v>
      </c>
      <c r="U529" s="151">
        <v>3005924.1</v>
      </c>
      <c r="V529" s="149">
        <v>57</v>
      </c>
      <c r="Z529" s="1">
        <v>44379</v>
      </c>
      <c r="AA529">
        <v>70.099999999999994</v>
      </c>
      <c r="AB529">
        <v>10062</v>
      </c>
      <c r="AC529">
        <v>124153</v>
      </c>
      <c r="AF529" s="1">
        <v>44379</v>
      </c>
      <c r="AG529">
        <v>79.97</v>
      </c>
      <c r="AJ529" s="156">
        <f t="shared" si="8"/>
        <v>0.12342128298111797</v>
      </c>
    </row>
    <row r="530" spans="1:36" x14ac:dyDescent="0.3">
      <c r="A530" s="152">
        <v>44497</v>
      </c>
      <c r="B530" s="153">
        <v>88</v>
      </c>
      <c r="C530" s="153">
        <v>89</v>
      </c>
      <c r="D530" s="153">
        <v>87.5</v>
      </c>
      <c r="E530" s="153">
        <v>88.3</v>
      </c>
      <c r="F530" s="154">
        <v>2088060</v>
      </c>
      <c r="G530" s="155">
        <v>183768367.80000001</v>
      </c>
      <c r="H530" s="153">
        <v>107</v>
      </c>
      <c r="I530" s="155"/>
      <c r="J530" s="155"/>
      <c r="K530" s="155"/>
      <c r="L530" s="155"/>
      <c r="M530" s="155"/>
      <c r="N530" s="155"/>
      <c r="O530" s="148">
        <v>44497</v>
      </c>
      <c r="P530" s="149">
        <v>79</v>
      </c>
      <c r="Q530" s="149">
        <v>79.5</v>
      </c>
      <c r="R530" s="149">
        <v>79</v>
      </c>
      <c r="S530" s="149">
        <v>79.400000000000006</v>
      </c>
      <c r="T530" s="150">
        <v>13240</v>
      </c>
      <c r="U530" s="151">
        <v>1051876.8999999999</v>
      </c>
      <c r="V530" s="149">
        <v>27</v>
      </c>
      <c r="Z530" s="1">
        <v>44378</v>
      </c>
      <c r="AA530">
        <v>70.099999999999994</v>
      </c>
      <c r="AB530">
        <v>495800</v>
      </c>
      <c r="AC530">
        <v>130205</v>
      </c>
      <c r="AF530" s="1">
        <v>44378</v>
      </c>
      <c r="AG530">
        <v>80.16</v>
      </c>
      <c r="AJ530" s="156">
        <f t="shared" si="8"/>
        <v>0.12549900199600802</v>
      </c>
    </row>
    <row r="531" spans="1:36" x14ac:dyDescent="0.3">
      <c r="A531" s="152">
        <v>44496</v>
      </c>
      <c r="B531" s="153">
        <v>86.8</v>
      </c>
      <c r="C531" s="153">
        <v>88</v>
      </c>
      <c r="D531" s="153">
        <v>86.4</v>
      </c>
      <c r="E531" s="153">
        <v>87.6</v>
      </c>
      <c r="F531" s="154">
        <v>135027</v>
      </c>
      <c r="G531" s="155">
        <v>11773359.300000001</v>
      </c>
      <c r="H531" s="153">
        <v>152</v>
      </c>
      <c r="I531" s="155"/>
      <c r="J531" s="155"/>
      <c r="K531" s="155"/>
      <c r="L531" s="155"/>
      <c r="M531" s="155"/>
      <c r="N531" s="155"/>
      <c r="O531" s="148">
        <v>44496</v>
      </c>
      <c r="P531" s="149">
        <v>78.5</v>
      </c>
      <c r="Q531" s="149">
        <v>79.5</v>
      </c>
      <c r="R531" s="149">
        <v>78.5</v>
      </c>
      <c r="S531" s="149">
        <v>79.5</v>
      </c>
      <c r="T531" s="150">
        <v>103639</v>
      </c>
      <c r="U531" s="151">
        <v>8201897.2000000002</v>
      </c>
      <c r="V531" s="149">
        <v>67</v>
      </c>
      <c r="Z531" s="1">
        <v>44377</v>
      </c>
      <c r="AA531">
        <v>70.099999999999994</v>
      </c>
      <c r="AB531">
        <v>158120</v>
      </c>
      <c r="AC531">
        <v>97653</v>
      </c>
      <c r="AF531" s="1">
        <v>44377</v>
      </c>
      <c r="AG531">
        <v>80.069999999999993</v>
      </c>
      <c r="AJ531" s="156">
        <f t="shared" si="8"/>
        <v>0.1245160484575996</v>
      </c>
    </row>
    <row r="532" spans="1:36" x14ac:dyDescent="0.3">
      <c r="A532" s="152">
        <v>44495</v>
      </c>
      <c r="B532" s="153">
        <v>87</v>
      </c>
      <c r="C532" s="153">
        <v>88</v>
      </c>
      <c r="D532" s="153">
        <v>86.6</v>
      </c>
      <c r="E532" s="153">
        <v>86.8</v>
      </c>
      <c r="F532" s="154">
        <v>212663</v>
      </c>
      <c r="G532" s="155">
        <v>18575739.899999999</v>
      </c>
      <c r="H532" s="153">
        <v>154</v>
      </c>
      <c r="I532" s="155"/>
      <c r="J532" s="155"/>
      <c r="K532" s="155"/>
      <c r="L532" s="155"/>
      <c r="M532" s="155"/>
      <c r="N532" s="155"/>
      <c r="O532" s="148">
        <v>44495</v>
      </c>
      <c r="P532" s="149">
        <v>79</v>
      </c>
      <c r="Q532" s="149">
        <v>79</v>
      </c>
      <c r="R532" s="149">
        <v>78.5</v>
      </c>
      <c r="S532" s="149">
        <v>78.5</v>
      </c>
      <c r="T532" s="150">
        <v>42267</v>
      </c>
      <c r="U532" s="151">
        <v>3331154</v>
      </c>
      <c r="V532" s="149">
        <v>40</v>
      </c>
      <c r="Z532" s="1">
        <v>44376</v>
      </c>
      <c r="AA532">
        <v>70.55</v>
      </c>
      <c r="AB532">
        <v>83386</v>
      </c>
      <c r="AC532">
        <v>87864</v>
      </c>
      <c r="AF532" s="1">
        <v>44376</v>
      </c>
      <c r="AG532">
        <v>81.7</v>
      </c>
      <c r="AJ532" s="156">
        <f t="shared" si="8"/>
        <v>0.13647490820073446</v>
      </c>
    </row>
    <row r="533" spans="1:36" x14ac:dyDescent="0.3">
      <c r="A533" s="152">
        <v>44494</v>
      </c>
      <c r="B533" s="153">
        <v>88</v>
      </c>
      <c r="C533" s="153">
        <v>88</v>
      </c>
      <c r="D533" s="153">
        <v>86</v>
      </c>
      <c r="E533" s="153">
        <v>87.8</v>
      </c>
      <c r="F533" s="154">
        <v>659808</v>
      </c>
      <c r="G533" s="155">
        <v>57814583.600000001</v>
      </c>
      <c r="H533" s="153">
        <v>164</v>
      </c>
      <c r="I533" s="155"/>
      <c r="J533" s="155"/>
      <c r="K533" s="155"/>
      <c r="L533" s="155"/>
      <c r="M533" s="155"/>
      <c r="N533" s="155"/>
      <c r="O533" s="148">
        <v>44494</v>
      </c>
      <c r="P533" s="149">
        <v>79</v>
      </c>
      <c r="Q533" s="149">
        <v>79.400000000000006</v>
      </c>
      <c r="R533" s="149">
        <v>78.7</v>
      </c>
      <c r="S533" s="149">
        <v>79</v>
      </c>
      <c r="T533" s="150">
        <v>21595</v>
      </c>
      <c r="U533" s="151">
        <v>1704899.7</v>
      </c>
      <c r="V533" s="149">
        <v>42</v>
      </c>
      <c r="Z533" s="1">
        <v>44375</v>
      </c>
      <c r="AA533">
        <v>70.55</v>
      </c>
      <c r="AB533">
        <v>34075</v>
      </c>
      <c r="AC533">
        <v>86403</v>
      </c>
      <c r="AF533" s="1">
        <v>44375</v>
      </c>
      <c r="AG533">
        <v>81.98</v>
      </c>
      <c r="AJ533" s="156">
        <f t="shared" si="8"/>
        <v>0.13942424981702861</v>
      </c>
    </row>
    <row r="534" spans="1:36" x14ac:dyDescent="0.3">
      <c r="A534" s="152">
        <v>44491</v>
      </c>
      <c r="B534" s="153">
        <v>88</v>
      </c>
      <c r="C534" s="153">
        <v>89</v>
      </c>
      <c r="D534" s="153">
        <v>87</v>
      </c>
      <c r="E534" s="153">
        <v>88.3</v>
      </c>
      <c r="F534" s="154">
        <v>96702</v>
      </c>
      <c r="G534" s="155">
        <v>8485637.9000000004</v>
      </c>
      <c r="H534" s="153">
        <v>146</v>
      </c>
      <c r="I534" s="155"/>
      <c r="J534" s="155"/>
      <c r="K534" s="155"/>
      <c r="L534" s="155"/>
      <c r="M534" s="155"/>
      <c r="N534" s="155"/>
      <c r="O534" s="148">
        <v>44491</v>
      </c>
      <c r="P534" s="149">
        <v>78.599999999999994</v>
      </c>
      <c r="Q534" s="149">
        <v>79.8</v>
      </c>
      <c r="R534" s="149">
        <v>78.5</v>
      </c>
      <c r="S534" s="149">
        <v>79.099999999999994</v>
      </c>
      <c r="T534" s="150">
        <v>18590</v>
      </c>
      <c r="U534" s="151">
        <v>1471462.3</v>
      </c>
      <c r="V534" s="149">
        <v>48</v>
      </c>
      <c r="Z534" s="1">
        <v>44372</v>
      </c>
      <c r="AA534">
        <v>70.19</v>
      </c>
      <c r="AB534">
        <v>247695</v>
      </c>
      <c r="AC534">
        <v>85314</v>
      </c>
      <c r="AF534" s="1">
        <v>44372</v>
      </c>
      <c r="AG534">
        <v>81.790000000000006</v>
      </c>
      <c r="AJ534" s="156">
        <f t="shared" si="8"/>
        <v>0.14182662917227054</v>
      </c>
    </row>
    <row r="535" spans="1:36" x14ac:dyDescent="0.3">
      <c r="A535" s="152">
        <v>44490</v>
      </c>
      <c r="B535" s="153">
        <v>87</v>
      </c>
      <c r="C535" s="153">
        <v>88</v>
      </c>
      <c r="D535" s="153">
        <v>87</v>
      </c>
      <c r="E535" s="153">
        <v>88</v>
      </c>
      <c r="F535" s="154">
        <v>367208</v>
      </c>
      <c r="G535" s="155">
        <v>32257528.899999999</v>
      </c>
      <c r="H535" s="153">
        <v>112</v>
      </c>
      <c r="I535" s="155"/>
      <c r="J535" s="155"/>
      <c r="K535" s="155"/>
      <c r="L535" s="155"/>
      <c r="M535" s="155"/>
      <c r="N535" s="155"/>
      <c r="O535" s="148">
        <v>44490</v>
      </c>
      <c r="P535" s="149">
        <v>78.8</v>
      </c>
      <c r="Q535" s="149">
        <v>79</v>
      </c>
      <c r="R535" s="149">
        <v>78.099999999999994</v>
      </c>
      <c r="S535" s="149">
        <v>78.7</v>
      </c>
      <c r="T535" s="150">
        <v>9250</v>
      </c>
      <c r="U535" s="151">
        <v>727215.5</v>
      </c>
      <c r="V535" s="149">
        <v>19</v>
      </c>
      <c r="Z535" s="1">
        <v>44370</v>
      </c>
      <c r="AA535">
        <v>70.010000000000005</v>
      </c>
      <c r="AB535">
        <v>4166</v>
      </c>
      <c r="AC535">
        <v>89679</v>
      </c>
      <c r="AF535" s="1">
        <v>44370</v>
      </c>
      <c r="AG535">
        <v>81.790000000000006</v>
      </c>
      <c r="AJ535" s="156">
        <f t="shared" si="8"/>
        <v>0.14402738721115052</v>
      </c>
    </row>
    <row r="536" spans="1:36" x14ac:dyDescent="0.3">
      <c r="A536" s="152">
        <v>44487</v>
      </c>
      <c r="B536" s="153">
        <v>87</v>
      </c>
      <c r="C536" s="153">
        <v>87</v>
      </c>
      <c r="D536" s="153">
        <v>85.6</v>
      </c>
      <c r="E536" s="153">
        <v>86.7</v>
      </c>
      <c r="F536" s="154">
        <v>43581</v>
      </c>
      <c r="G536" s="155">
        <v>3777191.4</v>
      </c>
      <c r="H536" s="153">
        <v>95</v>
      </c>
      <c r="I536" s="155"/>
      <c r="J536" s="155"/>
      <c r="K536" s="155"/>
      <c r="L536" s="155"/>
      <c r="M536" s="155"/>
      <c r="N536" s="155"/>
      <c r="O536" s="148">
        <v>44487</v>
      </c>
      <c r="P536" s="149">
        <v>77.8</v>
      </c>
      <c r="Q536" s="149">
        <v>79.099999999999994</v>
      </c>
      <c r="R536" s="149">
        <v>77.5</v>
      </c>
      <c r="S536" s="149">
        <v>78.599999999999994</v>
      </c>
      <c r="T536" s="150">
        <v>39859</v>
      </c>
      <c r="U536" s="151">
        <v>3139844.5</v>
      </c>
      <c r="V536" s="149">
        <v>63</v>
      </c>
      <c r="Z536" s="1">
        <v>44369</v>
      </c>
      <c r="AA536">
        <v>70.099999999999994</v>
      </c>
      <c r="AB536">
        <v>108203</v>
      </c>
      <c r="AC536">
        <v>108526</v>
      </c>
      <c r="AF536" s="1">
        <v>44369</v>
      </c>
      <c r="AG536">
        <v>80.25</v>
      </c>
      <c r="AJ536" s="156">
        <f t="shared" si="8"/>
        <v>0.12647975077881626</v>
      </c>
    </row>
    <row r="537" spans="1:36" x14ac:dyDescent="0.3">
      <c r="A537" s="152">
        <v>44484</v>
      </c>
      <c r="B537" s="153">
        <v>86</v>
      </c>
      <c r="C537" s="153">
        <v>86.5</v>
      </c>
      <c r="D537" s="153">
        <v>85.9</v>
      </c>
      <c r="E537" s="153">
        <v>86</v>
      </c>
      <c r="F537" s="154">
        <v>75444</v>
      </c>
      <c r="G537" s="155">
        <v>6488381</v>
      </c>
      <c r="H537" s="153">
        <v>99</v>
      </c>
      <c r="I537" s="155"/>
      <c r="J537" s="155"/>
      <c r="K537" s="155"/>
      <c r="L537" s="155"/>
      <c r="M537" s="155"/>
      <c r="N537" s="155"/>
      <c r="O537" s="148">
        <v>44484</v>
      </c>
      <c r="P537" s="149">
        <v>78.5</v>
      </c>
      <c r="Q537" s="149">
        <v>78.5</v>
      </c>
      <c r="R537" s="149">
        <v>77.7</v>
      </c>
      <c r="S537" s="149">
        <v>78.2</v>
      </c>
      <c r="T537" s="150">
        <v>36303</v>
      </c>
      <c r="U537" s="151">
        <v>2837302.1</v>
      </c>
      <c r="V537" s="149">
        <v>29</v>
      </c>
      <c r="Z537" s="1">
        <v>44368</v>
      </c>
      <c r="AA537">
        <v>70.819999999999993</v>
      </c>
      <c r="AB537">
        <v>138388</v>
      </c>
      <c r="AC537">
        <v>104240</v>
      </c>
      <c r="AF537" s="1">
        <v>44368</v>
      </c>
      <c r="AG537">
        <v>81.52</v>
      </c>
      <c r="AJ537" s="156">
        <f t="shared" si="8"/>
        <v>0.13125613346418061</v>
      </c>
    </row>
    <row r="538" spans="1:36" x14ac:dyDescent="0.3">
      <c r="A538" s="152">
        <v>44483</v>
      </c>
      <c r="B538" s="153">
        <v>86.5</v>
      </c>
      <c r="C538" s="153">
        <v>86.5</v>
      </c>
      <c r="D538" s="153">
        <v>85.7</v>
      </c>
      <c r="E538" s="153">
        <v>85.8</v>
      </c>
      <c r="F538" s="154">
        <v>99215</v>
      </c>
      <c r="G538" s="155">
        <v>8523130.8000000007</v>
      </c>
      <c r="H538" s="153">
        <v>101</v>
      </c>
      <c r="I538" s="155"/>
      <c r="J538" s="155"/>
      <c r="K538" s="155"/>
      <c r="L538" s="155"/>
      <c r="M538" s="155"/>
      <c r="N538" s="155"/>
      <c r="O538" s="148">
        <v>44483</v>
      </c>
      <c r="P538" s="149">
        <v>78.5</v>
      </c>
      <c r="Q538" s="149">
        <v>78.5</v>
      </c>
      <c r="R538" s="149">
        <v>77.5</v>
      </c>
      <c r="S538" s="149">
        <v>77.5</v>
      </c>
      <c r="T538" s="150">
        <v>190870</v>
      </c>
      <c r="U538" s="151">
        <v>14802250.199999999</v>
      </c>
      <c r="V538" s="149">
        <v>58</v>
      </c>
      <c r="Z538" s="1">
        <v>44365</v>
      </c>
      <c r="AA538">
        <v>70.91</v>
      </c>
      <c r="AB538">
        <v>38453</v>
      </c>
      <c r="AC538">
        <v>95737</v>
      </c>
      <c r="AF538" s="1">
        <v>44365</v>
      </c>
      <c r="AG538">
        <v>81.98</v>
      </c>
      <c r="AJ538" s="156">
        <f t="shared" si="8"/>
        <v>0.13503293486216159</v>
      </c>
    </row>
    <row r="539" spans="1:36" x14ac:dyDescent="0.3">
      <c r="A539" s="152">
        <v>44482</v>
      </c>
      <c r="B539" s="153">
        <v>88</v>
      </c>
      <c r="C539" s="153">
        <v>88</v>
      </c>
      <c r="D539" s="153">
        <v>85</v>
      </c>
      <c r="E539" s="153">
        <v>85.7</v>
      </c>
      <c r="F539" s="154">
        <v>2682397</v>
      </c>
      <c r="G539" s="155">
        <v>229273905.40000001</v>
      </c>
      <c r="H539" s="153">
        <v>315</v>
      </c>
      <c r="I539" s="155"/>
      <c r="J539" s="155"/>
      <c r="K539" s="155"/>
      <c r="L539" s="155"/>
      <c r="M539" s="155"/>
      <c r="N539" s="155"/>
      <c r="O539" s="148">
        <v>44482</v>
      </c>
      <c r="P539" s="149">
        <v>78.7</v>
      </c>
      <c r="Q539" s="149">
        <v>78.7</v>
      </c>
      <c r="R539" s="149">
        <v>77.599999999999994</v>
      </c>
      <c r="S539" s="149">
        <v>78.099999999999994</v>
      </c>
      <c r="T539" s="150">
        <v>7263</v>
      </c>
      <c r="U539" s="151">
        <v>566649.69999999995</v>
      </c>
      <c r="V539" s="149">
        <v>39</v>
      </c>
      <c r="Z539" s="1">
        <v>44364</v>
      </c>
      <c r="AA539">
        <v>71.63</v>
      </c>
      <c r="AB539">
        <v>296779</v>
      </c>
      <c r="AC539">
        <v>94634</v>
      </c>
      <c r="AF539" s="1">
        <v>44364</v>
      </c>
      <c r="AG539">
        <v>81.88</v>
      </c>
      <c r="AJ539" s="156">
        <f t="shared" si="8"/>
        <v>0.12518319491939425</v>
      </c>
    </row>
    <row r="540" spans="1:36" x14ac:dyDescent="0.3">
      <c r="A540" s="152">
        <v>44481</v>
      </c>
      <c r="B540" s="153">
        <v>87</v>
      </c>
      <c r="C540" s="153">
        <v>89</v>
      </c>
      <c r="D540" s="153">
        <v>87</v>
      </c>
      <c r="E540" s="153">
        <v>88.6</v>
      </c>
      <c r="F540" s="154">
        <v>12021</v>
      </c>
      <c r="G540" s="155">
        <v>1063224.5</v>
      </c>
      <c r="H540" s="153">
        <v>51</v>
      </c>
      <c r="I540" s="155"/>
      <c r="J540" s="155"/>
      <c r="K540" s="155"/>
      <c r="L540" s="155"/>
      <c r="M540" s="155"/>
      <c r="N540" s="155"/>
      <c r="O540" s="148">
        <v>44481</v>
      </c>
      <c r="P540" s="149">
        <v>78.7</v>
      </c>
      <c r="Q540" s="149">
        <v>79</v>
      </c>
      <c r="R540" s="149">
        <v>78.7</v>
      </c>
      <c r="S540" s="149">
        <v>78.900000000000006</v>
      </c>
      <c r="T540" s="150">
        <v>12786</v>
      </c>
      <c r="U540" s="151">
        <v>1009724.9</v>
      </c>
      <c r="V540" s="149">
        <v>24</v>
      </c>
      <c r="Z540" s="1">
        <v>44363</v>
      </c>
      <c r="AA540">
        <v>71.540000000000006</v>
      </c>
      <c r="AB540">
        <v>69456</v>
      </c>
      <c r="AC540">
        <v>76279</v>
      </c>
      <c r="AF540" s="1">
        <v>44363</v>
      </c>
      <c r="AG540">
        <v>81.88</v>
      </c>
      <c r="AJ540" s="156">
        <f t="shared" si="8"/>
        <v>0.12628236443575952</v>
      </c>
    </row>
    <row r="541" spans="1:36" x14ac:dyDescent="0.3">
      <c r="A541" s="152">
        <v>44480</v>
      </c>
      <c r="B541" s="153">
        <v>90</v>
      </c>
      <c r="C541" s="153">
        <v>90</v>
      </c>
      <c r="D541" s="153">
        <v>87</v>
      </c>
      <c r="E541" s="153">
        <v>87</v>
      </c>
      <c r="F541" s="154">
        <v>405362</v>
      </c>
      <c r="G541" s="155">
        <v>35375031.100000001</v>
      </c>
      <c r="H541" s="153">
        <v>206</v>
      </c>
      <c r="I541" s="155"/>
      <c r="J541" s="155"/>
      <c r="K541" s="155"/>
      <c r="L541" s="155"/>
      <c r="M541" s="155"/>
      <c r="N541" s="155"/>
      <c r="O541" s="148">
        <v>44480</v>
      </c>
      <c r="P541" s="149">
        <v>79</v>
      </c>
      <c r="Q541" s="149">
        <v>79</v>
      </c>
      <c r="R541" s="149">
        <v>78.7</v>
      </c>
      <c r="S541" s="149">
        <v>78.7</v>
      </c>
      <c r="T541" s="150">
        <v>14657</v>
      </c>
      <c r="U541" s="151">
        <v>1155736.3999999999</v>
      </c>
      <c r="V541" s="149">
        <v>36</v>
      </c>
      <c r="Z541" s="1">
        <v>44362</v>
      </c>
      <c r="AA541">
        <v>69.650000000000006</v>
      </c>
      <c r="AB541">
        <v>93729</v>
      </c>
      <c r="AC541">
        <v>72259</v>
      </c>
      <c r="AF541" s="1">
        <v>44362</v>
      </c>
      <c r="AG541">
        <v>81.88</v>
      </c>
      <c r="AJ541" s="156">
        <f t="shared" si="8"/>
        <v>0.14936492427943321</v>
      </c>
    </row>
    <row r="542" spans="1:36" x14ac:dyDescent="0.3">
      <c r="A542" s="152">
        <v>44477</v>
      </c>
      <c r="B542" s="153">
        <v>90</v>
      </c>
      <c r="C542" s="153">
        <v>90</v>
      </c>
      <c r="D542" s="153">
        <v>89</v>
      </c>
      <c r="E542" s="153">
        <v>89.9</v>
      </c>
      <c r="F542" s="154">
        <v>460397</v>
      </c>
      <c r="G542" s="155">
        <v>41361739.799999997</v>
      </c>
      <c r="H542" s="153">
        <v>212</v>
      </c>
      <c r="I542" s="155"/>
      <c r="J542" s="155"/>
      <c r="K542" s="155"/>
      <c r="L542" s="155"/>
      <c r="M542" s="155"/>
      <c r="N542" s="155"/>
      <c r="O542" s="148">
        <v>44477</v>
      </c>
      <c r="P542" s="149">
        <v>80</v>
      </c>
      <c r="Q542" s="149">
        <v>80</v>
      </c>
      <c r="R542" s="149">
        <v>77.8</v>
      </c>
      <c r="S542" s="149">
        <v>79</v>
      </c>
      <c r="T542" s="150">
        <v>17008</v>
      </c>
      <c r="U542" s="151">
        <v>1337771.7</v>
      </c>
      <c r="V542" s="149">
        <v>53</v>
      </c>
      <c r="Z542" s="1">
        <v>44361</v>
      </c>
      <c r="AA542">
        <v>70.099999999999994</v>
      </c>
      <c r="AB542">
        <v>70910</v>
      </c>
      <c r="AC542">
        <v>69858</v>
      </c>
      <c r="AF542" s="1">
        <v>44361</v>
      </c>
      <c r="AG542">
        <v>82.43</v>
      </c>
      <c r="AJ542" s="156">
        <f t="shared" si="8"/>
        <v>0.14958146305956582</v>
      </c>
    </row>
    <row r="543" spans="1:36" x14ac:dyDescent="0.3">
      <c r="A543" s="152">
        <v>44476</v>
      </c>
      <c r="B543" s="153">
        <v>90.5</v>
      </c>
      <c r="C543" s="153">
        <v>91.2</v>
      </c>
      <c r="D543" s="153">
        <v>89.8</v>
      </c>
      <c r="E543" s="153">
        <v>90.4</v>
      </c>
      <c r="F543" s="154">
        <v>882262</v>
      </c>
      <c r="G543" s="155">
        <v>80076178.400000006</v>
      </c>
      <c r="H543" s="153">
        <v>523</v>
      </c>
      <c r="I543" s="155"/>
      <c r="J543" s="155"/>
      <c r="K543" s="155"/>
      <c r="L543" s="155"/>
      <c r="M543" s="155"/>
      <c r="N543" s="155"/>
      <c r="O543" s="148">
        <v>44476</v>
      </c>
      <c r="P543" s="149">
        <v>80</v>
      </c>
      <c r="Q543" s="149">
        <v>80.900000000000006</v>
      </c>
      <c r="R543" s="149">
        <v>79.8</v>
      </c>
      <c r="S543" s="149">
        <v>80</v>
      </c>
      <c r="T543" s="150">
        <v>158699</v>
      </c>
      <c r="U543" s="151">
        <v>12711219.6</v>
      </c>
      <c r="V543" s="149">
        <v>155</v>
      </c>
      <c r="Z543" s="1">
        <v>44358</v>
      </c>
      <c r="AA543">
        <v>70.19</v>
      </c>
      <c r="AB543">
        <v>13075</v>
      </c>
      <c r="AC543">
        <v>69112</v>
      </c>
      <c r="AF543" s="1">
        <v>44358</v>
      </c>
      <c r="AG543">
        <v>83.25</v>
      </c>
      <c r="AJ543" s="156">
        <f t="shared" si="8"/>
        <v>0.1568768768768769</v>
      </c>
    </row>
    <row r="544" spans="1:36" x14ac:dyDescent="0.3">
      <c r="A544" s="152">
        <v>44475</v>
      </c>
      <c r="B544" s="153">
        <v>87</v>
      </c>
      <c r="C544" s="153">
        <v>90.9</v>
      </c>
      <c r="D544" s="153">
        <v>87</v>
      </c>
      <c r="E544" s="153">
        <v>89.8</v>
      </c>
      <c r="F544" s="154">
        <v>1600972</v>
      </c>
      <c r="G544" s="155">
        <v>142581320.5</v>
      </c>
      <c r="H544" s="153">
        <v>625</v>
      </c>
      <c r="I544" s="155"/>
      <c r="J544" s="155"/>
      <c r="K544" s="155"/>
      <c r="L544" s="155"/>
      <c r="M544" s="155"/>
      <c r="N544" s="155"/>
      <c r="O544" s="148">
        <v>44475</v>
      </c>
      <c r="P544" s="149">
        <v>78</v>
      </c>
      <c r="Q544" s="149">
        <v>79.7</v>
      </c>
      <c r="R544" s="149">
        <v>77.7</v>
      </c>
      <c r="S544" s="149">
        <v>79.3</v>
      </c>
      <c r="T544" s="150">
        <v>522967</v>
      </c>
      <c r="U544" s="151">
        <v>41121522.200000003</v>
      </c>
      <c r="V544" s="149">
        <v>192</v>
      </c>
      <c r="Z544" s="1">
        <v>44357</v>
      </c>
      <c r="AA544">
        <v>70.28</v>
      </c>
      <c r="AB544">
        <v>100842</v>
      </c>
      <c r="AC544">
        <v>68924</v>
      </c>
      <c r="AF544" s="1">
        <v>44357</v>
      </c>
      <c r="AG544">
        <v>82.89</v>
      </c>
      <c r="AJ544" s="156">
        <f t="shared" si="8"/>
        <v>0.15212932802509349</v>
      </c>
    </row>
    <row r="545" spans="1:36" x14ac:dyDescent="0.3">
      <c r="A545" s="152">
        <v>44474</v>
      </c>
      <c r="B545" s="153">
        <v>84.9</v>
      </c>
      <c r="C545" s="153">
        <v>87.3</v>
      </c>
      <c r="D545" s="153">
        <v>84.7</v>
      </c>
      <c r="E545" s="153">
        <v>87</v>
      </c>
      <c r="F545" s="154">
        <v>253072</v>
      </c>
      <c r="G545" s="155">
        <v>21984746.199999999</v>
      </c>
      <c r="H545" s="153">
        <v>227</v>
      </c>
      <c r="I545" s="155"/>
      <c r="J545" s="155"/>
      <c r="K545" s="155"/>
      <c r="L545" s="155"/>
      <c r="M545" s="155"/>
      <c r="N545" s="155"/>
      <c r="O545" s="148">
        <v>44474</v>
      </c>
      <c r="P545" s="149">
        <v>76.900000000000006</v>
      </c>
      <c r="Q545" s="149">
        <v>78.5</v>
      </c>
      <c r="R545" s="149">
        <v>76.7</v>
      </c>
      <c r="S545" s="149">
        <v>77.599999999999994</v>
      </c>
      <c r="T545" s="150">
        <v>34220</v>
      </c>
      <c r="U545" s="151">
        <v>2656320.4</v>
      </c>
      <c r="V545" s="149">
        <v>65</v>
      </c>
      <c r="Z545" s="1">
        <v>44356</v>
      </c>
      <c r="AA545">
        <v>69.92</v>
      </c>
      <c r="AB545">
        <v>7518</v>
      </c>
      <c r="AC545">
        <v>65230</v>
      </c>
      <c r="AF545" s="1">
        <v>44356</v>
      </c>
      <c r="AG545">
        <v>82.52</v>
      </c>
      <c r="AJ545" s="156">
        <f t="shared" si="8"/>
        <v>0.15269025690741633</v>
      </c>
    </row>
    <row r="546" spans="1:36" x14ac:dyDescent="0.3">
      <c r="A546" s="152">
        <v>44473</v>
      </c>
      <c r="B546" s="153">
        <v>85</v>
      </c>
      <c r="C546" s="153">
        <v>85</v>
      </c>
      <c r="D546" s="153">
        <v>84.7</v>
      </c>
      <c r="E546" s="153">
        <v>84.7</v>
      </c>
      <c r="F546" s="154">
        <v>41117</v>
      </c>
      <c r="G546" s="155">
        <v>3489756.9</v>
      </c>
      <c r="H546" s="153">
        <v>81</v>
      </c>
      <c r="I546" s="155"/>
      <c r="J546" s="155"/>
      <c r="K546" s="155"/>
      <c r="L546" s="155"/>
      <c r="M546" s="155"/>
      <c r="N546" s="155"/>
      <c r="O546" s="148">
        <v>44473</v>
      </c>
      <c r="P546" s="149">
        <v>76.7</v>
      </c>
      <c r="Q546" s="149">
        <v>76.8</v>
      </c>
      <c r="R546" s="149">
        <v>75.900000000000006</v>
      </c>
      <c r="S546" s="149">
        <v>76.7</v>
      </c>
      <c r="T546" s="150">
        <v>34299</v>
      </c>
      <c r="U546" s="151">
        <v>2616095.9</v>
      </c>
      <c r="V546" s="149">
        <v>69</v>
      </c>
      <c r="Z546" s="1">
        <v>44355</v>
      </c>
      <c r="AA546">
        <v>69.83</v>
      </c>
      <c r="AB546">
        <v>11279</v>
      </c>
      <c r="AC546">
        <v>69404</v>
      </c>
      <c r="AF546" s="1">
        <v>44355</v>
      </c>
      <c r="AG546">
        <v>81.88</v>
      </c>
      <c r="AJ546" s="156">
        <f t="shared" si="8"/>
        <v>0.14716658524670245</v>
      </c>
    </row>
    <row r="547" spans="1:36" x14ac:dyDescent="0.3">
      <c r="A547" s="152">
        <v>44470</v>
      </c>
      <c r="B547" s="153">
        <v>86</v>
      </c>
      <c r="C547" s="153">
        <v>86</v>
      </c>
      <c r="D547" s="153">
        <v>84.5</v>
      </c>
      <c r="E547" s="153">
        <v>85</v>
      </c>
      <c r="F547" s="154">
        <v>291773</v>
      </c>
      <c r="G547" s="155">
        <v>24860906</v>
      </c>
      <c r="H547" s="153">
        <v>124</v>
      </c>
      <c r="I547" s="155"/>
      <c r="J547" s="155"/>
      <c r="K547" s="155"/>
      <c r="L547" s="155"/>
      <c r="M547" s="155"/>
      <c r="N547" s="155"/>
      <c r="O547" s="148">
        <v>44470</v>
      </c>
      <c r="P547" s="149">
        <v>77.5</v>
      </c>
      <c r="Q547" s="149">
        <v>77.5</v>
      </c>
      <c r="R547" s="149">
        <v>76.099999999999994</v>
      </c>
      <c r="S547" s="149">
        <v>77</v>
      </c>
      <c r="T547" s="150">
        <v>30409</v>
      </c>
      <c r="U547" s="151">
        <v>2346940.2999999998</v>
      </c>
      <c r="V547" s="149">
        <v>31</v>
      </c>
      <c r="Z547" s="1">
        <v>44354</v>
      </c>
      <c r="AA547">
        <v>70.55</v>
      </c>
      <c r="AB547">
        <v>61474</v>
      </c>
      <c r="AC547">
        <v>69910</v>
      </c>
      <c r="AF547" s="1">
        <v>44354</v>
      </c>
      <c r="AG547">
        <v>83.25</v>
      </c>
      <c r="AJ547" s="156">
        <f t="shared" si="8"/>
        <v>0.15255255255255259</v>
      </c>
    </row>
    <row r="548" spans="1:36" x14ac:dyDescent="0.3">
      <c r="A548" s="152">
        <v>44469</v>
      </c>
      <c r="B548" s="153">
        <v>83.8</v>
      </c>
      <c r="C548" s="153">
        <v>85</v>
      </c>
      <c r="D548" s="153">
        <v>83.5</v>
      </c>
      <c r="E548" s="153">
        <v>84.5</v>
      </c>
      <c r="F548" s="154">
        <v>193836</v>
      </c>
      <c r="G548" s="155">
        <v>16289022.199999999</v>
      </c>
      <c r="H548" s="153">
        <v>116</v>
      </c>
      <c r="I548" s="155"/>
      <c r="J548" s="155"/>
      <c r="K548" s="155"/>
      <c r="L548" s="155"/>
      <c r="M548" s="155"/>
      <c r="N548" s="155"/>
      <c r="O548" s="148">
        <v>44469</v>
      </c>
      <c r="P548" s="149">
        <v>76</v>
      </c>
      <c r="Q548" s="149">
        <v>77</v>
      </c>
      <c r="R548" s="149">
        <v>75.900000000000006</v>
      </c>
      <c r="S548" s="149">
        <v>76</v>
      </c>
      <c r="T548" s="150">
        <v>259568</v>
      </c>
      <c r="U548" s="151">
        <v>19729463.600000001</v>
      </c>
      <c r="V548" s="149">
        <v>77</v>
      </c>
      <c r="Z548" s="1">
        <v>44351</v>
      </c>
      <c r="AA548">
        <v>70.28</v>
      </c>
      <c r="AB548">
        <v>17743</v>
      </c>
      <c r="AC548">
        <v>67268</v>
      </c>
      <c r="AF548" s="1">
        <v>44351</v>
      </c>
      <c r="AG548">
        <v>83.43</v>
      </c>
      <c r="AJ548" s="156">
        <f t="shared" si="8"/>
        <v>0.15761716408965606</v>
      </c>
    </row>
    <row r="549" spans="1:36" x14ac:dyDescent="0.3">
      <c r="A549" s="152">
        <v>44468</v>
      </c>
      <c r="B549" s="153">
        <v>83</v>
      </c>
      <c r="C549" s="153">
        <v>84</v>
      </c>
      <c r="D549" s="153">
        <v>83</v>
      </c>
      <c r="E549" s="153">
        <v>83.8</v>
      </c>
      <c r="F549" s="154">
        <v>52395</v>
      </c>
      <c r="G549" s="155">
        <v>4375732.5</v>
      </c>
      <c r="H549" s="153">
        <v>96</v>
      </c>
      <c r="I549" s="155"/>
      <c r="J549" s="155"/>
      <c r="K549" s="155"/>
      <c r="L549" s="155"/>
      <c r="M549" s="155"/>
      <c r="N549" s="155"/>
      <c r="O549" s="148">
        <v>44468</v>
      </c>
      <c r="P549" s="149">
        <v>77</v>
      </c>
      <c r="Q549" s="149">
        <v>77</v>
      </c>
      <c r="R549" s="149">
        <v>76</v>
      </c>
      <c r="S549" s="149">
        <v>76.599999999999994</v>
      </c>
      <c r="T549" s="150">
        <v>85857</v>
      </c>
      <c r="U549" s="151">
        <v>6592860.4000000004</v>
      </c>
      <c r="V549" s="149">
        <v>83</v>
      </c>
      <c r="Z549" s="1">
        <v>44350</v>
      </c>
      <c r="AA549">
        <v>69.209999999999994</v>
      </c>
      <c r="AB549">
        <v>313173</v>
      </c>
      <c r="AC549">
        <v>66580</v>
      </c>
      <c r="AF549" s="1">
        <v>44350</v>
      </c>
      <c r="AG549">
        <v>81.98</v>
      </c>
      <c r="AJ549" s="156">
        <f t="shared" si="8"/>
        <v>0.15576969992681153</v>
      </c>
    </row>
    <row r="550" spans="1:36" x14ac:dyDescent="0.3">
      <c r="A550" s="152">
        <v>44467</v>
      </c>
      <c r="B550" s="153">
        <v>83.9</v>
      </c>
      <c r="C550" s="153">
        <v>84</v>
      </c>
      <c r="D550" s="153">
        <v>83</v>
      </c>
      <c r="E550" s="153">
        <v>83</v>
      </c>
      <c r="F550" s="154">
        <v>399988</v>
      </c>
      <c r="G550" s="155">
        <v>33237704.699999999</v>
      </c>
      <c r="H550" s="153">
        <v>260</v>
      </c>
      <c r="I550" s="155"/>
      <c r="J550" s="155"/>
      <c r="K550" s="155"/>
      <c r="L550" s="155"/>
      <c r="M550" s="155"/>
      <c r="N550" s="155"/>
      <c r="O550" s="148">
        <v>44467</v>
      </c>
      <c r="P550" s="149">
        <v>77.5</v>
      </c>
      <c r="Q550" s="149">
        <v>77.5</v>
      </c>
      <c r="R550" s="149">
        <v>77</v>
      </c>
      <c r="S550" s="149">
        <v>77</v>
      </c>
      <c r="T550" s="150">
        <v>28597</v>
      </c>
      <c r="U550" s="151">
        <v>2205691.4</v>
      </c>
      <c r="V550" s="149">
        <v>31</v>
      </c>
      <c r="Z550" s="1">
        <v>44349</v>
      </c>
      <c r="AA550">
        <v>68.67</v>
      </c>
      <c r="AB550">
        <v>286869</v>
      </c>
      <c r="AC550">
        <v>46720</v>
      </c>
      <c r="AF550" s="1">
        <v>44349</v>
      </c>
      <c r="AG550">
        <v>80.790000000000006</v>
      </c>
      <c r="AJ550" s="156">
        <f t="shared" si="8"/>
        <v>0.15001856665428895</v>
      </c>
    </row>
    <row r="551" spans="1:36" x14ac:dyDescent="0.3">
      <c r="A551" s="152">
        <v>44466</v>
      </c>
      <c r="B551" s="153">
        <v>83.6</v>
      </c>
      <c r="C551" s="153">
        <v>85</v>
      </c>
      <c r="D551" s="153">
        <v>83.6</v>
      </c>
      <c r="E551" s="153">
        <v>83.9</v>
      </c>
      <c r="F551" s="154">
        <v>9987</v>
      </c>
      <c r="G551" s="155">
        <v>843621.4</v>
      </c>
      <c r="H551" s="153">
        <v>54</v>
      </c>
      <c r="I551" s="155"/>
      <c r="J551" s="155"/>
      <c r="K551" s="155"/>
      <c r="L551" s="155"/>
      <c r="M551" s="155"/>
      <c r="N551" s="155"/>
      <c r="O551" s="148">
        <v>44466</v>
      </c>
      <c r="P551" s="149">
        <v>77</v>
      </c>
      <c r="Q551" s="149">
        <v>77.7</v>
      </c>
      <c r="R551" s="149">
        <v>76.7</v>
      </c>
      <c r="S551" s="149">
        <v>77.5</v>
      </c>
      <c r="T551" s="150">
        <v>59692</v>
      </c>
      <c r="U551" s="151">
        <v>4616191.9000000004</v>
      </c>
      <c r="V551" s="149">
        <v>50</v>
      </c>
      <c r="Z551" s="1">
        <v>44348</v>
      </c>
      <c r="AA551">
        <v>69.12</v>
      </c>
      <c r="AB551">
        <v>43910</v>
      </c>
      <c r="AC551">
        <v>29536</v>
      </c>
      <c r="AF551" s="1">
        <v>44348</v>
      </c>
      <c r="AG551">
        <v>81.34</v>
      </c>
      <c r="AJ551" s="156">
        <f t="shared" si="8"/>
        <v>0.15023358741086795</v>
      </c>
    </row>
    <row r="552" spans="1:36" x14ac:dyDescent="0.3">
      <c r="A552" s="152">
        <v>44463</v>
      </c>
      <c r="B552" s="153">
        <v>83.7</v>
      </c>
      <c r="C552" s="153">
        <v>84.2</v>
      </c>
      <c r="D552" s="153">
        <v>83.5</v>
      </c>
      <c r="E552" s="153">
        <v>84</v>
      </c>
      <c r="F552" s="154">
        <v>45118</v>
      </c>
      <c r="G552" s="155">
        <v>3778097.7</v>
      </c>
      <c r="H552" s="153">
        <v>59</v>
      </c>
      <c r="I552" s="155"/>
      <c r="J552" s="155"/>
      <c r="K552" s="155"/>
      <c r="L552" s="155"/>
      <c r="M552" s="155"/>
      <c r="N552" s="155"/>
      <c r="O552" s="148">
        <v>44463</v>
      </c>
      <c r="P552" s="149">
        <v>77.099999999999994</v>
      </c>
      <c r="Q552" s="149">
        <v>77.400000000000006</v>
      </c>
      <c r="R552" s="149">
        <v>77.099999999999994</v>
      </c>
      <c r="S552" s="149">
        <v>77.3</v>
      </c>
      <c r="T552" s="150">
        <v>10161</v>
      </c>
      <c r="U552" s="151">
        <v>784186.4</v>
      </c>
      <c r="V552" s="149">
        <v>26</v>
      </c>
      <c r="Z552" s="1">
        <v>44347</v>
      </c>
      <c r="AA552">
        <v>68.040000000000006</v>
      </c>
      <c r="AB552">
        <v>10845</v>
      </c>
      <c r="AC552">
        <v>30415</v>
      </c>
      <c r="AF552" s="1">
        <v>44347</v>
      </c>
      <c r="AG552">
        <v>79.16</v>
      </c>
      <c r="AJ552" s="156">
        <f t="shared" si="8"/>
        <v>0.14047498736735714</v>
      </c>
    </row>
    <row r="553" spans="1:36" x14ac:dyDescent="0.3">
      <c r="A553" s="152">
        <v>44462</v>
      </c>
      <c r="B553" s="153">
        <v>83.8</v>
      </c>
      <c r="C553" s="153">
        <v>83.8</v>
      </c>
      <c r="D553" s="153">
        <v>83</v>
      </c>
      <c r="E553" s="153">
        <v>83.3</v>
      </c>
      <c r="F553" s="154">
        <v>276808</v>
      </c>
      <c r="G553" s="155">
        <v>23103443</v>
      </c>
      <c r="H553" s="153">
        <v>120</v>
      </c>
      <c r="I553" s="155"/>
      <c r="J553" s="155"/>
      <c r="K553" s="155"/>
      <c r="L553" s="155"/>
      <c r="M553" s="155"/>
      <c r="N553" s="155"/>
      <c r="O553" s="148">
        <v>44462</v>
      </c>
      <c r="P553" s="149">
        <v>77</v>
      </c>
      <c r="Q553" s="149">
        <v>77.5</v>
      </c>
      <c r="R553" s="149">
        <v>76.599999999999994</v>
      </c>
      <c r="S553" s="149">
        <v>76.7</v>
      </c>
      <c r="T553" s="150">
        <v>25241</v>
      </c>
      <c r="U553" s="151">
        <v>1943228.2</v>
      </c>
      <c r="V553" s="149">
        <v>40</v>
      </c>
      <c r="Z553" s="1">
        <v>44344</v>
      </c>
      <c r="AA553">
        <v>67.41</v>
      </c>
      <c r="AB553">
        <v>21910</v>
      </c>
      <c r="AC553">
        <v>30811</v>
      </c>
      <c r="AF553" s="1">
        <v>44344</v>
      </c>
      <c r="AG553">
        <v>77.790000000000006</v>
      </c>
      <c r="AJ553" s="156">
        <f t="shared" si="8"/>
        <v>0.13343617431546484</v>
      </c>
    </row>
    <row r="554" spans="1:36" x14ac:dyDescent="0.3">
      <c r="A554" s="152">
        <v>44461</v>
      </c>
      <c r="B554" s="153">
        <v>83.4</v>
      </c>
      <c r="C554" s="153">
        <v>83.6</v>
      </c>
      <c r="D554" s="153">
        <v>82.9</v>
      </c>
      <c r="E554" s="153">
        <v>83</v>
      </c>
      <c r="F554" s="154">
        <v>116798</v>
      </c>
      <c r="G554" s="155">
        <v>9699813</v>
      </c>
      <c r="H554" s="153">
        <v>138</v>
      </c>
      <c r="I554" s="155"/>
      <c r="J554" s="155"/>
      <c r="K554" s="155"/>
      <c r="L554" s="155"/>
      <c r="M554" s="155"/>
      <c r="N554" s="155"/>
      <c r="O554" s="148">
        <v>44461</v>
      </c>
      <c r="P554" s="149">
        <v>76</v>
      </c>
      <c r="Q554" s="149">
        <v>77</v>
      </c>
      <c r="R554" s="149">
        <v>76</v>
      </c>
      <c r="S554" s="149">
        <v>76.7</v>
      </c>
      <c r="T554" s="150">
        <v>3581</v>
      </c>
      <c r="U554" s="151">
        <v>274079.40000000002</v>
      </c>
      <c r="V554" s="149">
        <v>21</v>
      </c>
      <c r="Z554" s="1">
        <v>44341</v>
      </c>
      <c r="AA554">
        <v>66.599999999999994</v>
      </c>
      <c r="AB554">
        <v>21446</v>
      </c>
      <c r="AC554">
        <v>29700</v>
      </c>
      <c r="AF554" s="1">
        <v>44341</v>
      </c>
      <c r="AG554">
        <v>76.97</v>
      </c>
      <c r="AJ554" s="156">
        <f t="shared" si="8"/>
        <v>0.13472781603222039</v>
      </c>
    </row>
    <row r="555" spans="1:36" x14ac:dyDescent="0.3">
      <c r="A555" s="152">
        <v>44460</v>
      </c>
      <c r="B555" s="153">
        <v>83.5</v>
      </c>
      <c r="C555" s="153">
        <v>83.8</v>
      </c>
      <c r="D555" s="153">
        <v>82.9</v>
      </c>
      <c r="E555" s="153">
        <v>83.2</v>
      </c>
      <c r="F555" s="154">
        <v>133770</v>
      </c>
      <c r="G555" s="155">
        <v>11131461</v>
      </c>
      <c r="H555" s="153">
        <v>118</v>
      </c>
      <c r="I555" s="155"/>
      <c r="J555" s="155"/>
      <c r="K555" s="155"/>
      <c r="L555" s="155"/>
      <c r="M555" s="155"/>
      <c r="N555" s="155"/>
      <c r="O555" s="148">
        <v>44460</v>
      </c>
      <c r="P555" s="149">
        <v>76.3</v>
      </c>
      <c r="Q555" s="149">
        <v>76.599999999999994</v>
      </c>
      <c r="R555" s="149">
        <v>76</v>
      </c>
      <c r="S555" s="149">
        <v>76.5</v>
      </c>
      <c r="T555" s="150">
        <v>5345</v>
      </c>
      <c r="U555" s="151">
        <v>408597.4</v>
      </c>
      <c r="V555" s="149">
        <v>22</v>
      </c>
      <c r="Z555" s="1">
        <v>44340</v>
      </c>
      <c r="AA555">
        <v>65.97</v>
      </c>
      <c r="AB555">
        <v>9167</v>
      </c>
      <c r="AC555">
        <v>29164</v>
      </c>
      <c r="AF555" s="1">
        <v>44340</v>
      </c>
      <c r="AG555">
        <v>75.52</v>
      </c>
      <c r="AJ555" s="156">
        <f t="shared" si="8"/>
        <v>0.12645656779661013</v>
      </c>
    </row>
    <row r="556" spans="1:36" x14ac:dyDescent="0.3">
      <c r="A556" s="152">
        <v>44456</v>
      </c>
      <c r="B556" s="153">
        <v>84.5</v>
      </c>
      <c r="C556" s="153">
        <v>84.5</v>
      </c>
      <c r="D556" s="153">
        <v>83.5</v>
      </c>
      <c r="E556" s="153">
        <v>83.5</v>
      </c>
      <c r="F556" s="154">
        <v>152445</v>
      </c>
      <c r="G556" s="155">
        <v>12743944.5</v>
      </c>
      <c r="H556" s="153">
        <v>101</v>
      </c>
      <c r="I556" s="155"/>
      <c r="J556" s="155"/>
      <c r="K556" s="155"/>
      <c r="L556" s="155"/>
      <c r="M556" s="155"/>
      <c r="N556" s="155"/>
      <c r="O556" s="148">
        <v>44456</v>
      </c>
      <c r="P556" s="149">
        <v>77</v>
      </c>
      <c r="Q556" s="149">
        <v>77</v>
      </c>
      <c r="R556" s="149">
        <v>75.8</v>
      </c>
      <c r="S556" s="149">
        <v>76.099999999999994</v>
      </c>
      <c r="T556" s="150">
        <v>8972</v>
      </c>
      <c r="U556" s="151">
        <v>683845.9</v>
      </c>
      <c r="V556" s="149">
        <v>37</v>
      </c>
      <c r="Z556" s="1">
        <v>44337</v>
      </c>
      <c r="AA556">
        <v>65.7</v>
      </c>
      <c r="AB556">
        <v>57713</v>
      </c>
      <c r="AC556">
        <v>28639</v>
      </c>
      <c r="AF556" s="1">
        <v>44337</v>
      </c>
      <c r="AG556">
        <v>75.52</v>
      </c>
      <c r="AJ556" s="156">
        <f t="shared" si="8"/>
        <v>0.13003177966101687</v>
      </c>
    </row>
    <row r="557" spans="1:36" x14ac:dyDescent="0.3">
      <c r="A557" s="152">
        <v>44455</v>
      </c>
      <c r="B557" s="153">
        <v>83.9</v>
      </c>
      <c r="C557" s="153">
        <v>84</v>
      </c>
      <c r="D557" s="153">
        <v>83.4</v>
      </c>
      <c r="E557" s="153">
        <v>84</v>
      </c>
      <c r="F557" s="154">
        <v>342756</v>
      </c>
      <c r="G557" s="155">
        <v>28741455.899999999</v>
      </c>
      <c r="H557" s="153">
        <v>121</v>
      </c>
      <c r="I557" s="155"/>
      <c r="J557" s="155"/>
      <c r="K557" s="155"/>
      <c r="L557" s="155"/>
      <c r="M557" s="155"/>
      <c r="N557" s="155"/>
      <c r="O557" s="148">
        <v>44455</v>
      </c>
      <c r="P557" s="149">
        <v>76.2</v>
      </c>
      <c r="Q557" s="149">
        <v>77.2</v>
      </c>
      <c r="R557" s="149">
        <v>75.7</v>
      </c>
      <c r="S557" s="149">
        <v>76.2</v>
      </c>
      <c r="T557" s="150">
        <v>50421</v>
      </c>
      <c r="U557" s="151">
        <v>3872207.1</v>
      </c>
      <c r="V557" s="149">
        <v>30</v>
      </c>
      <c r="Z557" s="1">
        <v>44336</v>
      </c>
      <c r="AA557">
        <v>67.41</v>
      </c>
      <c r="AB557">
        <v>59716</v>
      </c>
      <c r="AC557">
        <v>25686</v>
      </c>
      <c r="AF557" s="1">
        <v>44336</v>
      </c>
      <c r="AG557">
        <v>75.790000000000006</v>
      </c>
      <c r="AJ557" s="156">
        <f t="shared" si="8"/>
        <v>0.11056867660641258</v>
      </c>
    </row>
    <row r="558" spans="1:36" x14ac:dyDescent="0.3">
      <c r="A558" s="152">
        <v>44454</v>
      </c>
      <c r="B558" s="153">
        <v>83.5</v>
      </c>
      <c r="C558" s="153">
        <v>84</v>
      </c>
      <c r="D558" s="153">
        <v>83.4</v>
      </c>
      <c r="E558" s="153">
        <v>83.9</v>
      </c>
      <c r="F558" s="154">
        <v>61172</v>
      </c>
      <c r="G558" s="155">
        <v>5130155.7</v>
      </c>
      <c r="H558" s="153">
        <v>81</v>
      </c>
      <c r="I558" s="155"/>
      <c r="J558" s="155"/>
      <c r="K558" s="155"/>
      <c r="L558" s="155"/>
      <c r="M558" s="155"/>
      <c r="N558" s="155"/>
      <c r="O558" s="148">
        <v>44454</v>
      </c>
      <c r="P558" s="149">
        <v>77.099999999999994</v>
      </c>
      <c r="Q558" s="149">
        <v>77.099999999999994</v>
      </c>
      <c r="R558" s="149">
        <v>75.599999999999994</v>
      </c>
      <c r="S558" s="149">
        <v>76</v>
      </c>
      <c r="T558" s="150">
        <v>17733</v>
      </c>
      <c r="U558" s="151">
        <v>1354783.2</v>
      </c>
      <c r="V558" s="149">
        <v>27</v>
      </c>
      <c r="Z558" s="1">
        <v>44335</v>
      </c>
      <c r="AA558">
        <v>68.13</v>
      </c>
      <c r="AB558">
        <v>10257</v>
      </c>
      <c r="AC558">
        <v>24629</v>
      </c>
      <c r="AF558" s="1">
        <v>44335</v>
      </c>
      <c r="AG558">
        <v>77.239999999999995</v>
      </c>
      <c r="AJ558" s="156">
        <f t="shared" si="8"/>
        <v>0.1179440704298291</v>
      </c>
    </row>
    <row r="559" spans="1:36" x14ac:dyDescent="0.3">
      <c r="A559" s="152">
        <v>44453</v>
      </c>
      <c r="B559" s="153">
        <v>84</v>
      </c>
      <c r="C559" s="153">
        <v>84</v>
      </c>
      <c r="D559" s="153">
        <v>82.9</v>
      </c>
      <c r="E559" s="153">
        <v>83</v>
      </c>
      <c r="F559" s="154">
        <v>167348</v>
      </c>
      <c r="G559" s="155">
        <v>13944002.5</v>
      </c>
      <c r="H559" s="153">
        <v>132</v>
      </c>
      <c r="I559" s="155"/>
      <c r="J559" s="155"/>
      <c r="K559" s="155"/>
      <c r="L559" s="155"/>
      <c r="M559" s="155"/>
      <c r="N559" s="155"/>
      <c r="O559" s="148">
        <v>44453</v>
      </c>
      <c r="P559" s="149">
        <v>75.099999999999994</v>
      </c>
      <c r="Q559" s="149">
        <v>76</v>
      </c>
      <c r="R559" s="149">
        <v>74.900000000000006</v>
      </c>
      <c r="S559" s="149">
        <v>75</v>
      </c>
      <c r="T559" s="150">
        <v>11927</v>
      </c>
      <c r="U559" s="151">
        <v>896892.7</v>
      </c>
      <c r="V559" s="149">
        <v>54</v>
      </c>
      <c r="Z559" s="1">
        <v>44334</v>
      </c>
      <c r="AA559">
        <v>67.59</v>
      </c>
      <c r="AB559">
        <v>45429</v>
      </c>
      <c r="AC559">
        <v>28990</v>
      </c>
      <c r="AF559" s="1">
        <v>44334</v>
      </c>
      <c r="AG559">
        <v>76.790000000000006</v>
      </c>
      <c r="AJ559" s="156">
        <f t="shared" si="8"/>
        <v>0.11980726657116815</v>
      </c>
    </row>
    <row r="560" spans="1:36" x14ac:dyDescent="0.3">
      <c r="A560" s="152">
        <v>44452</v>
      </c>
      <c r="B560" s="153">
        <v>84</v>
      </c>
      <c r="C560" s="153">
        <v>84</v>
      </c>
      <c r="D560" s="153">
        <v>82</v>
      </c>
      <c r="E560" s="153">
        <v>82.7</v>
      </c>
      <c r="F560" s="154">
        <v>311225</v>
      </c>
      <c r="G560" s="155">
        <v>25778047.199999999</v>
      </c>
      <c r="H560" s="153">
        <v>288</v>
      </c>
      <c r="I560" s="155"/>
      <c r="J560" s="155"/>
      <c r="K560" s="155"/>
      <c r="L560" s="155"/>
      <c r="M560" s="155"/>
      <c r="N560" s="155"/>
      <c r="O560" s="148">
        <v>44452</v>
      </c>
      <c r="P560" s="149">
        <v>75.5</v>
      </c>
      <c r="Q560" s="149">
        <v>75.8</v>
      </c>
      <c r="R560" s="149">
        <v>74.900000000000006</v>
      </c>
      <c r="S560" s="149">
        <v>75</v>
      </c>
      <c r="T560" s="150">
        <v>38165</v>
      </c>
      <c r="U560" s="151">
        <v>2864685.4</v>
      </c>
      <c r="V560" s="149">
        <v>115</v>
      </c>
      <c r="Z560" s="1">
        <v>44333</v>
      </c>
      <c r="AA560">
        <v>67.319999999999993</v>
      </c>
      <c r="AB560">
        <v>70125</v>
      </c>
      <c r="AC560">
        <v>32496</v>
      </c>
      <c r="AF560" s="1">
        <v>44333</v>
      </c>
      <c r="AG560">
        <v>76.239999999999995</v>
      </c>
      <c r="AJ560" s="156">
        <f t="shared" si="8"/>
        <v>0.11699895068205669</v>
      </c>
    </row>
    <row r="561" spans="1:36" x14ac:dyDescent="0.3">
      <c r="A561" s="152">
        <v>44449</v>
      </c>
      <c r="B561" s="153">
        <v>85</v>
      </c>
      <c r="C561" s="153">
        <v>85.5</v>
      </c>
      <c r="D561" s="153">
        <v>84.1</v>
      </c>
      <c r="E561" s="153">
        <v>84.5</v>
      </c>
      <c r="F561" s="154">
        <v>374167</v>
      </c>
      <c r="G561" s="155">
        <v>31597046.300000001</v>
      </c>
      <c r="H561" s="153">
        <v>105</v>
      </c>
      <c r="I561" s="155"/>
      <c r="J561" s="155"/>
      <c r="K561" s="155"/>
      <c r="L561" s="155"/>
      <c r="M561" s="155"/>
      <c r="N561" s="155"/>
      <c r="O561" s="148">
        <v>44449</v>
      </c>
      <c r="P561" s="149">
        <v>76.400000000000006</v>
      </c>
      <c r="Q561" s="149">
        <v>76.400000000000006</v>
      </c>
      <c r="R561" s="149">
        <v>75.5</v>
      </c>
      <c r="S561" s="149">
        <v>75.8</v>
      </c>
      <c r="T561" s="150">
        <v>20333</v>
      </c>
      <c r="U561" s="151">
        <v>1547254.6</v>
      </c>
      <c r="V561" s="149">
        <v>40</v>
      </c>
      <c r="Z561" s="1">
        <v>44329</v>
      </c>
      <c r="AA561">
        <v>66.239999999999995</v>
      </c>
      <c r="AB561">
        <v>18874</v>
      </c>
      <c r="AC561">
        <v>31458</v>
      </c>
      <c r="AF561" s="1">
        <v>44329</v>
      </c>
      <c r="AG561">
        <v>74.52</v>
      </c>
      <c r="AJ561" s="156">
        <f t="shared" si="8"/>
        <v>0.11111111111111113</v>
      </c>
    </row>
    <row r="562" spans="1:36" x14ac:dyDescent="0.3">
      <c r="A562" s="152">
        <v>44448</v>
      </c>
      <c r="B562" s="153">
        <v>84.4</v>
      </c>
      <c r="C562" s="153">
        <v>84.5</v>
      </c>
      <c r="D562" s="153">
        <v>84</v>
      </c>
      <c r="E562" s="153">
        <v>84.1</v>
      </c>
      <c r="F562" s="154">
        <v>588639</v>
      </c>
      <c r="G562" s="155">
        <v>49519573.200000003</v>
      </c>
      <c r="H562" s="153">
        <v>234</v>
      </c>
      <c r="I562" s="155"/>
      <c r="J562" s="155"/>
      <c r="K562" s="155"/>
      <c r="L562" s="155"/>
      <c r="M562" s="155"/>
      <c r="N562" s="155"/>
      <c r="O562" s="148">
        <v>44448</v>
      </c>
      <c r="P562" s="149">
        <v>75.599999999999994</v>
      </c>
      <c r="Q562" s="149">
        <v>76.400000000000006</v>
      </c>
      <c r="R562" s="149">
        <v>75.3</v>
      </c>
      <c r="S562" s="149">
        <v>76.3</v>
      </c>
      <c r="T562" s="150">
        <v>2787</v>
      </c>
      <c r="U562" s="151">
        <v>212407.2</v>
      </c>
      <c r="V562" s="149">
        <v>27</v>
      </c>
      <c r="Z562" s="1">
        <v>44328</v>
      </c>
      <c r="AA562">
        <v>65.7</v>
      </c>
      <c r="AB562">
        <v>21841</v>
      </c>
      <c r="AC562">
        <v>32967</v>
      </c>
      <c r="AF562" s="1">
        <v>44328</v>
      </c>
      <c r="AG562">
        <v>73.33</v>
      </c>
      <c r="AJ562" s="156">
        <f t="shared" si="8"/>
        <v>0.10405018409927717</v>
      </c>
    </row>
    <row r="563" spans="1:36" x14ac:dyDescent="0.3">
      <c r="A563" s="152">
        <v>44447</v>
      </c>
      <c r="B563" s="153">
        <v>85</v>
      </c>
      <c r="C563" s="153">
        <v>85.5</v>
      </c>
      <c r="D563" s="153">
        <v>84.2</v>
      </c>
      <c r="E563" s="153">
        <v>84.4</v>
      </c>
      <c r="F563" s="154">
        <v>393877</v>
      </c>
      <c r="G563" s="155">
        <v>33348679</v>
      </c>
      <c r="H563" s="153">
        <v>191</v>
      </c>
      <c r="I563" s="155"/>
      <c r="J563" s="155"/>
      <c r="K563" s="155"/>
      <c r="L563" s="155"/>
      <c r="M563" s="155"/>
      <c r="N563" s="155"/>
      <c r="O563" s="148">
        <v>44447</v>
      </c>
      <c r="P563" s="149">
        <v>76.400000000000006</v>
      </c>
      <c r="Q563" s="149">
        <v>76.400000000000006</v>
      </c>
      <c r="R563" s="149">
        <v>75</v>
      </c>
      <c r="S563" s="149">
        <v>75.2</v>
      </c>
      <c r="T563" s="150">
        <v>40262</v>
      </c>
      <c r="U563" s="151">
        <v>3047198.4</v>
      </c>
      <c r="V563" s="149">
        <v>131</v>
      </c>
      <c r="Z563" s="1">
        <v>44327</v>
      </c>
      <c r="AA563">
        <v>65.61</v>
      </c>
      <c r="AB563">
        <v>7421</v>
      </c>
      <c r="AC563">
        <v>34348</v>
      </c>
      <c r="AF563" s="1">
        <v>44327</v>
      </c>
      <c r="AG563">
        <v>73.33</v>
      </c>
      <c r="AJ563" s="156">
        <f t="shared" si="8"/>
        <v>0.10527751261420973</v>
      </c>
    </row>
    <row r="564" spans="1:36" x14ac:dyDescent="0.3">
      <c r="A564" s="152">
        <v>44446</v>
      </c>
      <c r="B564" s="153">
        <v>85.5</v>
      </c>
      <c r="C564" s="153">
        <v>85.5</v>
      </c>
      <c r="D564" s="153">
        <v>85</v>
      </c>
      <c r="E564" s="153">
        <v>85</v>
      </c>
      <c r="F564" s="154">
        <v>644324</v>
      </c>
      <c r="G564" s="155">
        <v>55047148.399999999</v>
      </c>
      <c r="H564" s="153">
        <v>124</v>
      </c>
      <c r="I564" s="155"/>
      <c r="J564" s="155"/>
      <c r="K564" s="155"/>
      <c r="L564" s="155"/>
      <c r="M564" s="155"/>
      <c r="N564" s="155"/>
      <c r="O564" s="148">
        <v>44446</v>
      </c>
      <c r="P564" s="149">
        <v>76.5</v>
      </c>
      <c r="Q564" s="149">
        <v>77.400000000000006</v>
      </c>
      <c r="R564" s="149">
        <v>76.3</v>
      </c>
      <c r="S564" s="149">
        <v>76.5</v>
      </c>
      <c r="T564" s="150">
        <v>30650</v>
      </c>
      <c r="U564" s="151">
        <v>2344954.4</v>
      </c>
      <c r="V564" s="149">
        <v>39</v>
      </c>
      <c r="Z564" s="1">
        <v>44326</v>
      </c>
      <c r="AA564">
        <v>65.52</v>
      </c>
      <c r="AB564">
        <v>15284</v>
      </c>
      <c r="AC564">
        <v>35022</v>
      </c>
      <c r="AF564" s="1">
        <v>44326</v>
      </c>
      <c r="AG564">
        <v>73.150000000000006</v>
      </c>
      <c r="AJ564" s="156">
        <f t="shared" si="8"/>
        <v>0.1043062200956939</v>
      </c>
    </row>
    <row r="565" spans="1:36" x14ac:dyDescent="0.3">
      <c r="A565" s="152">
        <v>44445</v>
      </c>
      <c r="B565" s="153">
        <v>86</v>
      </c>
      <c r="C565" s="153">
        <v>86</v>
      </c>
      <c r="D565" s="153">
        <v>84.8</v>
      </c>
      <c r="E565" s="153">
        <v>85.1</v>
      </c>
      <c r="F565" s="154">
        <v>766596</v>
      </c>
      <c r="G565" s="155">
        <v>65187931.5</v>
      </c>
      <c r="H565" s="153">
        <v>171</v>
      </c>
      <c r="I565" s="155"/>
      <c r="J565" s="155"/>
      <c r="K565" s="155"/>
      <c r="L565" s="155"/>
      <c r="M565" s="155"/>
      <c r="N565" s="155"/>
      <c r="O565" s="148">
        <v>44445</v>
      </c>
      <c r="P565" s="149">
        <v>77</v>
      </c>
      <c r="Q565" s="149">
        <v>77.5</v>
      </c>
      <c r="R565" s="149">
        <v>75.8</v>
      </c>
      <c r="S565" s="149">
        <v>76.400000000000006</v>
      </c>
      <c r="T565" s="150">
        <v>11912</v>
      </c>
      <c r="U565" s="151">
        <v>908804.4</v>
      </c>
      <c r="V565" s="149">
        <v>44</v>
      </c>
      <c r="Z565" s="1">
        <v>44323</v>
      </c>
      <c r="AA565">
        <v>66.33</v>
      </c>
      <c r="AB565">
        <v>29099</v>
      </c>
      <c r="AC565">
        <v>34730</v>
      </c>
      <c r="AF565" s="1">
        <v>44323</v>
      </c>
      <c r="AG565">
        <v>72.88</v>
      </c>
      <c r="AJ565" s="156">
        <f t="shared" si="8"/>
        <v>8.9873765093304026E-2</v>
      </c>
    </row>
    <row r="566" spans="1:36" x14ac:dyDescent="0.3">
      <c r="A566" s="152">
        <v>44442</v>
      </c>
      <c r="B566" s="153">
        <v>85.5</v>
      </c>
      <c r="C566" s="153">
        <v>86</v>
      </c>
      <c r="D566" s="153">
        <v>85</v>
      </c>
      <c r="E566" s="153">
        <v>85.8</v>
      </c>
      <c r="F566" s="154">
        <v>831906</v>
      </c>
      <c r="G566" s="155">
        <v>71148479</v>
      </c>
      <c r="H566" s="153">
        <v>167</v>
      </c>
      <c r="I566" s="155"/>
      <c r="J566" s="155"/>
      <c r="K566" s="155"/>
      <c r="L566" s="155"/>
      <c r="M566" s="155"/>
      <c r="N566" s="155"/>
      <c r="O566" s="148">
        <v>44442</v>
      </c>
      <c r="P566" s="149">
        <v>77.5</v>
      </c>
      <c r="Q566" s="149">
        <v>77.599999999999994</v>
      </c>
      <c r="R566" s="149">
        <v>77</v>
      </c>
      <c r="S566" s="149">
        <v>77</v>
      </c>
      <c r="T566" s="150">
        <v>28535</v>
      </c>
      <c r="U566" s="151">
        <v>2205207.5</v>
      </c>
      <c r="V566" s="149">
        <v>56</v>
      </c>
      <c r="Z566" s="1">
        <v>44322</v>
      </c>
      <c r="AA566">
        <v>65.790000000000006</v>
      </c>
      <c r="AB566">
        <v>57101</v>
      </c>
      <c r="AC566">
        <v>34637</v>
      </c>
      <c r="AF566" s="1">
        <v>44322</v>
      </c>
      <c r="AG566">
        <v>72.42</v>
      </c>
      <c r="AJ566" s="156">
        <f t="shared" si="8"/>
        <v>9.1549295774647821E-2</v>
      </c>
    </row>
    <row r="567" spans="1:36" x14ac:dyDescent="0.3">
      <c r="A567" s="152">
        <v>44441</v>
      </c>
      <c r="B567" s="153">
        <v>85.5</v>
      </c>
      <c r="C567" s="153">
        <v>86.2</v>
      </c>
      <c r="D567" s="153">
        <v>85</v>
      </c>
      <c r="E567" s="153">
        <v>85.7</v>
      </c>
      <c r="F567" s="154">
        <v>1071060</v>
      </c>
      <c r="G567" s="155">
        <v>91585216.799999997</v>
      </c>
      <c r="H567" s="153">
        <v>249</v>
      </c>
      <c r="I567" s="155"/>
      <c r="J567" s="155"/>
      <c r="K567" s="155"/>
      <c r="L567" s="155"/>
      <c r="M567" s="155"/>
      <c r="N567" s="155"/>
      <c r="O567" s="148">
        <v>44441</v>
      </c>
      <c r="P567" s="149">
        <v>76.5</v>
      </c>
      <c r="Q567" s="149">
        <v>78.8</v>
      </c>
      <c r="R567" s="149">
        <v>76.5</v>
      </c>
      <c r="S567" s="149">
        <v>76.7</v>
      </c>
      <c r="T567" s="150">
        <v>36000</v>
      </c>
      <c r="U567" s="151">
        <v>2761127.1</v>
      </c>
      <c r="V567" s="149">
        <v>50</v>
      </c>
      <c r="Z567" s="1">
        <v>44321</v>
      </c>
      <c r="AA567">
        <v>65.88</v>
      </c>
      <c r="AB567">
        <v>16782</v>
      </c>
      <c r="AC567">
        <v>31115</v>
      </c>
      <c r="AF567" s="1">
        <v>44321</v>
      </c>
      <c r="AG567">
        <v>72.790000000000006</v>
      </c>
      <c r="AJ567" s="156">
        <f t="shared" si="8"/>
        <v>9.493062233823342E-2</v>
      </c>
    </row>
    <row r="568" spans="1:36" x14ac:dyDescent="0.3">
      <c r="A568" s="152">
        <v>44440</v>
      </c>
      <c r="B568" s="153">
        <v>85.2</v>
      </c>
      <c r="C568" s="153">
        <v>86.1</v>
      </c>
      <c r="D568" s="153">
        <v>84.8</v>
      </c>
      <c r="E568" s="153">
        <v>85.7</v>
      </c>
      <c r="F568" s="154">
        <v>1066242</v>
      </c>
      <c r="G568" s="155">
        <v>91100242.700000003</v>
      </c>
      <c r="H568" s="153">
        <v>205</v>
      </c>
      <c r="I568" s="155"/>
      <c r="J568" s="155"/>
      <c r="K568" s="155"/>
      <c r="L568" s="155"/>
      <c r="M568" s="155"/>
      <c r="N568" s="155"/>
      <c r="O568" s="148">
        <v>44440</v>
      </c>
      <c r="P568" s="149">
        <v>76</v>
      </c>
      <c r="Q568" s="149">
        <v>80</v>
      </c>
      <c r="R568" s="149">
        <v>75.099999999999994</v>
      </c>
      <c r="S568" s="149">
        <v>79</v>
      </c>
      <c r="T568" s="150">
        <v>76931</v>
      </c>
      <c r="U568" s="151">
        <v>5895946.9000000004</v>
      </c>
      <c r="V568" s="149">
        <v>119</v>
      </c>
      <c r="Z568" s="1">
        <v>44320</v>
      </c>
      <c r="AA568">
        <v>65.52</v>
      </c>
      <c r="AB568">
        <v>5249</v>
      </c>
      <c r="AC568">
        <v>33926</v>
      </c>
      <c r="AF568" s="1">
        <v>44320</v>
      </c>
      <c r="AG568">
        <v>72.150000000000006</v>
      </c>
      <c r="AJ568" s="156">
        <f t="shared" si="8"/>
        <v>9.1891891891892022E-2</v>
      </c>
    </row>
    <row r="569" spans="1:36" x14ac:dyDescent="0.3">
      <c r="A569" s="152">
        <v>44439</v>
      </c>
      <c r="B569" s="153">
        <v>85.2</v>
      </c>
      <c r="C569" s="153">
        <v>87.2</v>
      </c>
      <c r="D569" s="153">
        <v>85</v>
      </c>
      <c r="E569" s="153">
        <v>87</v>
      </c>
      <c r="F569" s="154">
        <v>839736</v>
      </c>
      <c r="G569" s="155">
        <v>72712070</v>
      </c>
      <c r="H569" s="153">
        <v>249</v>
      </c>
      <c r="I569" s="155"/>
      <c r="J569" s="155"/>
      <c r="K569" s="155"/>
      <c r="L569" s="155"/>
      <c r="M569" s="155"/>
      <c r="N569" s="155"/>
      <c r="O569" s="148">
        <v>44439</v>
      </c>
      <c r="P569" s="149">
        <v>77</v>
      </c>
      <c r="Q569" s="149">
        <v>77</v>
      </c>
      <c r="R569" s="149">
        <v>75</v>
      </c>
      <c r="S569" s="149">
        <v>75.2</v>
      </c>
      <c r="T569" s="150">
        <v>80475</v>
      </c>
      <c r="U569" s="151">
        <v>6060625.5999999996</v>
      </c>
      <c r="V569" s="149">
        <v>146</v>
      </c>
      <c r="Z569" s="1">
        <v>44319</v>
      </c>
      <c r="AA569">
        <v>64.89</v>
      </c>
      <c r="AB569">
        <v>13403</v>
      </c>
      <c r="AC569">
        <v>35297</v>
      </c>
      <c r="AF569" s="1">
        <v>44319</v>
      </c>
      <c r="AG569">
        <v>72.33</v>
      </c>
      <c r="AJ569" s="156">
        <f t="shared" si="8"/>
        <v>0.10286188303608458</v>
      </c>
    </row>
    <row r="570" spans="1:36" x14ac:dyDescent="0.3">
      <c r="A570" s="152">
        <v>44438</v>
      </c>
      <c r="B570" s="153">
        <v>87.5</v>
      </c>
      <c r="C570" s="153">
        <v>87.5</v>
      </c>
      <c r="D570" s="153">
        <v>85</v>
      </c>
      <c r="E570" s="153">
        <v>85.2</v>
      </c>
      <c r="F570" s="154">
        <v>443172</v>
      </c>
      <c r="G570" s="155">
        <v>38068410.700000003</v>
      </c>
      <c r="H570" s="153">
        <v>215</v>
      </c>
      <c r="I570" s="155"/>
      <c r="J570" s="155"/>
      <c r="K570" s="155"/>
      <c r="L570" s="155"/>
      <c r="M570" s="155"/>
      <c r="N570" s="155"/>
      <c r="O570" s="148">
        <v>44438</v>
      </c>
      <c r="P570" s="149">
        <v>78.099999999999994</v>
      </c>
      <c r="Q570" s="149">
        <v>78.099999999999994</v>
      </c>
      <c r="R570" s="149">
        <v>76.900000000000006</v>
      </c>
      <c r="S570" s="149">
        <v>77</v>
      </c>
      <c r="T570" s="150">
        <v>29552</v>
      </c>
      <c r="U570" s="151">
        <v>2278651.1</v>
      </c>
      <c r="V570" s="149">
        <v>72</v>
      </c>
      <c r="Z570" s="1">
        <v>44316</v>
      </c>
      <c r="AA570">
        <v>65.430000000000007</v>
      </c>
      <c r="AB570">
        <v>1291</v>
      </c>
      <c r="AC570">
        <v>35487</v>
      </c>
      <c r="AF570" s="1">
        <v>44316</v>
      </c>
      <c r="AG570">
        <v>73.42</v>
      </c>
      <c r="AJ570" s="156">
        <f t="shared" si="8"/>
        <v>0.10882593298828649</v>
      </c>
    </row>
    <row r="571" spans="1:36" x14ac:dyDescent="0.3">
      <c r="A571" s="152">
        <v>44435</v>
      </c>
      <c r="B571" s="153">
        <v>88.5</v>
      </c>
      <c r="C571" s="153">
        <v>88.5</v>
      </c>
      <c r="D571" s="153">
        <v>86.1</v>
      </c>
      <c r="E571" s="153">
        <v>87.5</v>
      </c>
      <c r="F571" s="154">
        <v>355494</v>
      </c>
      <c r="G571" s="155">
        <v>31162372.300000001</v>
      </c>
      <c r="H571" s="153">
        <v>218</v>
      </c>
      <c r="I571" s="155"/>
      <c r="J571" s="155"/>
      <c r="K571" s="155"/>
      <c r="L571" s="155"/>
      <c r="M571" s="155"/>
      <c r="N571" s="155"/>
      <c r="O571" s="148">
        <v>44435</v>
      </c>
      <c r="P571" s="149">
        <v>80</v>
      </c>
      <c r="Q571" s="149">
        <v>81.099999999999994</v>
      </c>
      <c r="R571" s="149">
        <v>77.900000000000006</v>
      </c>
      <c r="S571" s="149">
        <v>78.099999999999994</v>
      </c>
      <c r="T571" s="150">
        <v>74928</v>
      </c>
      <c r="U571" s="151">
        <v>5981095.2999999998</v>
      </c>
      <c r="V571" s="149">
        <v>94</v>
      </c>
      <c r="Z571" s="1">
        <v>44315</v>
      </c>
      <c r="AA571">
        <v>65.069999999999993</v>
      </c>
      <c r="AB571">
        <v>13425</v>
      </c>
      <c r="AC571">
        <v>36104</v>
      </c>
      <c r="AF571" s="1">
        <v>44315</v>
      </c>
      <c r="AG571">
        <v>72.790000000000006</v>
      </c>
      <c r="AJ571" s="156">
        <f t="shared" si="8"/>
        <v>0.10605852452259942</v>
      </c>
    </row>
    <row r="572" spans="1:36" x14ac:dyDescent="0.3">
      <c r="A572" s="152">
        <v>44434</v>
      </c>
      <c r="B572" s="153">
        <v>85.4</v>
      </c>
      <c r="C572" s="153">
        <v>89.6</v>
      </c>
      <c r="D572" s="153">
        <v>85.2</v>
      </c>
      <c r="E572" s="153">
        <v>88.1</v>
      </c>
      <c r="F572" s="154">
        <v>786270</v>
      </c>
      <c r="G572" s="155">
        <v>69345714.5</v>
      </c>
      <c r="H572" s="153">
        <v>445</v>
      </c>
      <c r="I572" s="155"/>
      <c r="J572" s="155"/>
      <c r="K572" s="155"/>
      <c r="L572" s="155"/>
      <c r="M572" s="155"/>
      <c r="N572" s="155"/>
      <c r="O572" s="148">
        <v>44434</v>
      </c>
      <c r="P572" s="149">
        <v>77</v>
      </c>
      <c r="Q572" s="149">
        <v>80.5</v>
      </c>
      <c r="R572" s="149">
        <v>77</v>
      </c>
      <c r="S572" s="149">
        <v>79.900000000000006</v>
      </c>
      <c r="T572" s="150">
        <v>442617</v>
      </c>
      <c r="U572" s="151">
        <v>34946951.700000003</v>
      </c>
      <c r="V572" s="149">
        <v>293</v>
      </c>
      <c r="Z572" s="1">
        <v>44314</v>
      </c>
      <c r="AA572">
        <v>65.61</v>
      </c>
      <c r="AB572">
        <v>43851</v>
      </c>
      <c r="AC572">
        <v>38540</v>
      </c>
      <c r="AF572" s="1">
        <v>44314</v>
      </c>
      <c r="AG572">
        <v>73.61</v>
      </c>
      <c r="AJ572" s="156">
        <f t="shared" si="8"/>
        <v>0.10868088574921886</v>
      </c>
    </row>
    <row r="573" spans="1:36" x14ac:dyDescent="0.3">
      <c r="A573" s="152">
        <v>44433</v>
      </c>
      <c r="B573" s="153">
        <v>85</v>
      </c>
      <c r="C573" s="153">
        <v>86</v>
      </c>
      <c r="D573" s="153">
        <v>85</v>
      </c>
      <c r="E573" s="153">
        <v>85.4</v>
      </c>
      <c r="F573" s="154">
        <v>136726</v>
      </c>
      <c r="G573" s="155">
        <v>11689100.1</v>
      </c>
      <c r="H573" s="153">
        <v>130</v>
      </c>
      <c r="I573" s="155"/>
      <c r="J573" s="155"/>
      <c r="K573" s="155"/>
      <c r="L573" s="155"/>
      <c r="M573" s="155"/>
      <c r="N573" s="155"/>
      <c r="O573" s="148">
        <v>44433</v>
      </c>
      <c r="P573" s="149">
        <v>79.3</v>
      </c>
      <c r="Q573" s="149">
        <v>79.3</v>
      </c>
      <c r="R573" s="149">
        <v>77</v>
      </c>
      <c r="S573" s="149">
        <v>77</v>
      </c>
      <c r="T573" s="150">
        <v>25413</v>
      </c>
      <c r="U573" s="151">
        <v>1989110</v>
      </c>
      <c r="V573" s="149">
        <v>30</v>
      </c>
      <c r="Z573" s="1">
        <v>44313</v>
      </c>
      <c r="AA573">
        <v>64.709999999999994</v>
      </c>
      <c r="AB573">
        <v>75682</v>
      </c>
      <c r="AC573">
        <v>36080</v>
      </c>
      <c r="AF573" s="1">
        <v>44313</v>
      </c>
      <c r="AG573">
        <v>72.150000000000006</v>
      </c>
      <c r="AJ573" s="156">
        <f t="shared" si="8"/>
        <v>0.10311850311850328</v>
      </c>
    </row>
    <row r="574" spans="1:36" x14ac:dyDescent="0.3">
      <c r="A574" s="152">
        <v>44432</v>
      </c>
      <c r="B574" s="153">
        <v>84.8</v>
      </c>
      <c r="C574" s="153">
        <v>85.9</v>
      </c>
      <c r="D574" s="153">
        <v>84.5</v>
      </c>
      <c r="E574" s="153">
        <v>85.3</v>
      </c>
      <c r="F574" s="154">
        <v>175564</v>
      </c>
      <c r="G574" s="155">
        <v>14902357.199999999</v>
      </c>
      <c r="H574" s="153">
        <v>167</v>
      </c>
      <c r="I574" s="155"/>
      <c r="J574" s="155"/>
      <c r="K574" s="155"/>
      <c r="L574" s="155"/>
      <c r="M574" s="155"/>
      <c r="N574" s="155"/>
      <c r="O574" s="148">
        <v>44432</v>
      </c>
      <c r="P574" s="149">
        <v>77</v>
      </c>
      <c r="Q574" s="149">
        <v>79.099999999999994</v>
      </c>
      <c r="R574" s="149">
        <v>76.599999999999994</v>
      </c>
      <c r="S574" s="149">
        <v>77.599999999999994</v>
      </c>
      <c r="T574" s="150">
        <v>49723</v>
      </c>
      <c r="U574" s="151">
        <v>3849760.9</v>
      </c>
      <c r="V574" s="149">
        <v>76</v>
      </c>
      <c r="Z574" s="1">
        <v>44309</v>
      </c>
      <c r="AA574">
        <v>66.959999999999994</v>
      </c>
      <c r="AB574">
        <v>98006</v>
      </c>
      <c r="AC574">
        <v>36354</v>
      </c>
      <c r="AF574" s="1">
        <v>44309</v>
      </c>
      <c r="AG574">
        <v>74.790000000000006</v>
      </c>
      <c r="AJ574" s="156">
        <f t="shared" si="8"/>
        <v>0.10469314079422398</v>
      </c>
    </row>
    <row r="575" spans="1:36" x14ac:dyDescent="0.3">
      <c r="A575" s="152">
        <v>44431</v>
      </c>
      <c r="B575" s="153">
        <v>84.8</v>
      </c>
      <c r="C575" s="153">
        <v>85.5</v>
      </c>
      <c r="D575" s="153">
        <v>84.5</v>
      </c>
      <c r="E575" s="153">
        <v>84.9</v>
      </c>
      <c r="F575" s="154">
        <v>309751</v>
      </c>
      <c r="G575" s="155">
        <v>26308927.899999999</v>
      </c>
      <c r="H575" s="153">
        <v>179</v>
      </c>
      <c r="I575" s="155"/>
      <c r="J575" s="155"/>
      <c r="K575" s="155"/>
      <c r="L575" s="155"/>
      <c r="M575" s="155"/>
      <c r="N575" s="155"/>
      <c r="O575" s="148">
        <v>44431</v>
      </c>
      <c r="P575" s="149">
        <v>76.7</v>
      </c>
      <c r="Q575" s="149">
        <v>77.599999999999994</v>
      </c>
      <c r="R575" s="149">
        <v>76.3</v>
      </c>
      <c r="S575" s="149">
        <v>77</v>
      </c>
      <c r="T575" s="150">
        <v>132367</v>
      </c>
      <c r="U575" s="151">
        <v>10138313.5</v>
      </c>
      <c r="V575" s="149">
        <v>76</v>
      </c>
      <c r="Z575" s="1">
        <v>44308</v>
      </c>
      <c r="AA575">
        <v>67.5</v>
      </c>
      <c r="AB575">
        <v>54563</v>
      </c>
      <c r="AC575">
        <v>42420</v>
      </c>
      <c r="AF575" s="1">
        <v>44308</v>
      </c>
      <c r="AG575">
        <v>76.33</v>
      </c>
      <c r="AJ575" s="156">
        <f t="shared" si="8"/>
        <v>0.11568190750687801</v>
      </c>
    </row>
    <row r="576" spans="1:36" x14ac:dyDescent="0.3">
      <c r="A576" s="152">
        <v>44428</v>
      </c>
      <c r="B576" s="153">
        <v>85.4</v>
      </c>
      <c r="C576" s="153">
        <v>85.4</v>
      </c>
      <c r="D576" s="153">
        <v>84.5</v>
      </c>
      <c r="E576" s="153">
        <v>84.7</v>
      </c>
      <c r="F576" s="154">
        <v>126075</v>
      </c>
      <c r="G576" s="155">
        <v>10715399.800000001</v>
      </c>
      <c r="H576" s="153">
        <v>135</v>
      </c>
      <c r="I576" s="155"/>
      <c r="J576" s="155"/>
      <c r="K576" s="155"/>
      <c r="L576" s="155"/>
      <c r="M576" s="155"/>
      <c r="N576" s="155"/>
      <c r="O576" s="148">
        <v>44428</v>
      </c>
      <c r="P576" s="149">
        <v>77</v>
      </c>
      <c r="Q576" s="149">
        <v>77</v>
      </c>
      <c r="R576" s="149">
        <v>76.400000000000006</v>
      </c>
      <c r="S576" s="149">
        <v>76.5</v>
      </c>
      <c r="T576" s="150">
        <v>17563</v>
      </c>
      <c r="U576" s="151">
        <v>1344626.4</v>
      </c>
      <c r="V576" s="149">
        <v>40</v>
      </c>
      <c r="Z576" s="1">
        <v>44307</v>
      </c>
      <c r="AA576">
        <v>68.67</v>
      </c>
      <c r="AB576">
        <v>41513</v>
      </c>
      <c r="AC576">
        <v>41678</v>
      </c>
      <c r="AF576" s="1">
        <v>44307</v>
      </c>
      <c r="AG576">
        <v>77.239999999999995</v>
      </c>
      <c r="AJ576" s="156">
        <f t="shared" si="8"/>
        <v>0.11095287415846704</v>
      </c>
    </row>
    <row r="577" spans="1:36" x14ac:dyDescent="0.3">
      <c r="A577" s="152">
        <v>44427</v>
      </c>
      <c r="B577" s="153">
        <v>85</v>
      </c>
      <c r="C577" s="153">
        <v>85.6</v>
      </c>
      <c r="D577" s="153">
        <v>85</v>
      </c>
      <c r="E577" s="153">
        <v>85.2</v>
      </c>
      <c r="F577" s="154">
        <v>173736</v>
      </c>
      <c r="G577" s="155">
        <v>14789284.800000001</v>
      </c>
      <c r="H577" s="153">
        <v>124</v>
      </c>
      <c r="I577" s="155"/>
      <c r="J577" s="155"/>
      <c r="K577" s="155"/>
      <c r="L577" s="155"/>
      <c r="M577" s="155"/>
      <c r="N577" s="155"/>
      <c r="O577" s="148">
        <v>44427</v>
      </c>
      <c r="P577" s="149">
        <v>77</v>
      </c>
      <c r="Q577" s="149">
        <v>77.400000000000006</v>
      </c>
      <c r="R577" s="149">
        <v>76.900000000000006</v>
      </c>
      <c r="S577" s="149">
        <v>77</v>
      </c>
      <c r="T577" s="150">
        <v>95669</v>
      </c>
      <c r="U577" s="151">
        <v>7367415.9000000004</v>
      </c>
      <c r="V577" s="149">
        <v>59</v>
      </c>
      <c r="Z577" s="1">
        <v>44306</v>
      </c>
      <c r="AA577">
        <v>68.849999999999994</v>
      </c>
      <c r="AB577">
        <v>42543</v>
      </c>
      <c r="AC577">
        <v>42597</v>
      </c>
      <c r="AF577" s="1">
        <v>44306</v>
      </c>
      <c r="AG577">
        <v>77.61</v>
      </c>
      <c r="AJ577" s="156">
        <f t="shared" si="8"/>
        <v>0.1128720525705451</v>
      </c>
    </row>
    <row r="578" spans="1:36" x14ac:dyDescent="0.3">
      <c r="A578" s="152">
        <v>44426</v>
      </c>
      <c r="B578" s="153">
        <v>85</v>
      </c>
      <c r="C578" s="153">
        <v>85.3</v>
      </c>
      <c r="D578" s="153">
        <v>84.5</v>
      </c>
      <c r="E578" s="153">
        <v>85.1</v>
      </c>
      <c r="F578" s="154">
        <v>120561</v>
      </c>
      <c r="G578" s="155">
        <v>10241134.199999999</v>
      </c>
      <c r="H578" s="153">
        <v>117</v>
      </c>
      <c r="I578" s="155"/>
      <c r="J578" s="155"/>
      <c r="K578" s="155"/>
      <c r="L578" s="155"/>
      <c r="M578" s="155"/>
      <c r="N578" s="155"/>
      <c r="O578" s="148">
        <v>44426</v>
      </c>
      <c r="P578" s="149">
        <v>76.599999999999994</v>
      </c>
      <c r="Q578" s="149">
        <v>77</v>
      </c>
      <c r="R578" s="149">
        <v>76.400000000000006</v>
      </c>
      <c r="S578" s="149">
        <v>76.400000000000006</v>
      </c>
      <c r="T578" s="150">
        <v>22625</v>
      </c>
      <c r="U578" s="151">
        <v>1736009.7</v>
      </c>
      <c r="V578" s="149">
        <v>42</v>
      </c>
      <c r="Z578" s="1">
        <v>44305</v>
      </c>
      <c r="AA578">
        <v>70.099999999999994</v>
      </c>
      <c r="AB578">
        <v>17542</v>
      </c>
      <c r="AC578">
        <v>41196</v>
      </c>
      <c r="AF578" s="1">
        <v>44305</v>
      </c>
      <c r="AG578">
        <v>78.52</v>
      </c>
      <c r="AJ578" s="156">
        <f t="shared" si="8"/>
        <v>0.10723382577687215</v>
      </c>
    </row>
    <row r="579" spans="1:36" x14ac:dyDescent="0.3">
      <c r="A579" s="152">
        <v>44425</v>
      </c>
      <c r="B579" s="153">
        <v>83.5</v>
      </c>
      <c r="C579" s="153">
        <v>85.5</v>
      </c>
      <c r="D579" s="153">
        <v>83.5</v>
      </c>
      <c r="E579" s="153">
        <v>84.7</v>
      </c>
      <c r="F579" s="154">
        <v>328248</v>
      </c>
      <c r="G579" s="155">
        <v>27827828.600000001</v>
      </c>
      <c r="H579" s="153">
        <v>135</v>
      </c>
      <c r="I579" s="155"/>
      <c r="J579" s="155"/>
      <c r="K579" s="155"/>
      <c r="L579" s="155"/>
      <c r="M579" s="155"/>
      <c r="N579" s="155"/>
      <c r="O579" s="148">
        <v>44425</v>
      </c>
      <c r="P579" s="149">
        <v>75.599999999999994</v>
      </c>
      <c r="Q579" s="149">
        <v>76.5</v>
      </c>
      <c r="R579" s="149">
        <v>75.5</v>
      </c>
      <c r="S579" s="149">
        <v>76.099999999999994</v>
      </c>
      <c r="T579" s="150">
        <v>27315</v>
      </c>
      <c r="U579" s="151">
        <v>2068232.5</v>
      </c>
      <c r="V579" s="149">
        <v>52</v>
      </c>
      <c r="Z579" s="1">
        <v>44302</v>
      </c>
      <c r="AA579">
        <v>70.55</v>
      </c>
      <c r="AB579">
        <v>10894</v>
      </c>
      <c r="AC579">
        <v>41823</v>
      </c>
      <c r="AF579" s="1">
        <v>44302</v>
      </c>
      <c r="AG579">
        <v>78.97</v>
      </c>
      <c r="AJ579" s="156">
        <f t="shared" si="8"/>
        <v>0.10662276813979994</v>
      </c>
    </row>
    <row r="580" spans="1:36" x14ac:dyDescent="0.3">
      <c r="A580" s="152">
        <v>44424</v>
      </c>
      <c r="B580" s="153">
        <v>83.6</v>
      </c>
      <c r="C580" s="153">
        <v>84</v>
      </c>
      <c r="D580" s="153">
        <v>83.5</v>
      </c>
      <c r="E580" s="153">
        <v>83.6</v>
      </c>
      <c r="F580" s="154">
        <v>23434</v>
      </c>
      <c r="G580" s="155">
        <v>1959079.5</v>
      </c>
      <c r="H580" s="153">
        <v>39</v>
      </c>
      <c r="I580" s="155"/>
      <c r="J580" s="155"/>
      <c r="K580" s="155"/>
      <c r="L580" s="155"/>
      <c r="M580" s="155"/>
      <c r="N580" s="155"/>
      <c r="O580" s="148">
        <v>44424</v>
      </c>
      <c r="P580" s="149">
        <v>75.599999999999994</v>
      </c>
      <c r="Q580" s="149">
        <v>75.599999999999994</v>
      </c>
      <c r="R580" s="149">
        <v>75.099999999999994</v>
      </c>
      <c r="S580" s="149">
        <v>75.599999999999994</v>
      </c>
      <c r="T580" s="150">
        <v>2701</v>
      </c>
      <c r="U580" s="151">
        <v>204127.6</v>
      </c>
      <c r="V580" s="149">
        <v>15</v>
      </c>
      <c r="Z580" s="1">
        <v>44301</v>
      </c>
      <c r="AA580">
        <v>70.55</v>
      </c>
      <c r="AB580">
        <v>27705</v>
      </c>
      <c r="AC580">
        <v>41612</v>
      </c>
      <c r="AF580" s="1">
        <v>44301</v>
      </c>
      <c r="AG580">
        <v>79.16</v>
      </c>
      <c r="AJ580" s="156">
        <f t="shared" si="8"/>
        <v>0.10876705406771096</v>
      </c>
    </row>
    <row r="581" spans="1:36" x14ac:dyDescent="0.3">
      <c r="A581" s="152">
        <v>44421</v>
      </c>
      <c r="B581" s="153">
        <v>83.6</v>
      </c>
      <c r="C581" s="153">
        <v>84</v>
      </c>
      <c r="D581" s="153">
        <v>83.5</v>
      </c>
      <c r="E581" s="153">
        <v>83.6</v>
      </c>
      <c r="F581" s="154">
        <v>60133</v>
      </c>
      <c r="G581" s="155">
        <v>5028137.7</v>
      </c>
      <c r="H581" s="153">
        <v>98</v>
      </c>
      <c r="I581" s="155"/>
      <c r="J581" s="155"/>
      <c r="K581" s="155"/>
      <c r="L581" s="155"/>
      <c r="M581" s="155"/>
      <c r="N581" s="155"/>
      <c r="O581" s="148">
        <v>44421</v>
      </c>
      <c r="P581" s="149">
        <v>75</v>
      </c>
      <c r="Q581" s="149">
        <v>76.5</v>
      </c>
      <c r="R581" s="149">
        <v>74.7</v>
      </c>
      <c r="S581" s="149">
        <v>75.8</v>
      </c>
      <c r="T581" s="150">
        <v>60044</v>
      </c>
      <c r="U581" s="151">
        <v>4515300.9000000004</v>
      </c>
      <c r="V581" s="149">
        <v>36</v>
      </c>
      <c r="Z581" s="1">
        <v>44298</v>
      </c>
      <c r="AA581">
        <v>70.91</v>
      </c>
      <c r="AB581">
        <v>4274</v>
      </c>
      <c r="AC581">
        <v>40552</v>
      </c>
      <c r="AF581" s="1">
        <v>44298</v>
      </c>
      <c r="AG581">
        <v>79.16</v>
      </c>
      <c r="AJ581" s="156">
        <f t="shared" si="8"/>
        <v>0.10421930267812027</v>
      </c>
    </row>
    <row r="582" spans="1:36" x14ac:dyDescent="0.3">
      <c r="A582" s="152">
        <v>44420</v>
      </c>
      <c r="B582" s="153">
        <v>83.4</v>
      </c>
      <c r="C582" s="153">
        <v>84</v>
      </c>
      <c r="D582" s="153">
        <v>82.6</v>
      </c>
      <c r="E582" s="153">
        <v>82.9</v>
      </c>
      <c r="F582" s="154">
        <v>182541</v>
      </c>
      <c r="G582" s="155">
        <v>15135668.699999999</v>
      </c>
      <c r="H582" s="153">
        <v>129</v>
      </c>
      <c r="I582" s="155"/>
      <c r="J582" s="155"/>
      <c r="K582" s="155"/>
      <c r="L582" s="155"/>
      <c r="M582" s="155"/>
      <c r="N582" s="155"/>
      <c r="O582" s="148">
        <v>44420</v>
      </c>
      <c r="P582" s="149">
        <v>74.5</v>
      </c>
      <c r="Q582" s="149">
        <v>75</v>
      </c>
      <c r="R582" s="149">
        <v>73.7</v>
      </c>
      <c r="S582" s="149">
        <v>73.900000000000006</v>
      </c>
      <c r="T582" s="150">
        <v>51571</v>
      </c>
      <c r="U582" s="151">
        <v>3818013.6</v>
      </c>
      <c r="V582" s="149">
        <v>113</v>
      </c>
      <c r="Z582" s="1">
        <v>44295</v>
      </c>
      <c r="AA582">
        <v>71</v>
      </c>
      <c r="AB582">
        <v>58947</v>
      </c>
      <c r="AC582">
        <v>43148</v>
      </c>
      <c r="AF582" s="1">
        <v>44295</v>
      </c>
      <c r="AG582">
        <v>78.34</v>
      </c>
      <c r="AJ582" s="156">
        <f t="shared" ref="AJ582:AJ645" si="9">(AG582-AA582)/AG582</f>
        <v>9.3694153689047779E-2</v>
      </c>
    </row>
    <row r="583" spans="1:36" x14ac:dyDescent="0.3">
      <c r="A583" s="152">
        <v>44419</v>
      </c>
      <c r="B583" s="153">
        <v>82.8</v>
      </c>
      <c r="C583" s="153">
        <v>83.6</v>
      </c>
      <c r="D583" s="153">
        <v>82.7</v>
      </c>
      <c r="E583" s="153">
        <v>83.4</v>
      </c>
      <c r="F583" s="154">
        <v>128455</v>
      </c>
      <c r="G583" s="155">
        <v>10692241.300000001</v>
      </c>
      <c r="H583" s="153">
        <v>82</v>
      </c>
      <c r="I583" s="155"/>
      <c r="J583" s="155"/>
      <c r="K583" s="155"/>
      <c r="L583" s="155"/>
      <c r="M583" s="155"/>
      <c r="N583" s="155"/>
      <c r="O583" s="148">
        <v>44419</v>
      </c>
      <c r="P583" s="149">
        <v>74.599999999999994</v>
      </c>
      <c r="Q583" s="149">
        <v>74.900000000000006</v>
      </c>
      <c r="R583" s="149">
        <v>74.3</v>
      </c>
      <c r="S583" s="149">
        <v>74.400000000000006</v>
      </c>
      <c r="T583" s="150">
        <v>8753</v>
      </c>
      <c r="U583" s="151">
        <v>651650.1</v>
      </c>
      <c r="V583" s="149">
        <v>63</v>
      </c>
      <c r="Z583" s="1">
        <v>44294</v>
      </c>
      <c r="AA583">
        <v>71.540000000000006</v>
      </c>
      <c r="AB583">
        <v>25823</v>
      </c>
      <c r="AC583">
        <v>42110</v>
      </c>
      <c r="AF583" s="1">
        <v>44294</v>
      </c>
      <c r="AG583">
        <v>77.97</v>
      </c>
      <c r="AJ583" s="156">
        <f t="shared" si="9"/>
        <v>8.2467615749647213E-2</v>
      </c>
    </row>
    <row r="584" spans="1:36" x14ac:dyDescent="0.3">
      <c r="A584" s="152">
        <v>44418</v>
      </c>
      <c r="B584" s="153">
        <v>83.5</v>
      </c>
      <c r="C584" s="153">
        <v>84</v>
      </c>
      <c r="D584" s="153">
        <v>82.9</v>
      </c>
      <c r="E584" s="153">
        <v>83</v>
      </c>
      <c r="F584" s="154">
        <v>1554393</v>
      </c>
      <c r="G584" s="155">
        <v>130197737.5</v>
      </c>
      <c r="H584" s="153">
        <v>155</v>
      </c>
      <c r="I584" s="155"/>
      <c r="J584" s="155"/>
      <c r="K584" s="155"/>
      <c r="L584" s="155"/>
      <c r="M584" s="155"/>
      <c r="N584" s="155"/>
      <c r="O584" s="148">
        <v>44418</v>
      </c>
      <c r="P584" s="149">
        <v>75.099999999999994</v>
      </c>
      <c r="Q584" s="149">
        <v>76</v>
      </c>
      <c r="R584" s="149">
        <v>74.5</v>
      </c>
      <c r="S584" s="149">
        <v>74.599999999999994</v>
      </c>
      <c r="T584" s="150">
        <v>34362</v>
      </c>
      <c r="U584" s="151">
        <v>2568696</v>
      </c>
      <c r="V584" s="149">
        <v>78</v>
      </c>
      <c r="Z584" s="1">
        <v>44293</v>
      </c>
      <c r="AA584">
        <v>70.91</v>
      </c>
      <c r="AB584">
        <v>16246</v>
      </c>
      <c r="AC584">
        <v>44021</v>
      </c>
      <c r="AF584" s="1">
        <v>44293</v>
      </c>
      <c r="AG584">
        <v>77.88</v>
      </c>
      <c r="AJ584" s="156">
        <f t="shared" si="9"/>
        <v>8.9496661530559823E-2</v>
      </c>
    </row>
    <row r="585" spans="1:36" x14ac:dyDescent="0.3">
      <c r="A585" s="152">
        <v>44417</v>
      </c>
      <c r="B585" s="153">
        <v>83.9</v>
      </c>
      <c r="C585" s="153">
        <v>83.9</v>
      </c>
      <c r="D585" s="153">
        <v>82.9</v>
      </c>
      <c r="E585" s="153">
        <v>83</v>
      </c>
      <c r="F585" s="154">
        <v>201560</v>
      </c>
      <c r="G585" s="155">
        <v>16733118.4</v>
      </c>
      <c r="H585" s="153">
        <v>189</v>
      </c>
      <c r="I585" s="155"/>
      <c r="J585" s="155"/>
      <c r="K585" s="155"/>
      <c r="L585" s="155"/>
      <c r="M585" s="155"/>
      <c r="N585" s="155"/>
      <c r="O585" s="148">
        <v>44417</v>
      </c>
      <c r="P585" s="149">
        <v>76</v>
      </c>
      <c r="Q585" s="149">
        <v>76</v>
      </c>
      <c r="R585" s="149">
        <v>74.8</v>
      </c>
      <c r="S585" s="149">
        <v>75</v>
      </c>
      <c r="T585" s="150">
        <v>6531</v>
      </c>
      <c r="U585" s="151">
        <v>490100</v>
      </c>
      <c r="V585" s="149">
        <v>39</v>
      </c>
      <c r="Z585" s="1">
        <v>44292</v>
      </c>
      <c r="AA585">
        <v>70.91</v>
      </c>
      <c r="AB585">
        <v>10541</v>
      </c>
      <c r="AC585">
        <v>46248</v>
      </c>
      <c r="AF585" s="1">
        <v>44292</v>
      </c>
      <c r="AG585">
        <v>77.97</v>
      </c>
      <c r="AJ585" s="156">
        <f t="shared" si="9"/>
        <v>9.054764653071698E-2</v>
      </c>
    </row>
    <row r="586" spans="1:36" x14ac:dyDescent="0.3">
      <c r="A586" s="152">
        <v>44414</v>
      </c>
      <c r="B586" s="153">
        <v>83.3</v>
      </c>
      <c r="C586" s="153">
        <v>84</v>
      </c>
      <c r="D586" s="153">
        <v>83.1</v>
      </c>
      <c r="E586" s="153">
        <v>83.7</v>
      </c>
      <c r="F586" s="154">
        <v>89819</v>
      </c>
      <c r="G586" s="155">
        <v>7488814.7999999998</v>
      </c>
      <c r="H586" s="153">
        <v>124</v>
      </c>
      <c r="I586" s="155"/>
      <c r="J586" s="155"/>
      <c r="K586" s="155"/>
      <c r="L586" s="155"/>
      <c r="M586" s="155"/>
      <c r="N586" s="155"/>
      <c r="O586" s="148">
        <v>44414</v>
      </c>
      <c r="P586" s="149">
        <v>77</v>
      </c>
      <c r="Q586" s="149">
        <v>77</v>
      </c>
      <c r="R586" s="149">
        <v>74.400000000000006</v>
      </c>
      <c r="S586" s="149">
        <v>75.900000000000006</v>
      </c>
      <c r="T586" s="150">
        <v>59961</v>
      </c>
      <c r="U586" s="151">
        <v>4490573</v>
      </c>
      <c r="V586" s="149">
        <v>63</v>
      </c>
      <c r="Z586" s="1">
        <v>44291</v>
      </c>
      <c r="AA586">
        <v>69.3</v>
      </c>
      <c r="AB586">
        <v>49969</v>
      </c>
      <c r="AC586">
        <v>50023</v>
      </c>
      <c r="AF586" s="1">
        <v>44291</v>
      </c>
      <c r="AG586">
        <v>77.06</v>
      </c>
      <c r="AJ586" s="156">
        <f t="shared" si="9"/>
        <v>0.10070075266026479</v>
      </c>
    </row>
    <row r="587" spans="1:36" x14ac:dyDescent="0.3">
      <c r="A587" s="152">
        <v>44413</v>
      </c>
      <c r="B587" s="153">
        <v>84.5</v>
      </c>
      <c r="C587" s="153">
        <v>84.5</v>
      </c>
      <c r="D587" s="153">
        <v>83.3</v>
      </c>
      <c r="E587" s="153">
        <v>83.6</v>
      </c>
      <c r="F587" s="154">
        <v>219163</v>
      </c>
      <c r="G587" s="155">
        <v>18392743</v>
      </c>
      <c r="H587" s="153">
        <v>233</v>
      </c>
      <c r="I587" s="155"/>
      <c r="J587" s="155"/>
      <c r="K587" s="155"/>
      <c r="L587" s="155"/>
      <c r="M587" s="155"/>
      <c r="N587" s="155"/>
      <c r="O587" s="148">
        <v>44413</v>
      </c>
      <c r="P587" s="149">
        <v>76.8</v>
      </c>
      <c r="Q587" s="149">
        <v>76.8</v>
      </c>
      <c r="R587" s="149">
        <v>74.5</v>
      </c>
      <c r="S587" s="149">
        <v>74.7</v>
      </c>
      <c r="T587" s="150">
        <v>50618</v>
      </c>
      <c r="U587" s="151">
        <v>3800514.2</v>
      </c>
      <c r="V587" s="149">
        <v>119</v>
      </c>
      <c r="Z587" s="1">
        <v>44287</v>
      </c>
      <c r="AA587">
        <v>71</v>
      </c>
      <c r="AB587">
        <v>6949</v>
      </c>
      <c r="AC587">
        <v>49179</v>
      </c>
      <c r="AF587" s="1">
        <v>44287</v>
      </c>
      <c r="AG587">
        <v>77.88</v>
      </c>
      <c r="AJ587" s="156">
        <f t="shared" si="9"/>
        <v>8.8341037493579813E-2</v>
      </c>
    </row>
    <row r="588" spans="1:36" x14ac:dyDescent="0.3">
      <c r="A588" s="152">
        <v>44412</v>
      </c>
      <c r="B588" s="153">
        <v>84.5</v>
      </c>
      <c r="C588" s="153">
        <v>85</v>
      </c>
      <c r="D588" s="153">
        <v>84.3</v>
      </c>
      <c r="E588" s="153">
        <v>84.5</v>
      </c>
      <c r="F588" s="154">
        <v>1351921</v>
      </c>
      <c r="G588" s="155">
        <v>114238837.2</v>
      </c>
      <c r="H588" s="153">
        <v>124</v>
      </c>
      <c r="I588" s="155"/>
      <c r="J588" s="155"/>
      <c r="K588" s="155"/>
      <c r="L588" s="155"/>
      <c r="M588" s="155"/>
      <c r="N588" s="155"/>
      <c r="O588" s="148">
        <v>44412</v>
      </c>
      <c r="P588" s="149">
        <v>75.400000000000006</v>
      </c>
      <c r="Q588" s="149">
        <v>77</v>
      </c>
      <c r="R588" s="149">
        <v>74.900000000000006</v>
      </c>
      <c r="S588" s="149">
        <v>76.8</v>
      </c>
      <c r="T588" s="150">
        <v>40286</v>
      </c>
      <c r="U588" s="151">
        <v>3054750.4</v>
      </c>
      <c r="V588" s="149">
        <v>112</v>
      </c>
      <c r="Z588" s="1">
        <v>44286</v>
      </c>
      <c r="AA588">
        <v>70.64</v>
      </c>
      <c r="AB588">
        <v>79790</v>
      </c>
      <c r="AC588">
        <v>51899</v>
      </c>
      <c r="AF588" s="1">
        <v>44286</v>
      </c>
      <c r="AG588">
        <v>77.790000000000006</v>
      </c>
      <c r="AJ588" s="156">
        <f t="shared" si="9"/>
        <v>9.1914127779920363E-2</v>
      </c>
    </row>
    <row r="589" spans="1:36" x14ac:dyDescent="0.3">
      <c r="A589" s="152">
        <v>44411</v>
      </c>
      <c r="B589" s="153">
        <v>85.1</v>
      </c>
      <c r="C589" s="153">
        <v>85.1</v>
      </c>
      <c r="D589" s="153">
        <v>84.4</v>
      </c>
      <c r="E589" s="153">
        <v>84.5</v>
      </c>
      <c r="F589" s="154">
        <v>114506</v>
      </c>
      <c r="G589" s="155">
        <v>9686086.5999999996</v>
      </c>
      <c r="H589" s="153">
        <v>172</v>
      </c>
      <c r="I589" s="155"/>
      <c r="J589" s="155"/>
      <c r="K589" s="155"/>
      <c r="L589" s="155"/>
      <c r="M589" s="155"/>
      <c r="N589" s="155"/>
      <c r="O589" s="148">
        <v>44411</v>
      </c>
      <c r="P589" s="149">
        <v>77</v>
      </c>
      <c r="Q589" s="149">
        <v>77</v>
      </c>
      <c r="R589" s="149">
        <v>75.3</v>
      </c>
      <c r="S589" s="149">
        <v>75.400000000000006</v>
      </c>
      <c r="T589" s="150">
        <v>72481</v>
      </c>
      <c r="U589" s="151">
        <v>5479661.2000000002</v>
      </c>
      <c r="V589" s="149">
        <v>129</v>
      </c>
      <c r="Z589" s="1">
        <v>44285</v>
      </c>
      <c r="AA589">
        <v>73.489999999999995</v>
      </c>
      <c r="AB589">
        <v>188996</v>
      </c>
      <c r="AC589">
        <v>50613</v>
      </c>
      <c r="AF589" s="1">
        <v>44285</v>
      </c>
      <c r="AG589">
        <v>80.239999999999995</v>
      </c>
      <c r="AJ589" s="156">
        <f t="shared" si="9"/>
        <v>8.4122632103688935E-2</v>
      </c>
    </row>
    <row r="590" spans="1:36" x14ac:dyDescent="0.3">
      <c r="A590" s="152">
        <v>44410</v>
      </c>
      <c r="B590" s="153">
        <v>85.4</v>
      </c>
      <c r="C590" s="153">
        <v>85.5</v>
      </c>
      <c r="D590" s="153">
        <v>85</v>
      </c>
      <c r="E590" s="153">
        <v>85.1</v>
      </c>
      <c r="F590" s="154">
        <v>1386284</v>
      </c>
      <c r="G590" s="155">
        <v>117900921.3</v>
      </c>
      <c r="H590" s="153">
        <v>170</v>
      </c>
      <c r="I590" s="155"/>
      <c r="J590" s="155"/>
      <c r="K590" s="155"/>
      <c r="L590" s="155"/>
      <c r="M590" s="155"/>
      <c r="N590" s="155"/>
      <c r="O590" s="148">
        <v>44410</v>
      </c>
      <c r="P590" s="149">
        <v>77.400000000000006</v>
      </c>
      <c r="Q590" s="149">
        <v>77.400000000000006</v>
      </c>
      <c r="R590" s="149">
        <v>75.8</v>
      </c>
      <c r="S590" s="149">
        <v>76</v>
      </c>
      <c r="T590" s="150">
        <v>87326</v>
      </c>
      <c r="U590" s="151">
        <v>6646028.2999999998</v>
      </c>
      <c r="V590" s="149">
        <v>126</v>
      </c>
      <c r="Z590" s="1">
        <v>44284</v>
      </c>
      <c r="AA590">
        <v>73.58</v>
      </c>
      <c r="AB590">
        <v>43437</v>
      </c>
      <c r="AC590">
        <v>40130</v>
      </c>
      <c r="AF590" s="1">
        <v>44284</v>
      </c>
      <c r="AG590">
        <v>80.77</v>
      </c>
      <c r="AJ590" s="156">
        <f t="shared" si="9"/>
        <v>8.9018199826668296E-2</v>
      </c>
    </row>
    <row r="591" spans="1:36" x14ac:dyDescent="0.3">
      <c r="A591" s="152">
        <v>44407</v>
      </c>
      <c r="B591" s="153">
        <v>85.1</v>
      </c>
      <c r="C591" s="153">
        <v>85.5</v>
      </c>
      <c r="D591" s="153">
        <v>84.8</v>
      </c>
      <c r="E591" s="153">
        <v>85.3</v>
      </c>
      <c r="F591" s="154">
        <v>28237</v>
      </c>
      <c r="G591" s="155">
        <v>2404527.2999999998</v>
      </c>
      <c r="H591" s="153">
        <v>58</v>
      </c>
      <c r="I591" s="155"/>
      <c r="J591" s="155"/>
      <c r="K591" s="155"/>
      <c r="L591" s="155"/>
      <c r="M591" s="155"/>
      <c r="N591" s="155"/>
      <c r="O591" s="148">
        <v>44407</v>
      </c>
      <c r="P591" s="149">
        <v>78</v>
      </c>
      <c r="Q591" s="149">
        <v>78</v>
      </c>
      <c r="R591" s="149">
        <v>76.3</v>
      </c>
      <c r="S591" s="149">
        <v>77.400000000000006</v>
      </c>
      <c r="T591" s="150">
        <v>11851</v>
      </c>
      <c r="U591" s="151">
        <v>908679</v>
      </c>
      <c r="V591" s="149">
        <v>45</v>
      </c>
      <c r="Z591" s="1">
        <v>44281</v>
      </c>
      <c r="AA591">
        <v>72.790000000000006</v>
      </c>
      <c r="AB591">
        <v>55305</v>
      </c>
      <c r="AC591">
        <v>42040</v>
      </c>
      <c r="AF591" s="1">
        <v>44281</v>
      </c>
      <c r="AG591">
        <v>78.81</v>
      </c>
      <c r="AJ591" s="156">
        <f t="shared" si="9"/>
        <v>7.6386245400329858E-2</v>
      </c>
    </row>
    <row r="592" spans="1:36" x14ac:dyDescent="0.3">
      <c r="A592" s="152">
        <v>44406</v>
      </c>
      <c r="B592" s="153">
        <v>84.6</v>
      </c>
      <c r="C592" s="153">
        <v>86</v>
      </c>
      <c r="D592" s="153">
        <v>84.3</v>
      </c>
      <c r="E592" s="153">
        <v>84.9</v>
      </c>
      <c r="F592" s="154">
        <v>307868</v>
      </c>
      <c r="G592" s="155">
        <v>26123111.5</v>
      </c>
      <c r="H592" s="153">
        <v>116</v>
      </c>
      <c r="I592" s="155"/>
      <c r="J592" s="155"/>
      <c r="K592" s="155"/>
      <c r="L592" s="155"/>
      <c r="M592" s="155"/>
      <c r="N592" s="155"/>
      <c r="O592" s="148">
        <v>44406</v>
      </c>
      <c r="P592" s="149">
        <v>76.5</v>
      </c>
      <c r="Q592" s="149">
        <v>77.8</v>
      </c>
      <c r="R592" s="149">
        <v>76.5</v>
      </c>
      <c r="S592" s="149">
        <v>77.5</v>
      </c>
      <c r="T592" s="150">
        <v>4862</v>
      </c>
      <c r="U592" s="151">
        <v>375584.6</v>
      </c>
      <c r="V592" s="149">
        <v>19</v>
      </c>
      <c r="Z592" s="1">
        <v>44280</v>
      </c>
      <c r="AA592">
        <v>72.27</v>
      </c>
      <c r="AB592">
        <v>21523</v>
      </c>
      <c r="AC592">
        <v>44120</v>
      </c>
      <c r="AF592" s="1">
        <v>44280</v>
      </c>
      <c r="AG592">
        <v>79.260000000000005</v>
      </c>
      <c r="AJ592" s="156">
        <f t="shared" si="9"/>
        <v>8.8190764572293828E-2</v>
      </c>
    </row>
    <row r="593" spans="1:36" x14ac:dyDescent="0.3">
      <c r="A593" s="152">
        <v>44405</v>
      </c>
      <c r="B593" s="153">
        <v>84</v>
      </c>
      <c r="C593" s="153">
        <v>84.9</v>
      </c>
      <c r="D593" s="153">
        <v>83.1</v>
      </c>
      <c r="E593" s="153">
        <v>84.4</v>
      </c>
      <c r="F593" s="154">
        <v>127078</v>
      </c>
      <c r="G593" s="155">
        <v>10721875.800000001</v>
      </c>
      <c r="H593" s="153">
        <v>118</v>
      </c>
      <c r="I593" s="155"/>
      <c r="J593" s="155"/>
      <c r="K593" s="155"/>
      <c r="L593" s="155"/>
      <c r="M593" s="155"/>
      <c r="N593" s="155"/>
      <c r="O593" s="148">
        <v>44405</v>
      </c>
      <c r="P593" s="149">
        <v>76.599999999999994</v>
      </c>
      <c r="Q593" s="149">
        <v>78</v>
      </c>
      <c r="R593" s="149">
        <v>76</v>
      </c>
      <c r="S593" s="149">
        <v>76</v>
      </c>
      <c r="T593" s="150">
        <v>44969</v>
      </c>
      <c r="U593" s="151">
        <v>3433794.1</v>
      </c>
      <c r="V593" s="149">
        <v>108</v>
      </c>
      <c r="Z593" s="1">
        <v>44279</v>
      </c>
      <c r="AA593">
        <v>71.83</v>
      </c>
      <c r="AB593">
        <v>26951</v>
      </c>
      <c r="AC593">
        <v>48646</v>
      </c>
      <c r="AF593" s="1">
        <v>44279</v>
      </c>
      <c r="AG593">
        <v>79.7</v>
      </c>
      <c r="AJ593" s="156">
        <f t="shared" si="9"/>
        <v>9.8745294855708959E-2</v>
      </c>
    </row>
    <row r="594" spans="1:36" x14ac:dyDescent="0.3">
      <c r="A594" s="152">
        <v>44404</v>
      </c>
      <c r="B594" s="153">
        <v>84.7</v>
      </c>
      <c r="C594" s="153">
        <v>85</v>
      </c>
      <c r="D594" s="153">
        <v>83</v>
      </c>
      <c r="E594" s="153">
        <v>84</v>
      </c>
      <c r="F594" s="154">
        <v>161464</v>
      </c>
      <c r="G594" s="155">
        <v>13546019.199999999</v>
      </c>
      <c r="H594" s="153">
        <v>208</v>
      </c>
      <c r="I594" s="155"/>
      <c r="J594" s="155"/>
      <c r="K594" s="155"/>
      <c r="L594" s="155"/>
      <c r="M594" s="155"/>
      <c r="N594" s="155"/>
      <c r="O594" s="148">
        <v>44404</v>
      </c>
      <c r="P594" s="149">
        <v>76.2</v>
      </c>
      <c r="Q594" s="149">
        <v>76.599999999999994</v>
      </c>
      <c r="R594" s="149">
        <v>76</v>
      </c>
      <c r="S594" s="149">
        <v>76.5</v>
      </c>
      <c r="T594" s="150">
        <v>11546</v>
      </c>
      <c r="U594" s="151">
        <v>880819.4</v>
      </c>
      <c r="V594" s="149">
        <v>45</v>
      </c>
      <c r="Z594" s="1">
        <v>44278</v>
      </c>
      <c r="AA594">
        <v>70.430000000000007</v>
      </c>
      <c r="AB594">
        <v>7731</v>
      </c>
      <c r="AC594">
        <v>49744</v>
      </c>
      <c r="AF594" s="1">
        <v>44278</v>
      </c>
      <c r="AG594">
        <v>77.569999999999993</v>
      </c>
      <c r="AJ594" s="156">
        <f t="shared" si="9"/>
        <v>9.2045894031197464E-2</v>
      </c>
    </row>
    <row r="595" spans="1:36" x14ac:dyDescent="0.3">
      <c r="A595" s="152">
        <v>44403</v>
      </c>
      <c r="B595" s="153">
        <v>85</v>
      </c>
      <c r="C595" s="153">
        <v>85.5</v>
      </c>
      <c r="D595" s="153">
        <v>83.7</v>
      </c>
      <c r="E595" s="153">
        <v>83.9</v>
      </c>
      <c r="F595" s="154">
        <v>380352</v>
      </c>
      <c r="G595" s="155">
        <v>32189020.699999999</v>
      </c>
      <c r="H595" s="153">
        <v>407</v>
      </c>
      <c r="I595" s="155"/>
      <c r="J595" s="155"/>
      <c r="K595" s="155"/>
      <c r="L595" s="155"/>
      <c r="M595" s="155"/>
      <c r="N595" s="155"/>
      <c r="O595" s="148">
        <v>44403</v>
      </c>
      <c r="P595" s="149">
        <v>77.2</v>
      </c>
      <c r="Q595" s="149">
        <v>77.2</v>
      </c>
      <c r="R595" s="149">
        <v>76</v>
      </c>
      <c r="S595" s="149">
        <v>76.400000000000006</v>
      </c>
      <c r="T595" s="150">
        <v>21673</v>
      </c>
      <c r="U595" s="151">
        <v>1653335.5</v>
      </c>
      <c r="V595" s="149">
        <v>101</v>
      </c>
      <c r="Z595" s="1">
        <v>44277</v>
      </c>
      <c r="AA595">
        <v>70.34</v>
      </c>
      <c r="AB595">
        <v>11799</v>
      </c>
      <c r="AC595">
        <v>54271</v>
      </c>
      <c r="AF595" s="1">
        <v>44277</v>
      </c>
      <c r="AG595">
        <v>76.86</v>
      </c>
      <c r="AJ595" s="156">
        <f t="shared" si="9"/>
        <v>8.4829560239396251E-2</v>
      </c>
    </row>
    <row r="596" spans="1:36" x14ac:dyDescent="0.3">
      <c r="A596" s="152">
        <v>44399</v>
      </c>
      <c r="B596" s="153">
        <v>86.8</v>
      </c>
      <c r="C596" s="153">
        <v>87</v>
      </c>
      <c r="D596" s="153">
        <v>85</v>
      </c>
      <c r="E596" s="153">
        <v>85.1</v>
      </c>
      <c r="F596" s="154">
        <v>783183</v>
      </c>
      <c r="G596" s="155">
        <v>67037681.5</v>
      </c>
      <c r="H596" s="153">
        <v>490</v>
      </c>
      <c r="I596" s="155"/>
      <c r="J596" s="155"/>
      <c r="K596" s="155"/>
      <c r="L596" s="155"/>
      <c r="M596" s="155"/>
      <c r="N596" s="155"/>
      <c r="O596" s="148">
        <v>44399</v>
      </c>
      <c r="P596" s="149">
        <v>77.599999999999994</v>
      </c>
      <c r="Q596" s="149">
        <v>77.900000000000006</v>
      </c>
      <c r="R596" s="149">
        <v>77.099999999999994</v>
      </c>
      <c r="S596" s="149">
        <v>77.2</v>
      </c>
      <c r="T596" s="150">
        <v>77206</v>
      </c>
      <c r="U596" s="151">
        <v>5987690.5999999996</v>
      </c>
      <c r="V596" s="149">
        <v>88</v>
      </c>
      <c r="Z596" s="1">
        <v>44274</v>
      </c>
      <c r="AA596">
        <v>69.459999999999994</v>
      </c>
      <c r="AB596">
        <v>43209</v>
      </c>
      <c r="AC596">
        <v>63601</v>
      </c>
      <c r="AF596" s="1">
        <v>44274</v>
      </c>
      <c r="AG596">
        <v>76.95</v>
      </c>
      <c r="AJ596" s="156">
        <f t="shared" si="9"/>
        <v>9.7335932423651836E-2</v>
      </c>
    </row>
    <row r="597" spans="1:36" x14ac:dyDescent="0.3">
      <c r="A597" s="152">
        <v>44397</v>
      </c>
      <c r="B597" s="153">
        <v>87</v>
      </c>
      <c r="C597" s="153">
        <v>87.1</v>
      </c>
      <c r="D597" s="153">
        <v>86.6</v>
      </c>
      <c r="E597" s="153">
        <v>86.8</v>
      </c>
      <c r="F597" s="154">
        <v>3822881</v>
      </c>
      <c r="G597" s="155">
        <v>332548876.39999998</v>
      </c>
      <c r="H597" s="153">
        <v>296</v>
      </c>
      <c r="I597" s="155"/>
      <c r="J597" s="155"/>
      <c r="K597" s="155"/>
      <c r="L597" s="155"/>
      <c r="M597" s="155"/>
      <c r="N597" s="155"/>
      <c r="O597" s="148">
        <v>44397</v>
      </c>
      <c r="P597" s="149">
        <v>78</v>
      </c>
      <c r="Q597" s="149">
        <v>78.5</v>
      </c>
      <c r="R597" s="149">
        <v>77.7</v>
      </c>
      <c r="S597" s="149">
        <v>77.900000000000006</v>
      </c>
      <c r="T597" s="150">
        <v>22185</v>
      </c>
      <c r="U597" s="151">
        <v>1729604</v>
      </c>
      <c r="V597" s="149">
        <v>50</v>
      </c>
      <c r="Z597" s="1">
        <v>44273</v>
      </c>
      <c r="AA597">
        <v>70.510000000000005</v>
      </c>
      <c r="AB597">
        <v>43386</v>
      </c>
      <c r="AC597">
        <v>63747</v>
      </c>
      <c r="AF597" s="1">
        <v>44273</v>
      </c>
      <c r="AG597">
        <v>76.319999999999993</v>
      </c>
      <c r="AJ597" s="156">
        <f t="shared" si="9"/>
        <v>7.6126834381551212E-2</v>
      </c>
    </row>
    <row r="598" spans="1:36" x14ac:dyDescent="0.3">
      <c r="A598" s="152">
        <v>44396</v>
      </c>
      <c r="B598" s="153">
        <v>87.3</v>
      </c>
      <c r="C598" s="153">
        <v>88</v>
      </c>
      <c r="D598" s="153">
        <v>87</v>
      </c>
      <c r="E598" s="153">
        <v>87.8</v>
      </c>
      <c r="F598" s="154">
        <v>4146967</v>
      </c>
      <c r="G598" s="155">
        <v>362896022.10000002</v>
      </c>
      <c r="H598" s="153">
        <v>157</v>
      </c>
      <c r="I598" s="155"/>
      <c r="J598" s="155"/>
      <c r="K598" s="155"/>
      <c r="L598" s="155"/>
      <c r="M598" s="155"/>
      <c r="N598" s="155"/>
      <c r="O598" s="148">
        <v>44396</v>
      </c>
      <c r="P598" s="149">
        <v>78</v>
      </c>
      <c r="Q598" s="149">
        <v>78.2</v>
      </c>
      <c r="R598" s="149">
        <v>77.900000000000006</v>
      </c>
      <c r="S598" s="149">
        <v>78</v>
      </c>
      <c r="T598" s="150">
        <v>17357</v>
      </c>
      <c r="U598" s="151">
        <v>1353681.8</v>
      </c>
      <c r="V598" s="149">
        <v>32</v>
      </c>
      <c r="Z598" s="1">
        <v>44272</v>
      </c>
      <c r="AA598">
        <v>69.81</v>
      </c>
      <c r="AB598">
        <v>54483</v>
      </c>
      <c r="AC598">
        <v>65326</v>
      </c>
      <c r="AF598" s="1">
        <v>44272</v>
      </c>
      <c r="AG598">
        <v>76.5</v>
      </c>
      <c r="AJ598" s="156">
        <f t="shared" si="9"/>
        <v>8.7450980392156832E-2</v>
      </c>
    </row>
    <row r="599" spans="1:36" x14ac:dyDescent="0.3">
      <c r="A599" s="152">
        <v>44393</v>
      </c>
      <c r="B599" s="153">
        <v>87.1</v>
      </c>
      <c r="C599" s="153">
        <v>87.5</v>
      </c>
      <c r="D599" s="153">
        <v>87</v>
      </c>
      <c r="E599" s="153">
        <v>87.3</v>
      </c>
      <c r="F599" s="154">
        <v>255511</v>
      </c>
      <c r="G599" s="155">
        <v>22271989.100000001</v>
      </c>
      <c r="H599" s="153">
        <v>136</v>
      </c>
      <c r="I599" s="155"/>
      <c r="J599" s="155"/>
      <c r="K599" s="155"/>
      <c r="L599" s="155"/>
      <c r="M599" s="155"/>
      <c r="N599" s="155"/>
      <c r="O599" s="148">
        <v>44393</v>
      </c>
      <c r="P599" s="149">
        <v>77.5</v>
      </c>
      <c r="Q599" s="149">
        <v>78</v>
      </c>
      <c r="R599" s="149">
        <v>77.2</v>
      </c>
      <c r="S599" s="149">
        <v>77.900000000000006</v>
      </c>
      <c r="T599" s="150">
        <v>19386</v>
      </c>
      <c r="U599" s="151">
        <v>1503308.8</v>
      </c>
      <c r="V599" s="149">
        <v>33</v>
      </c>
      <c r="Z599" s="1">
        <v>44271</v>
      </c>
      <c r="AA599">
        <v>70.95</v>
      </c>
      <c r="AB599">
        <v>49646</v>
      </c>
      <c r="AC599">
        <v>66862</v>
      </c>
      <c r="AF599" s="1">
        <v>44271</v>
      </c>
      <c r="AG599">
        <v>77.569999999999993</v>
      </c>
      <c r="AJ599" s="156">
        <f t="shared" si="9"/>
        <v>8.534227149671253E-2</v>
      </c>
    </row>
    <row r="600" spans="1:36" x14ac:dyDescent="0.3">
      <c r="A600" s="152">
        <v>44392</v>
      </c>
      <c r="B600" s="153">
        <v>87.5</v>
      </c>
      <c r="C600" s="153">
        <v>87.5</v>
      </c>
      <c r="D600" s="153">
        <v>87</v>
      </c>
      <c r="E600" s="153">
        <v>87</v>
      </c>
      <c r="F600" s="154">
        <v>132719</v>
      </c>
      <c r="G600" s="155">
        <v>11552375.9</v>
      </c>
      <c r="H600" s="153">
        <v>86</v>
      </c>
      <c r="I600" s="155"/>
      <c r="J600" s="155"/>
      <c r="K600" s="155"/>
      <c r="L600" s="155"/>
      <c r="M600" s="155"/>
      <c r="N600" s="155"/>
      <c r="O600" s="148">
        <v>44392</v>
      </c>
      <c r="P600" s="149">
        <v>77.2</v>
      </c>
      <c r="Q600" s="149">
        <v>77.599999999999994</v>
      </c>
      <c r="R600" s="149">
        <v>77.2</v>
      </c>
      <c r="S600" s="149">
        <v>77.5</v>
      </c>
      <c r="T600" s="150">
        <v>37646</v>
      </c>
      <c r="U600" s="151">
        <v>2917272.6</v>
      </c>
      <c r="V600" s="149">
        <v>50</v>
      </c>
      <c r="Z600" s="1">
        <v>44270</v>
      </c>
      <c r="AA600">
        <v>70.16</v>
      </c>
      <c r="AB600">
        <v>67165</v>
      </c>
      <c r="AC600">
        <v>66210</v>
      </c>
      <c r="AF600" s="1">
        <v>44270</v>
      </c>
      <c r="AG600">
        <v>78.010000000000005</v>
      </c>
      <c r="AJ600" s="156">
        <f t="shared" si="9"/>
        <v>0.10062812459941044</v>
      </c>
    </row>
    <row r="601" spans="1:36" x14ac:dyDescent="0.3">
      <c r="A601" s="152">
        <v>44391</v>
      </c>
      <c r="B601" s="153">
        <v>86.8</v>
      </c>
      <c r="C601" s="153">
        <v>87.5</v>
      </c>
      <c r="D601" s="153">
        <v>86.7</v>
      </c>
      <c r="E601" s="153">
        <v>87.1</v>
      </c>
      <c r="F601" s="154">
        <v>74322</v>
      </c>
      <c r="G601" s="155">
        <v>6470188</v>
      </c>
      <c r="H601" s="153">
        <v>74</v>
      </c>
      <c r="I601" s="155"/>
      <c r="J601" s="155"/>
      <c r="K601" s="155"/>
      <c r="L601" s="155"/>
      <c r="M601" s="155"/>
      <c r="N601" s="155"/>
      <c r="O601" s="148">
        <v>44391</v>
      </c>
      <c r="P601" s="149">
        <v>77.3</v>
      </c>
      <c r="Q601" s="149">
        <v>77.400000000000006</v>
      </c>
      <c r="R601" s="149">
        <v>77.2</v>
      </c>
      <c r="S601" s="149">
        <v>77.400000000000006</v>
      </c>
      <c r="T601" s="150">
        <v>13762</v>
      </c>
      <c r="U601" s="151">
        <v>1064698.6000000001</v>
      </c>
      <c r="V601" s="149">
        <v>28</v>
      </c>
      <c r="Z601" s="1">
        <v>44267</v>
      </c>
      <c r="AA601">
        <v>71.48</v>
      </c>
      <c r="AB601">
        <v>37321</v>
      </c>
      <c r="AC601">
        <v>74125</v>
      </c>
      <c r="AF601" s="1">
        <v>44267</v>
      </c>
      <c r="AG601">
        <v>77.3</v>
      </c>
      <c r="AJ601" s="156">
        <f t="shared" si="9"/>
        <v>7.5291073738680381E-2</v>
      </c>
    </row>
    <row r="602" spans="1:36" x14ac:dyDescent="0.3">
      <c r="A602" s="152">
        <v>44390</v>
      </c>
      <c r="B602" s="153">
        <v>88</v>
      </c>
      <c r="C602" s="153">
        <v>88</v>
      </c>
      <c r="D602" s="153">
        <v>86.7</v>
      </c>
      <c r="E602" s="153">
        <v>86.9</v>
      </c>
      <c r="F602" s="154">
        <v>111261</v>
      </c>
      <c r="G602" s="155">
        <v>9674167.5999999996</v>
      </c>
      <c r="H602" s="153">
        <v>117</v>
      </c>
      <c r="I602" s="155"/>
      <c r="J602" s="155"/>
      <c r="K602" s="155"/>
      <c r="L602" s="155"/>
      <c r="M602" s="155"/>
      <c r="N602" s="155"/>
      <c r="O602" s="148">
        <v>44390</v>
      </c>
      <c r="P602" s="149">
        <v>77.5</v>
      </c>
      <c r="Q602" s="149">
        <v>77.5</v>
      </c>
      <c r="R602" s="149">
        <v>77.2</v>
      </c>
      <c r="S602" s="149">
        <v>77.3</v>
      </c>
      <c r="T602" s="150">
        <v>7002</v>
      </c>
      <c r="U602" s="151">
        <v>541212.80000000005</v>
      </c>
      <c r="V602" s="149">
        <v>21</v>
      </c>
      <c r="Z602" s="1">
        <v>44265</v>
      </c>
      <c r="AA602">
        <v>70.08</v>
      </c>
      <c r="AB602">
        <v>47744</v>
      </c>
      <c r="AC602">
        <v>75624</v>
      </c>
      <c r="AF602" s="1">
        <v>44265</v>
      </c>
      <c r="AG602">
        <v>76.59</v>
      </c>
      <c r="AJ602" s="156">
        <f t="shared" si="9"/>
        <v>8.4998041519780715E-2</v>
      </c>
    </row>
    <row r="603" spans="1:36" x14ac:dyDescent="0.3">
      <c r="A603" s="152">
        <v>44389</v>
      </c>
      <c r="B603" s="153">
        <v>87.3</v>
      </c>
      <c r="C603" s="153">
        <v>88</v>
      </c>
      <c r="D603" s="153">
        <v>87</v>
      </c>
      <c r="E603" s="153">
        <v>87.3</v>
      </c>
      <c r="F603" s="154">
        <v>16193</v>
      </c>
      <c r="G603" s="155">
        <v>1412440.4</v>
      </c>
      <c r="H603" s="153">
        <v>83</v>
      </c>
      <c r="I603" s="155"/>
      <c r="J603" s="155"/>
      <c r="K603" s="155"/>
      <c r="L603" s="155"/>
      <c r="M603" s="155"/>
      <c r="N603" s="155"/>
      <c r="O603" s="148">
        <v>44389</v>
      </c>
      <c r="P603" s="149">
        <v>77</v>
      </c>
      <c r="Q603" s="149">
        <v>77.5</v>
      </c>
      <c r="R603" s="149">
        <v>77</v>
      </c>
      <c r="S603" s="149">
        <v>77.2</v>
      </c>
      <c r="T603" s="150">
        <v>13037</v>
      </c>
      <c r="U603" s="151">
        <v>1005789.5</v>
      </c>
      <c r="V603" s="149">
        <v>25</v>
      </c>
      <c r="Z603" s="1">
        <v>44264</v>
      </c>
      <c r="AA603">
        <v>71.39</v>
      </c>
      <c r="AB603">
        <v>60499</v>
      </c>
      <c r="AC603">
        <v>75814</v>
      </c>
      <c r="AF603" s="1">
        <v>44264</v>
      </c>
      <c r="AG603">
        <v>78.37</v>
      </c>
      <c r="AJ603" s="156">
        <f t="shared" si="9"/>
        <v>8.9064693122368296E-2</v>
      </c>
    </row>
    <row r="604" spans="1:36" x14ac:dyDescent="0.3">
      <c r="A604" s="152">
        <v>44386</v>
      </c>
      <c r="B604" s="153">
        <v>86.5</v>
      </c>
      <c r="C604" s="153">
        <v>87.5</v>
      </c>
      <c r="D604" s="153">
        <v>86.4</v>
      </c>
      <c r="E604" s="153">
        <v>87.3</v>
      </c>
      <c r="F604" s="154">
        <v>137860</v>
      </c>
      <c r="G604" s="155">
        <v>11995390.9</v>
      </c>
      <c r="H604" s="153">
        <v>63</v>
      </c>
      <c r="I604" s="155"/>
      <c r="J604" s="155"/>
      <c r="K604" s="155"/>
      <c r="L604" s="155"/>
      <c r="M604" s="155"/>
      <c r="N604" s="155"/>
      <c r="O604" s="148">
        <v>44386</v>
      </c>
      <c r="P604" s="149">
        <v>77</v>
      </c>
      <c r="Q604" s="149">
        <v>77</v>
      </c>
      <c r="R604" s="149">
        <v>76.400000000000006</v>
      </c>
      <c r="S604" s="149">
        <v>76.900000000000006</v>
      </c>
      <c r="T604" s="150">
        <v>131515</v>
      </c>
      <c r="U604" s="151">
        <v>10114701.9</v>
      </c>
      <c r="V604" s="149">
        <v>81</v>
      </c>
      <c r="Z604" s="1">
        <v>44263</v>
      </c>
      <c r="AA604">
        <v>71.3</v>
      </c>
      <c r="AB604">
        <v>31755</v>
      </c>
      <c r="AC604">
        <v>78665</v>
      </c>
      <c r="AF604" s="1">
        <v>44263</v>
      </c>
      <c r="AG604">
        <v>76.680000000000007</v>
      </c>
      <c r="AJ604" s="156">
        <f t="shared" si="9"/>
        <v>7.0161711006781549E-2</v>
      </c>
    </row>
    <row r="605" spans="1:36" x14ac:dyDescent="0.3">
      <c r="A605" s="152">
        <v>44385</v>
      </c>
      <c r="B605" s="153">
        <v>86.2</v>
      </c>
      <c r="C605" s="153">
        <v>86.8</v>
      </c>
      <c r="D605" s="153">
        <v>86.2</v>
      </c>
      <c r="E605" s="153">
        <v>86.6</v>
      </c>
      <c r="F605" s="154">
        <v>77436</v>
      </c>
      <c r="G605" s="155">
        <v>6702678.7000000002</v>
      </c>
      <c r="H605" s="153">
        <v>74</v>
      </c>
      <c r="I605" s="155"/>
      <c r="J605" s="155"/>
      <c r="K605" s="155"/>
      <c r="L605" s="155"/>
      <c r="M605" s="155"/>
      <c r="N605" s="155"/>
      <c r="O605" s="148">
        <v>44385</v>
      </c>
      <c r="P605" s="149">
        <v>77</v>
      </c>
      <c r="Q605" s="149">
        <v>77</v>
      </c>
      <c r="R605" s="149">
        <v>76.599999999999994</v>
      </c>
      <c r="S605" s="149">
        <v>76.8</v>
      </c>
      <c r="T605" s="150">
        <v>11272</v>
      </c>
      <c r="U605" s="151">
        <v>865619.2</v>
      </c>
      <c r="V605" s="149">
        <v>36</v>
      </c>
      <c r="Z605" s="1">
        <v>44260</v>
      </c>
      <c r="AA605">
        <v>69.55</v>
      </c>
      <c r="AB605">
        <v>72084</v>
      </c>
      <c r="AC605">
        <v>77914</v>
      </c>
      <c r="AF605" s="1">
        <v>44260</v>
      </c>
      <c r="AG605">
        <v>75.52</v>
      </c>
      <c r="AJ605" s="156">
        <f t="shared" si="9"/>
        <v>7.9051906779661008E-2</v>
      </c>
    </row>
    <row r="606" spans="1:36" x14ac:dyDescent="0.3">
      <c r="A606" s="152">
        <v>44384</v>
      </c>
      <c r="B606" s="153">
        <v>86.7</v>
      </c>
      <c r="C606" s="153">
        <v>86.7</v>
      </c>
      <c r="D606" s="153">
        <v>86</v>
      </c>
      <c r="E606" s="153">
        <v>86.5</v>
      </c>
      <c r="F606" s="154">
        <v>555917</v>
      </c>
      <c r="G606" s="155">
        <v>48072859.700000003</v>
      </c>
      <c r="H606" s="153">
        <v>132</v>
      </c>
      <c r="I606" s="155"/>
      <c r="J606" s="155"/>
      <c r="K606" s="155"/>
      <c r="L606" s="155"/>
      <c r="M606" s="155"/>
      <c r="N606" s="155"/>
      <c r="O606" s="148">
        <v>44384</v>
      </c>
      <c r="P606" s="149">
        <v>77.400000000000006</v>
      </c>
      <c r="Q606" s="149">
        <v>77.5</v>
      </c>
      <c r="R606" s="149">
        <v>77</v>
      </c>
      <c r="S606" s="149">
        <v>77</v>
      </c>
      <c r="T606" s="150">
        <v>8719</v>
      </c>
      <c r="U606" s="151">
        <v>671982.5</v>
      </c>
      <c r="V606" s="149">
        <v>28</v>
      </c>
      <c r="Z606" s="1">
        <v>44259</v>
      </c>
      <c r="AA606">
        <v>68.5</v>
      </c>
      <c r="AB606">
        <v>86511</v>
      </c>
      <c r="AC606">
        <v>81183</v>
      </c>
      <c r="AF606" s="1">
        <v>44259</v>
      </c>
      <c r="AG606">
        <v>75.17</v>
      </c>
      <c r="AJ606" s="156">
        <f t="shared" si="9"/>
        <v>8.8732206997472418E-2</v>
      </c>
    </row>
    <row r="607" spans="1:36" x14ac:dyDescent="0.3">
      <c r="A607" s="152">
        <v>44383</v>
      </c>
      <c r="B607" s="153">
        <v>86.9</v>
      </c>
      <c r="C607" s="153">
        <v>87</v>
      </c>
      <c r="D607" s="153">
        <v>86.3</v>
      </c>
      <c r="E607" s="153">
        <v>86.4</v>
      </c>
      <c r="F607" s="154">
        <v>83262</v>
      </c>
      <c r="G607" s="155">
        <v>7212734.7000000002</v>
      </c>
      <c r="H607" s="153">
        <v>128</v>
      </c>
      <c r="I607" s="155"/>
      <c r="J607" s="155"/>
      <c r="K607" s="155"/>
      <c r="L607" s="155"/>
      <c r="M607" s="155"/>
      <c r="N607" s="155"/>
      <c r="O607" s="148">
        <v>44383</v>
      </c>
      <c r="P607" s="149">
        <v>77.599999999999994</v>
      </c>
      <c r="Q607" s="149">
        <v>77.7</v>
      </c>
      <c r="R607" s="149">
        <v>77</v>
      </c>
      <c r="S607" s="149">
        <v>77.2</v>
      </c>
      <c r="T607" s="150">
        <v>264813</v>
      </c>
      <c r="U607" s="151">
        <v>20412596.100000001</v>
      </c>
      <c r="V607" s="149">
        <v>63</v>
      </c>
      <c r="Z607" s="1">
        <v>44258</v>
      </c>
      <c r="AA607">
        <v>70.08</v>
      </c>
      <c r="AB607">
        <v>89404</v>
      </c>
      <c r="AC607">
        <v>77446</v>
      </c>
      <c r="AF607" s="1">
        <v>44258</v>
      </c>
      <c r="AG607">
        <v>76.319999999999993</v>
      </c>
      <c r="AJ607" s="156">
        <f t="shared" si="9"/>
        <v>8.1761006289308116E-2</v>
      </c>
    </row>
    <row r="608" spans="1:36" x14ac:dyDescent="0.3">
      <c r="A608" s="152">
        <v>44382</v>
      </c>
      <c r="B608" s="153">
        <v>87</v>
      </c>
      <c r="C608" s="153">
        <v>87.6</v>
      </c>
      <c r="D608" s="153">
        <v>86.7</v>
      </c>
      <c r="E608" s="153">
        <v>86.9</v>
      </c>
      <c r="F608" s="154">
        <v>1557660</v>
      </c>
      <c r="G608" s="155">
        <v>134800254</v>
      </c>
      <c r="H608" s="153">
        <v>212</v>
      </c>
      <c r="I608" s="155"/>
      <c r="J608" s="155"/>
      <c r="K608" s="155"/>
      <c r="L608" s="155"/>
      <c r="M608" s="155"/>
      <c r="N608" s="155"/>
      <c r="O608" s="148">
        <v>44382</v>
      </c>
      <c r="P608" s="149">
        <v>78.2</v>
      </c>
      <c r="Q608" s="149">
        <v>78.2</v>
      </c>
      <c r="R608" s="149">
        <v>77.599999999999994</v>
      </c>
      <c r="S608" s="149">
        <v>77.599999999999994</v>
      </c>
      <c r="T608" s="150">
        <v>37206</v>
      </c>
      <c r="U608" s="151">
        <v>2887813.6</v>
      </c>
      <c r="V608" s="149">
        <v>47</v>
      </c>
      <c r="Z608" s="1">
        <v>44257</v>
      </c>
      <c r="AA608">
        <v>70.95</v>
      </c>
      <c r="AB608">
        <v>43427</v>
      </c>
      <c r="AC608">
        <v>78954</v>
      </c>
      <c r="AF608" s="1">
        <v>44257</v>
      </c>
      <c r="AG608">
        <v>77.209999999999994</v>
      </c>
      <c r="AJ608" s="156">
        <f t="shared" si="9"/>
        <v>8.1077580624271353E-2</v>
      </c>
    </row>
    <row r="609" spans="1:36" x14ac:dyDescent="0.3">
      <c r="A609" s="152">
        <v>44379</v>
      </c>
      <c r="B609" s="153">
        <v>89</v>
      </c>
      <c r="C609" s="153">
        <v>89</v>
      </c>
      <c r="D609" s="153">
        <v>87</v>
      </c>
      <c r="E609" s="153">
        <v>87.9</v>
      </c>
      <c r="F609" s="154">
        <v>232536</v>
      </c>
      <c r="G609" s="155">
        <v>20477266.5</v>
      </c>
      <c r="H609" s="153">
        <v>190</v>
      </c>
      <c r="I609" s="155"/>
      <c r="J609" s="155"/>
      <c r="K609" s="155"/>
      <c r="L609" s="155"/>
      <c r="M609" s="155"/>
      <c r="N609" s="155"/>
      <c r="O609" s="148">
        <v>44379</v>
      </c>
      <c r="P609" s="149">
        <v>78.5</v>
      </c>
      <c r="Q609" s="149">
        <v>78.5</v>
      </c>
      <c r="R609" s="149">
        <v>77.8</v>
      </c>
      <c r="S609" s="149">
        <v>78</v>
      </c>
      <c r="T609" s="150">
        <v>9043</v>
      </c>
      <c r="U609" s="151">
        <v>705066.2</v>
      </c>
      <c r="V609" s="149">
        <v>29</v>
      </c>
      <c r="Z609" s="1">
        <v>44256</v>
      </c>
      <c r="AA609">
        <v>71.739999999999995</v>
      </c>
      <c r="AB609">
        <v>75636</v>
      </c>
      <c r="AC609">
        <v>78748</v>
      </c>
      <c r="AF609" s="1">
        <v>44256</v>
      </c>
      <c r="AG609">
        <v>78.55</v>
      </c>
      <c r="AJ609" s="156">
        <f t="shared" si="9"/>
        <v>8.6696371737746691E-2</v>
      </c>
    </row>
    <row r="610" spans="1:36" x14ac:dyDescent="0.3">
      <c r="A610" s="152">
        <v>44378</v>
      </c>
      <c r="B610" s="153">
        <v>88.2</v>
      </c>
      <c r="C610" s="153">
        <v>89</v>
      </c>
      <c r="D610" s="153">
        <v>87.6</v>
      </c>
      <c r="E610" s="153">
        <v>88.1</v>
      </c>
      <c r="F610" s="154">
        <v>182074</v>
      </c>
      <c r="G610" s="155">
        <v>16011023.6</v>
      </c>
      <c r="H610" s="153">
        <v>106</v>
      </c>
      <c r="I610" s="155"/>
      <c r="J610" s="155"/>
      <c r="K610" s="155"/>
      <c r="L610" s="155"/>
      <c r="M610" s="155"/>
      <c r="N610" s="155"/>
      <c r="O610" s="148">
        <v>44378</v>
      </c>
      <c r="P610" s="149">
        <v>78.5</v>
      </c>
      <c r="Q610" s="149">
        <v>78.5</v>
      </c>
      <c r="R610" s="149">
        <v>78</v>
      </c>
      <c r="S610" s="149">
        <v>78</v>
      </c>
      <c r="T610" s="150">
        <v>445610</v>
      </c>
      <c r="U610" s="151">
        <v>34757760.5</v>
      </c>
      <c r="V610" s="149">
        <v>50</v>
      </c>
      <c r="Z610" s="1">
        <v>44252</v>
      </c>
      <c r="AA610">
        <v>71.3</v>
      </c>
      <c r="AB610">
        <v>151742</v>
      </c>
      <c r="AC610">
        <v>82505</v>
      </c>
      <c r="AF610" s="1">
        <v>44252</v>
      </c>
      <c r="AG610">
        <v>78.989999999999995</v>
      </c>
      <c r="AJ610" s="156">
        <f t="shared" si="9"/>
        <v>9.7354095455120873E-2</v>
      </c>
    </row>
    <row r="611" spans="1:36" x14ac:dyDescent="0.3">
      <c r="A611" s="152">
        <v>44377</v>
      </c>
      <c r="B611" s="153">
        <v>89.4</v>
      </c>
      <c r="C611" s="153">
        <v>89.7</v>
      </c>
      <c r="D611" s="153">
        <v>87.9</v>
      </c>
      <c r="E611" s="153">
        <v>88</v>
      </c>
      <c r="F611" s="154">
        <v>387919</v>
      </c>
      <c r="G611" s="155">
        <v>34203603.700000003</v>
      </c>
      <c r="H611" s="153">
        <v>160</v>
      </c>
      <c r="I611" s="155"/>
      <c r="J611" s="155"/>
      <c r="K611" s="155"/>
      <c r="L611" s="155"/>
      <c r="M611" s="155"/>
      <c r="N611" s="155"/>
      <c r="O611" s="148">
        <v>44377</v>
      </c>
      <c r="P611" s="149">
        <v>78.5</v>
      </c>
      <c r="Q611" s="149">
        <v>78.5</v>
      </c>
      <c r="R611" s="149">
        <v>78</v>
      </c>
      <c r="S611" s="149">
        <v>78</v>
      </c>
      <c r="T611" s="150">
        <v>142114</v>
      </c>
      <c r="U611" s="151">
        <v>11085829.6</v>
      </c>
      <c r="V611" s="149">
        <v>103</v>
      </c>
      <c r="Z611" s="1">
        <v>44251</v>
      </c>
      <c r="AA611">
        <v>67.010000000000005</v>
      </c>
      <c r="AB611">
        <v>45409</v>
      </c>
      <c r="AC611">
        <v>83012</v>
      </c>
      <c r="AF611" s="1">
        <v>44251</v>
      </c>
      <c r="AG611">
        <v>75.61</v>
      </c>
      <c r="AJ611" s="156">
        <f t="shared" si="9"/>
        <v>0.11374156857558516</v>
      </c>
    </row>
    <row r="612" spans="1:36" x14ac:dyDescent="0.3">
      <c r="A612" s="152">
        <v>44376</v>
      </c>
      <c r="B612" s="153">
        <v>90.2</v>
      </c>
      <c r="C612" s="153">
        <v>90.3</v>
      </c>
      <c r="D612" s="153">
        <v>88.9</v>
      </c>
      <c r="E612" s="153">
        <v>89.8</v>
      </c>
      <c r="F612" s="154">
        <v>136425</v>
      </c>
      <c r="G612" s="155">
        <v>12248259.6</v>
      </c>
      <c r="H612" s="153">
        <v>113</v>
      </c>
      <c r="I612" s="155"/>
      <c r="J612" s="155"/>
      <c r="K612" s="155"/>
      <c r="L612" s="155"/>
      <c r="M612" s="155"/>
      <c r="N612" s="155"/>
      <c r="O612" s="148">
        <v>44376</v>
      </c>
      <c r="P612" s="149">
        <v>78.5</v>
      </c>
      <c r="Q612" s="149">
        <v>79</v>
      </c>
      <c r="R612" s="149">
        <v>78.5</v>
      </c>
      <c r="S612" s="149">
        <v>78.5</v>
      </c>
      <c r="T612" s="150">
        <v>74945</v>
      </c>
      <c r="U612" s="151">
        <v>5883274.2000000002</v>
      </c>
      <c r="V612" s="149">
        <v>50</v>
      </c>
      <c r="Z612" s="1">
        <v>44250</v>
      </c>
      <c r="AA612">
        <v>66.22</v>
      </c>
      <c r="AB612">
        <v>67069</v>
      </c>
      <c r="AC612">
        <v>93239</v>
      </c>
      <c r="AF612" s="1">
        <v>44250</v>
      </c>
      <c r="AG612">
        <v>76.5</v>
      </c>
      <c r="AJ612" s="156">
        <f t="shared" si="9"/>
        <v>0.13437908496732029</v>
      </c>
    </row>
    <row r="613" spans="1:36" x14ac:dyDescent="0.3">
      <c r="A613" s="152">
        <v>44375</v>
      </c>
      <c r="B613" s="153">
        <v>90</v>
      </c>
      <c r="C613" s="153">
        <v>90.3</v>
      </c>
      <c r="D613" s="153">
        <v>89</v>
      </c>
      <c r="E613" s="153">
        <v>90.1</v>
      </c>
      <c r="F613" s="154">
        <v>4206334</v>
      </c>
      <c r="G613" s="155">
        <v>378464873.30000001</v>
      </c>
      <c r="H613" s="153">
        <v>144</v>
      </c>
      <c r="I613" s="155"/>
      <c r="J613" s="155"/>
      <c r="K613" s="155"/>
      <c r="L613" s="155"/>
      <c r="M613" s="155"/>
      <c r="N613" s="155"/>
      <c r="O613" s="148">
        <v>44375</v>
      </c>
      <c r="P613" s="149">
        <v>78.400000000000006</v>
      </c>
      <c r="Q613" s="149">
        <v>79.099999999999994</v>
      </c>
      <c r="R613" s="149">
        <v>78.2</v>
      </c>
      <c r="S613" s="149">
        <v>78.900000000000006</v>
      </c>
      <c r="T613" s="150">
        <v>31151</v>
      </c>
      <c r="U613" s="151">
        <v>2458018.2999999998</v>
      </c>
      <c r="V613" s="149">
        <v>33</v>
      </c>
      <c r="Z613" s="1">
        <v>44249</v>
      </c>
      <c r="AA613">
        <v>68.849999999999994</v>
      </c>
      <c r="AB613">
        <v>77517</v>
      </c>
      <c r="AC613">
        <v>93553</v>
      </c>
      <c r="AF613" s="1">
        <v>44249</v>
      </c>
      <c r="AG613">
        <v>79.17</v>
      </c>
      <c r="AJ613" s="156">
        <f t="shared" si="9"/>
        <v>0.13035240621447527</v>
      </c>
    </row>
    <row r="614" spans="1:36" x14ac:dyDescent="0.3">
      <c r="A614" s="152">
        <v>44372</v>
      </c>
      <c r="B614" s="153">
        <v>88</v>
      </c>
      <c r="C614" s="153">
        <v>90</v>
      </c>
      <c r="D614" s="153">
        <v>88</v>
      </c>
      <c r="E614" s="153">
        <v>89.9</v>
      </c>
      <c r="F614" s="154">
        <v>611052</v>
      </c>
      <c r="G614" s="155">
        <v>54546953.299999997</v>
      </c>
      <c r="H614" s="153">
        <v>98</v>
      </c>
      <c r="I614" s="155"/>
      <c r="J614" s="155"/>
      <c r="K614" s="155"/>
      <c r="L614" s="155"/>
      <c r="M614" s="155"/>
      <c r="N614" s="155"/>
      <c r="O614" s="148">
        <v>44372</v>
      </c>
      <c r="P614" s="149">
        <v>77.900000000000006</v>
      </c>
      <c r="Q614" s="149">
        <v>79</v>
      </c>
      <c r="R614" s="149">
        <v>77.7</v>
      </c>
      <c r="S614" s="149">
        <v>78.099999999999994</v>
      </c>
      <c r="T614" s="150">
        <v>222621</v>
      </c>
      <c r="U614" s="151">
        <v>17555611.100000001</v>
      </c>
      <c r="V614" s="149">
        <v>59</v>
      </c>
      <c r="Z614" s="1">
        <v>44246</v>
      </c>
      <c r="AA614">
        <v>68.06</v>
      </c>
      <c r="AB614">
        <v>39874</v>
      </c>
      <c r="AC614">
        <v>112260</v>
      </c>
      <c r="AF614" s="1">
        <v>44246</v>
      </c>
      <c r="AG614">
        <v>80.06</v>
      </c>
      <c r="AJ614" s="156">
        <f t="shared" si="9"/>
        <v>0.14988758431176616</v>
      </c>
    </row>
    <row r="615" spans="1:36" x14ac:dyDescent="0.3">
      <c r="A615" s="152">
        <v>44370</v>
      </c>
      <c r="B615" s="153">
        <v>88.1</v>
      </c>
      <c r="C615" s="153">
        <v>90</v>
      </c>
      <c r="D615" s="153">
        <v>87.5</v>
      </c>
      <c r="E615" s="153">
        <v>89.9</v>
      </c>
      <c r="F615" s="154">
        <v>1389619</v>
      </c>
      <c r="G615" s="155">
        <v>124819938.8</v>
      </c>
      <c r="H615" s="153">
        <v>146</v>
      </c>
      <c r="I615" s="155"/>
      <c r="J615" s="155"/>
      <c r="K615" s="155"/>
      <c r="L615" s="155"/>
      <c r="M615" s="155"/>
      <c r="N615" s="155"/>
      <c r="O615" s="148">
        <v>44370</v>
      </c>
      <c r="P615" s="149">
        <v>78.099999999999994</v>
      </c>
      <c r="Q615" s="149">
        <v>78.099999999999994</v>
      </c>
      <c r="R615" s="149">
        <v>77.7</v>
      </c>
      <c r="S615" s="149">
        <v>77.900000000000006</v>
      </c>
      <c r="T615" s="150">
        <v>3744</v>
      </c>
      <c r="U615" s="151">
        <v>291810.2</v>
      </c>
      <c r="V615" s="149">
        <v>38</v>
      </c>
      <c r="Z615" s="1">
        <v>44245</v>
      </c>
      <c r="AA615">
        <v>67.36</v>
      </c>
      <c r="AB615">
        <v>185877</v>
      </c>
      <c r="AC615">
        <v>127913</v>
      </c>
      <c r="AF615" s="1">
        <v>44245</v>
      </c>
      <c r="AG615">
        <v>78.459999999999994</v>
      </c>
      <c r="AJ615" s="156">
        <f t="shared" si="9"/>
        <v>0.14147336222278861</v>
      </c>
    </row>
    <row r="616" spans="1:36" x14ac:dyDescent="0.3">
      <c r="A616" s="152">
        <v>44369</v>
      </c>
      <c r="B616" s="153">
        <v>89.5</v>
      </c>
      <c r="C616" s="153">
        <v>89.5</v>
      </c>
      <c r="D616" s="153">
        <v>87.5</v>
      </c>
      <c r="E616" s="153">
        <v>88.2</v>
      </c>
      <c r="F616" s="154">
        <v>458573</v>
      </c>
      <c r="G616" s="155">
        <v>40428187.799999997</v>
      </c>
      <c r="H616" s="153">
        <v>216</v>
      </c>
      <c r="I616" s="155"/>
      <c r="J616" s="155"/>
      <c r="K616" s="155"/>
      <c r="L616" s="155"/>
      <c r="M616" s="155"/>
      <c r="N616" s="155"/>
      <c r="O616" s="148">
        <v>44369</v>
      </c>
      <c r="P616" s="149">
        <v>79</v>
      </c>
      <c r="Q616" s="149">
        <v>79</v>
      </c>
      <c r="R616" s="149">
        <v>78</v>
      </c>
      <c r="S616" s="149">
        <v>78</v>
      </c>
      <c r="T616" s="150">
        <v>97250</v>
      </c>
      <c r="U616" s="151">
        <v>7591767.5999999996</v>
      </c>
      <c r="V616" s="149">
        <v>81</v>
      </c>
      <c r="Z616" s="1">
        <v>44244</v>
      </c>
      <c r="AA616">
        <v>66.84</v>
      </c>
      <c r="AB616">
        <v>59808</v>
      </c>
      <c r="AC616">
        <v>122820</v>
      </c>
      <c r="AF616" s="1">
        <v>44244</v>
      </c>
      <c r="AG616">
        <v>78.459999999999994</v>
      </c>
      <c r="AJ616" s="156">
        <f t="shared" si="9"/>
        <v>0.14810094315574804</v>
      </c>
    </row>
    <row r="617" spans="1:36" x14ac:dyDescent="0.3">
      <c r="A617" s="152">
        <v>44368</v>
      </c>
      <c r="B617" s="153">
        <v>90</v>
      </c>
      <c r="C617" s="153">
        <v>90</v>
      </c>
      <c r="D617" s="153">
        <v>89.2</v>
      </c>
      <c r="E617" s="153">
        <v>89.6</v>
      </c>
      <c r="F617" s="154">
        <v>139407</v>
      </c>
      <c r="G617" s="155">
        <v>12526925.9</v>
      </c>
      <c r="H617" s="153">
        <v>103</v>
      </c>
      <c r="I617" s="155"/>
      <c r="J617" s="155"/>
      <c r="K617" s="155"/>
      <c r="L617" s="155"/>
      <c r="M617" s="155"/>
      <c r="N617" s="155"/>
      <c r="O617" s="148">
        <v>44368</v>
      </c>
      <c r="P617" s="149">
        <v>78.8</v>
      </c>
      <c r="Q617" s="149">
        <v>79.5</v>
      </c>
      <c r="R617" s="149">
        <v>78.7</v>
      </c>
      <c r="S617" s="149">
        <v>78.8</v>
      </c>
      <c r="T617" s="150">
        <v>124379</v>
      </c>
      <c r="U617" s="151">
        <v>9831957.6999999993</v>
      </c>
      <c r="V617" s="149">
        <v>47</v>
      </c>
      <c r="Z617" s="1">
        <v>44243</v>
      </c>
      <c r="AA617">
        <v>67.27</v>
      </c>
      <c r="AB617">
        <v>50605</v>
      </c>
      <c r="AC617">
        <v>136865</v>
      </c>
      <c r="AF617" s="1">
        <v>44243</v>
      </c>
      <c r="AG617">
        <v>78.010000000000005</v>
      </c>
      <c r="AJ617" s="156">
        <f t="shared" si="9"/>
        <v>0.13767465709524432</v>
      </c>
    </row>
    <row r="618" spans="1:36" x14ac:dyDescent="0.3">
      <c r="A618" s="152">
        <v>44365</v>
      </c>
      <c r="B618" s="153">
        <v>89.5</v>
      </c>
      <c r="C618" s="153">
        <v>90.5</v>
      </c>
      <c r="D618" s="153">
        <v>89.5</v>
      </c>
      <c r="E618" s="153">
        <v>90.1</v>
      </c>
      <c r="F618" s="154">
        <v>104986</v>
      </c>
      <c r="G618" s="155">
        <v>9438874.9000000004</v>
      </c>
      <c r="H618" s="153">
        <v>117</v>
      </c>
      <c r="I618" s="155"/>
      <c r="J618" s="155"/>
      <c r="K618" s="155"/>
      <c r="L618" s="155"/>
      <c r="M618" s="155"/>
      <c r="N618" s="155"/>
      <c r="O618" s="148">
        <v>44365</v>
      </c>
      <c r="P618" s="149">
        <v>79.2</v>
      </c>
      <c r="Q618" s="149">
        <v>79.3</v>
      </c>
      <c r="R618" s="149">
        <v>78.7</v>
      </c>
      <c r="S618" s="149">
        <v>78.900000000000006</v>
      </c>
      <c r="T618" s="150">
        <v>34560</v>
      </c>
      <c r="U618" s="151">
        <v>2726179.2</v>
      </c>
      <c r="V618" s="149">
        <v>67</v>
      </c>
      <c r="Z618" s="1">
        <v>44242</v>
      </c>
      <c r="AA618">
        <v>69.38</v>
      </c>
      <c r="AB618">
        <v>103264</v>
      </c>
      <c r="AC618">
        <v>140291</v>
      </c>
      <c r="AF618" s="1">
        <v>44242</v>
      </c>
      <c r="AG618">
        <v>80.33</v>
      </c>
      <c r="AJ618" s="156">
        <f t="shared" si="9"/>
        <v>0.13631271007095733</v>
      </c>
    </row>
    <row r="619" spans="1:36" x14ac:dyDescent="0.3">
      <c r="A619" s="152">
        <v>44364</v>
      </c>
      <c r="B619" s="153">
        <v>90.8</v>
      </c>
      <c r="C619" s="153">
        <v>90.8</v>
      </c>
      <c r="D619" s="153">
        <v>89.9</v>
      </c>
      <c r="E619" s="153">
        <v>90</v>
      </c>
      <c r="F619" s="154">
        <v>108651</v>
      </c>
      <c r="G619" s="155">
        <v>9778839.9000000004</v>
      </c>
      <c r="H619" s="153">
        <v>107</v>
      </c>
      <c r="I619" s="155"/>
      <c r="J619" s="155"/>
      <c r="K619" s="155"/>
      <c r="L619" s="155"/>
      <c r="M619" s="155"/>
      <c r="N619" s="155"/>
      <c r="O619" s="148">
        <v>44364</v>
      </c>
      <c r="P619" s="149">
        <v>79.599999999999994</v>
      </c>
      <c r="Q619" s="149">
        <v>80</v>
      </c>
      <c r="R619" s="149">
        <v>79.2</v>
      </c>
      <c r="S619" s="149">
        <v>79.7</v>
      </c>
      <c r="T619" s="150">
        <v>266736</v>
      </c>
      <c r="U619" s="151">
        <v>21287119.600000001</v>
      </c>
      <c r="V619" s="149">
        <v>65</v>
      </c>
      <c r="Z619" s="1">
        <v>44239</v>
      </c>
      <c r="AA619">
        <v>69.73</v>
      </c>
      <c r="AB619">
        <v>20477</v>
      </c>
      <c r="AC619">
        <v>145206</v>
      </c>
      <c r="AF619" s="1">
        <v>44239</v>
      </c>
      <c r="AG619">
        <v>78.37</v>
      </c>
      <c r="AJ619" s="156">
        <f t="shared" si="9"/>
        <v>0.11024626770447876</v>
      </c>
    </row>
    <row r="620" spans="1:36" x14ac:dyDescent="0.3">
      <c r="A620" s="152">
        <v>44363</v>
      </c>
      <c r="B620" s="153">
        <v>90</v>
      </c>
      <c r="C620" s="153">
        <v>91</v>
      </c>
      <c r="D620" s="153">
        <v>89.1</v>
      </c>
      <c r="E620" s="153">
        <v>90</v>
      </c>
      <c r="F620" s="154">
        <v>169256</v>
      </c>
      <c r="G620" s="155">
        <v>15260753.199999999</v>
      </c>
      <c r="H620" s="153">
        <v>138</v>
      </c>
      <c r="I620" s="155"/>
      <c r="J620" s="155"/>
      <c r="K620" s="155"/>
      <c r="L620" s="155"/>
      <c r="M620" s="155"/>
      <c r="N620" s="155"/>
      <c r="O620" s="148">
        <v>44363</v>
      </c>
      <c r="P620" s="149">
        <v>77</v>
      </c>
      <c r="Q620" s="149">
        <v>80</v>
      </c>
      <c r="R620" s="149">
        <v>77</v>
      </c>
      <c r="S620" s="149">
        <v>79.599999999999994</v>
      </c>
      <c r="T620" s="150">
        <v>62425</v>
      </c>
      <c r="U620" s="151">
        <v>4893415.8</v>
      </c>
      <c r="V620" s="149">
        <v>57</v>
      </c>
      <c r="Z620" s="1">
        <v>44238</v>
      </c>
      <c r="AA620">
        <v>67.27</v>
      </c>
      <c r="AB620">
        <v>121118</v>
      </c>
      <c r="AC620">
        <v>168499</v>
      </c>
      <c r="AF620" s="1">
        <v>44238</v>
      </c>
      <c r="AG620">
        <v>76.319999999999993</v>
      </c>
      <c r="AJ620" s="156">
        <f t="shared" si="9"/>
        <v>0.11857966457023059</v>
      </c>
    </row>
    <row r="621" spans="1:36" x14ac:dyDescent="0.3">
      <c r="A621" s="152">
        <v>44362</v>
      </c>
      <c r="B621" s="153">
        <v>90.8</v>
      </c>
      <c r="C621" s="153">
        <v>90.8</v>
      </c>
      <c r="D621" s="153">
        <v>89.5</v>
      </c>
      <c r="E621" s="153">
        <v>90</v>
      </c>
      <c r="F621" s="154">
        <v>92579</v>
      </c>
      <c r="G621" s="155">
        <v>8334407.9000000004</v>
      </c>
      <c r="H621" s="153">
        <v>123</v>
      </c>
      <c r="I621" s="155"/>
      <c r="J621" s="155"/>
      <c r="K621" s="155"/>
      <c r="L621" s="155"/>
      <c r="M621" s="155"/>
      <c r="N621" s="155"/>
      <c r="O621" s="148">
        <v>44362</v>
      </c>
      <c r="P621" s="149">
        <v>78.2</v>
      </c>
      <c r="Q621" s="149">
        <v>78.5</v>
      </c>
      <c r="R621" s="149">
        <v>76.599999999999994</v>
      </c>
      <c r="S621" s="149">
        <v>77.5</v>
      </c>
      <c r="T621" s="150">
        <v>84241</v>
      </c>
      <c r="U621" s="151">
        <v>6493534.7000000002</v>
      </c>
      <c r="V621" s="149">
        <v>68</v>
      </c>
      <c r="Z621" s="1">
        <v>44237</v>
      </c>
      <c r="AA621">
        <v>68.94</v>
      </c>
      <c r="AB621">
        <v>30464</v>
      </c>
      <c r="AC621">
        <v>207119</v>
      </c>
      <c r="AF621" s="1">
        <v>44237</v>
      </c>
      <c r="AG621">
        <v>77.84</v>
      </c>
      <c r="AJ621" s="156">
        <f t="shared" si="9"/>
        <v>0.11433710174717376</v>
      </c>
    </row>
    <row r="622" spans="1:36" x14ac:dyDescent="0.3">
      <c r="A622" s="152">
        <v>44361</v>
      </c>
      <c r="B622" s="153">
        <v>91</v>
      </c>
      <c r="C622" s="153">
        <v>91.4</v>
      </c>
      <c r="D622" s="153">
        <v>89.9</v>
      </c>
      <c r="E622" s="153">
        <v>90.6</v>
      </c>
      <c r="F622" s="154">
        <v>159177</v>
      </c>
      <c r="G622" s="155">
        <v>14367041.699999999</v>
      </c>
      <c r="H622" s="153">
        <v>160</v>
      </c>
      <c r="I622" s="155"/>
      <c r="J622" s="155"/>
      <c r="K622" s="155"/>
      <c r="L622" s="155"/>
      <c r="M622" s="155"/>
      <c r="N622" s="155"/>
      <c r="O622" s="148">
        <v>44361</v>
      </c>
      <c r="P622" s="149">
        <v>78.2</v>
      </c>
      <c r="Q622" s="149">
        <v>78.2</v>
      </c>
      <c r="R622" s="149">
        <v>77.400000000000006</v>
      </c>
      <c r="S622" s="149">
        <v>78</v>
      </c>
      <c r="T622" s="150">
        <v>63732</v>
      </c>
      <c r="U622" s="151">
        <v>4965511.0999999996</v>
      </c>
      <c r="V622" s="149">
        <v>82</v>
      </c>
      <c r="Z622" s="1">
        <v>44236</v>
      </c>
      <c r="AA622">
        <v>70.16</v>
      </c>
      <c r="AB622">
        <v>112026</v>
      </c>
      <c r="AC622">
        <v>231387</v>
      </c>
      <c r="AF622" s="1">
        <v>44236</v>
      </c>
      <c r="AG622">
        <v>78.099999999999994</v>
      </c>
      <c r="AJ622" s="156">
        <f t="shared" si="9"/>
        <v>0.10166453265044813</v>
      </c>
    </row>
    <row r="623" spans="1:36" x14ac:dyDescent="0.3">
      <c r="A623" s="152">
        <v>44358</v>
      </c>
      <c r="B623" s="153">
        <v>91.3</v>
      </c>
      <c r="C623" s="153">
        <v>92</v>
      </c>
      <c r="D623" s="153">
        <v>90.3</v>
      </c>
      <c r="E623" s="153">
        <v>91.5</v>
      </c>
      <c r="F623" s="154">
        <v>390901</v>
      </c>
      <c r="G623" s="155">
        <v>35782526.200000003</v>
      </c>
      <c r="H623" s="153">
        <v>190</v>
      </c>
      <c r="I623" s="155"/>
      <c r="J623" s="155"/>
      <c r="K623" s="155"/>
      <c r="L623" s="155"/>
      <c r="M623" s="155"/>
      <c r="N623" s="155"/>
      <c r="O623" s="148">
        <v>44358</v>
      </c>
      <c r="P623" s="149">
        <v>78.5</v>
      </c>
      <c r="Q623" s="149">
        <v>78.5</v>
      </c>
      <c r="R623" s="149">
        <v>77.900000000000006</v>
      </c>
      <c r="S623" s="149">
        <v>78.099999999999994</v>
      </c>
      <c r="T623" s="150">
        <v>11751</v>
      </c>
      <c r="U623" s="151">
        <v>917137.1</v>
      </c>
      <c r="V623" s="149">
        <v>24</v>
      </c>
      <c r="Z623" s="1">
        <v>44235</v>
      </c>
      <c r="AA623">
        <v>71.39</v>
      </c>
      <c r="AB623">
        <v>40339</v>
      </c>
      <c r="AC623">
        <v>235400</v>
      </c>
      <c r="AF623" s="1">
        <v>44235</v>
      </c>
      <c r="AG623">
        <v>80.06</v>
      </c>
      <c r="AJ623" s="156">
        <f t="shared" si="9"/>
        <v>0.10829377966525108</v>
      </c>
    </row>
    <row r="624" spans="1:36" x14ac:dyDescent="0.3">
      <c r="A624" s="152">
        <v>44357</v>
      </c>
      <c r="B624" s="153">
        <v>90.9</v>
      </c>
      <c r="C624" s="153">
        <v>91.9</v>
      </c>
      <c r="D624" s="153">
        <v>90</v>
      </c>
      <c r="E624" s="153">
        <v>91.1</v>
      </c>
      <c r="F624" s="154">
        <v>445455</v>
      </c>
      <c r="G624" s="155">
        <v>40611135</v>
      </c>
      <c r="H624" s="153">
        <v>221</v>
      </c>
      <c r="I624" s="155"/>
      <c r="J624" s="155"/>
      <c r="K624" s="155"/>
      <c r="L624" s="155"/>
      <c r="M624" s="155"/>
      <c r="N624" s="155"/>
      <c r="O624" s="148">
        <v>44357</v>
      </c>
      <c r="P624" s="149">
        <v>77.599999999999994</v>
      </c>
      <c r="Q624" s="149">
        <v>78.5</v>
      </c>
      <c r="R624" s="149">
        <v>77.2</v>
      </c>
      <c r="S624" s="149">
        <v>78.2</v>
      </c>
      <c r="T624" s="150">
        <v>90634</v>
      </c>
      <c r="U624" s="151">
        <v>7038156.9000000004</v>
      </c>
      <c r="V624" s="149">
        <v>88</v>
      </c>
      <c r="Z624" s="1">
        <v>44232</v>
      </c>
      <c r="AA624">
        <v>71.569999999999993</v>
      </c>
      <c r="AB624">
        <v>131986</v>
      </c>
      <c r="AC624">
        <v>237766</v>
      </c>
      <c r="AF624" s="1">
        <v>44232</v>
      </c>
      <c r="AG624">
        <v>82.46</v>
      </c>
      <c r="AJ624" s="156">
        <f t="shared" si="9"/>
        <v>0.13206403104535533</v>
      </c>
    </row>
    <row r="625" spans="1:36" x14ac:dyDescent="0.3">
      <c r="A625" s="152">
        <v>44356</v>
      </c>
      <c r="B625" s="153">
        <v>90</v>
      </c>
      <c r="C625" s="153">
        <v>91</v>
      </c>
      <c r="D625" s="153">
        <v>89.8</v>
      </c>
      <c r="E625" s="153">
        <v>90.7</v>
      </c>
      <c r="F625" s="154">
        <v>93329</v>
      </c>
      <c r="G625" s="155">
        <v>8427799.1999999993</v>
      </c>
      <c r="H625" s="153">
        <v>122</v>
      </c>
      <c r="I625" s="155"/>
      <c r="J625" s="155"/>
      <c r="K625" s="155"/>
      <c r="L625" s="155"/>
      <c r="M625" s="155"/>
      <c r="N625" s="155"/>
      <c r="O625" s="148">
        <v>44356</v>
      </c>
      <c r="P625" s="149">
        <v>78</v>
      </c>
      <c r="Q625" s="149">
        <v>78</v>
      </c>
      <c r="R625" s="149">
        <v>77.599999999999994</v>
      </c>
      <c r="S625" s="149">
        <v>77.8</v>
      </c>
      <c r="T625" s="150">
        <v>6757</v>
      </c>
      <c r="U625" s="151">
        <v>526635.19999999995</v>
      </c>
      <c r="V625" s="149">
        <v>19</v>
      </c>
      <c r="Z625" s="1">
        <v>44230</v>
      </c>
      <c r="AA625">
        <v>71.650000000000006</v>
      </c>
      <c r="AB625">
        <v>159353</v>
      </c>
      <c r="AC625">
        <v>236190</v>
      </c>
      <c r="AF625" s="1">
        <v>44230</v>
      </c>
      <c r="AG625">
        <v>82.73</v>
      </c>
      <c r="AJ625" s="156">
        <f t="shared" si="9"/>
        <v>0.13392965067085696</v>
      </c>
    </row>
    <row r="626" spans="1:36" x14ac:dyDescent="0.3">
      <c r="A626" s="152">
        <v>44355</v>
      </c>
      <c r="B626" s="153">
        <v>91.5</v>
      </c>
      <c r="C626" s="153">
        <v>92</v>
      </c>
      <c r="D626" s="153">
        <v>89.1</v>
      </c>
      <c r="E626" s="153">
        <v>90</v>
      </c>
      <c r="F626" s="154">
        <v>274926</v>
      </c>
      <c r="G626" s="155">
        <v>24767971.100000001</v>
      </c>
      <c r="H626" s="153">
        <v>202</v>
      </c>
      <c r="I626" s="155"/>
      <c r="J626" s="155"/>
      <c r="K626" s="155"/>
      <c r="L626" s="155"/>
      <c r="M626" s="155"/>
      <c r="N626" s="155"/>
      <c r="O626" s="148">
        <v>44355</v>
      </c>
      <c r="P626" s="149">
        <v>78.5</v>
      </c>
      <c r="Q626" s="149">
        <v>78.5</v>
      </c>
      <c r="R626" s="149">
        <v>77.5</v>
      </c>
      <c r="S626" s="149">
        <v>77.7</v>
      </c>
      <c r="T626" s="150">
        <v>10137</v>
      </c>
      <c r="U626" s="151">
        <v>792327.5</v>
      </c>
      <c r="V626" s="149">
        <v>64</v>
      </c>
      <c r="Z626" s="1">
        <v>44229</v>
      </c>
      <c r="AA626">
        <v>69.2</v>
      </c>
      <c r="AB626">
        <v>198806</v>
      </c>
      <c r="AC626">
        <v>227086</v>
      </c>
      <c r="AF626" s="1">
        <v>44229</v>
      </c>
      <c r="AG626">
        <v>79.97</v>
      </c>
      <c r="AJ626" s="156">
        <f t="shared" si="9"/>
        <v>0.13467550331374262</v>
      </c>
    </row>
    <row r="627" spans="1:36" x14ac:dyDescent="0.3">
      <c r="A627" s="152">
        <v>44354</v>
      </c>
      <c r="B627" s="153">
        <v>91.6</v>
      </c>
      <c r="C627" s="153">
        <v>92.3</v>
      </c>
      <c r="D627" s="153">
        <v>91</v>
      </c>
      <c r="E627" s="153">
        <v>91.5</v>
      </c>
      <c r="F627" s="154">
        <v>484593</v>
      </c>
      <c r="G627" s="155">
        <v>44506717.299999997</v>
      </c>
      <c r="H627" s="153">
        <v>241</v>
      </c>
      <c r="I627" s="155"/>
      <c r="J627" s="155"/>
      <c r="K627" s="155"/>
      <c r="L627" s="155"/>
      <c r="M627" s="155"/>
      <c r="N627" s="155"/>
      <c r="O627" s="148">
        <v>44354</v>
      </c>
      <c r="P627" s="149">
        <v>78.900000000000006</v>
      </c>
      <c r="Q627" s="149">
        <v>78.900000000000006</v>
      </c>
      <c r="R627" s="149">
        <v>78.400000000000006</v>
      </c>
      <c r="S627" s="149">
        <v>78.5</v>
      </c>
      <c r="T627" s="150">
        <v>55251</v>
      </c>
      <c r="U627" s="151">
        <v>4340413.4000000004</v>
      </c>
      <c r="V627" s="149">
        <v>46</v>
      </c>
      <c r="Z627" s="1">
        <v>44228</v>
      </c>
      <c r="AA627">
        <v>75.42</v>
      </c>
      <c r="AB627">
        <v>71777</v>
      </c>
      <c r="AC627">
        <v>217543</v>
      </c>
      <c r="AF627" s="1">
        <v>44228</v>
      </c>
      <c r="AG627">
        <v>85.66</v>
      </c>
      <c r="AJ627" s="156">
        <f t="shared" si="9"/>
        <v>0.11954237683866444</v>
      </c>
    </row>
    <row r="628" spans="1:36" x14ac:dyDescent="0.3">
      <c r="A628" s="152">
        <v>44351</v>
      </c>
      <c r="B628" s="153">
        <v>90.7</v>
      </c>
      <c r="C628" s="153">
        <v>92</v>
      </c>
      <c r="D628" s="153">
        <v>90.1</v>
      </c>
      <c r="E628" s="153">
        <v>91.7</v>
      </c>
      <c r="F628" s="154">
        <v>895526</v>
      </c>
      <c r="G628" s="155">
        <v>81747281.099999994</v>
      </c>
      <c r="H628" s="153">
        <v>502</v>
      </c>
      <c r="I628" s="155"/>
      <c r="J628" s="155"/>
      <c r="K628" s="155"/>
      <c r="L628" s="155"/>
      <c r="M628" s="155"/>
      <c r="N628" s="155"/>
      <c r="O628" s="148">
        <v>44351</v>
      </c>
      <c r="P628" s="149">
        <v>76.900000000000006</v>
      </c>
      <c r="Q628" s="149">
        <v>78.5</v>
      </c>
      <c r="R628" s="149">
        <v>76.900000000000006</v>
      </c>
      <c r="S628" s="149">
        <v>78.2</v>
      </c>
      <c r="T628" s="150">
        <v>15947</v>
      </c>
      <c r="U628" s="151">
        <v>1243522.5</v>
      </c>
      <c r="V628" s="149">
        <v>78</v>
      </c>
      <c r="Z628" s="1">
        <v>44225</v>
      </c>
      <c r="AA628">
        <v>75.599999999999994</v>
      </c>
      <c r="AB628">
        <v>358120</v>
      </c>
      <c r="AC628">
        <v>219500</v>
      </c>
      <c r="AF628" s="1">
        <v>44225</v>
      </c>
      <c r="AG628">
        <v>88.69</v>
      </c>
      <c r="AJ628" s="156">
        <f t="shared" si="9"/>
        <v>0.14759273875295978</v>
      </c>
    </row>
    <row r="629" spans="1:36" x14ac:dyDescent="0.3">
      <c r="A629" s="152">
        <v>44350</v>
      </c>
      <c r="B629" s="153">
        <v>88.8</v>
      </c>
      <c r="C629" s="153">
        <v>91</v>
      </c>
      <c r="D629" s="153">
        <v>88.4</v>
      </c>
      <c r="E629" s="153">
        <v>90.1</v>
      </c>
      <c r="F629" s="154">
        <v>2884062</v>
      </c>
      <c r="G629" s="155">
        <v>259524928.40000001</v>
      </c>
      <c r="H629" s="153">
        <v>358</v>
      </c>
      <c r="I629" s="155"/>
      <c r="J629" s="155"/>
      <c r="K629" s="155"/>
      <c r="L629" s="155"/>
      <c r="M629" s="155"/>
      <c r="N629" s="155"/>
      <c r="O629" s="148">
        <v>44350</v>
      </c>
      <c r="P629" s="149">
        <v>76.599999999999994</v>
      </c>
      <c r="Q629" s="149">
        <v>77.3</v>
      </c>
      <c r="R629" s="149">
        <v>76.400000000000006</v>
      </c>
      <c r="S629" s="149">
        <v>77</v>
      </c>
      <c r="T629" s="150">
        <v>281471</v>
      </c>
      <c r="U629" s="151">
        <v>21539665.600000001</v>
      </c>
      <c r="V629" s="149">
        <v>76</v>
      </c>
      <c r="Z629" s="1">
        <v>44223</v>
      </c>
      <c r="AA629">
        <v>75.77</v>
      </c>
      <c r="AB629">
        <v>274670</v>
      </c>
      <c r="AC629">
        <v>203247</v>
      </c>
      <c r="AF629" s="1">
        <v>44223</v>
      </c>
      <c r="AG629">
        <v>88.78</v>
      </c>
      <c r="AJ629" s="156">
        <f t="shared" si="9"/>
        <v>0.14654201396710975</v>
      </c>
    </row>
    <row r="630" spans="1:36" x14ac:dyDescent="0.3">
      <c r="A630" s="152">
        <v>44349</v>
      </c>
      <c r="B630" s="153">
        <v>90</v>
      </c>
      <c r="C630" s="153">
        <v>90</v>
      </c>
      <c r="D630" s="153">
        <v>88</v>
      </c>
      <c r="E630" s="153">
        <v>88.8</v>
      </c>
      <c r="F630" s="154">
        <v>1618479</v>
      </c>
      <c r="G630" s="155">
        <v>145467188.5</v>
      </c>
      <c r="H630" s="153">
        <v>208</v>
      </c>
      <c r="I630" s="155"/>
      <c r="J630" s="155"/>
      <c r="K630" s="155"/>
      <c r="L630" s="155"/>
      <c r="M630" s="155"/>
      <c r="N630" s="155"/>
      <c r="O630" s="148">
        <v>44349</v>
      </c>
      <c r="P630" s="149">
        <v>76.900000000000006</v>
      </c>
      <c r="Q630" s="149">
        <v>77</v>
      </c>
      <c r="R630" s="149">
        <v>76.2</v>
      </c>
      <c r="S630" s="149">
        <v>76.400000000000006</v>
      </c>
      <c r="T630" s="150">
        <v>257829</v>
      </c>
      <c r="U630" s="151">
        <v>19715212.399999999</v>
      </c>
      <c r="V630" s="149">
        <v>74</v>
      </c>
      <c r="Z630" s="1">
        <v>44222</v>
      </c>
      <c r="AA630">
        <v>78.14</v>
      </c>
      <c r="AB630">
        <v>109489</v>
      </c>
      <c r="AC630">
        <v>194235</v>
      </c>
      <c r="AF630" s="1">
        <v>44222</v>
      </c>
      <c r="AG630">
        <v>89.4</v>
      </c>
      <c r="AJ630" s="156">
        <f t="shared" si="9"/>
        <v>0.12595078299776291</v>
      </c>
    </row>
    <row r="631" spans="1:36" x14ac:dyDescent="0.3">
      <c r="A631" s="152">
        <v>44348</v>
      </c>
      <c r="B631" s="153">
        <v>87</v>
      </c>
      <c r="C631" s="153">
        <v>89.9</v>
      </c>
      <c r="D631" s="153">
        <v>87</v>
      </c>
      <c r="E631" s="153">
        <v>89.4</v>
      </c>
      <c r="F631" s="154">
        <v>1101824</v>
      </c>
      <c r="G631" s="155">
        <v>97772632.799999997</v>
      </c>
      <c r="H631" s="153">
        <v>625</v>
      </c>
      <c r="I631" s="155"/>
      <c r="J631" s="155"/>
      <c r="K631" s="155"/>
      <c r="L631" s="155"/>
      <c r="M631" s="155"/>
      <c r="N631" s="155"/>
      <c r="O631" s="148">
        <v>44348</v>
      </c>
      <c r="P631" s="149">
        <v>75.900000000000006</v>
      </c>
      <c r="Q631" s="149">
        <v>77</v>
      </c>
      <c r="R631" s="149">
        <v>75.8</v>
      </c>
      <c r="S631" s="149">
        <v>76.900000000000006</v>
      </c>
      <c r="T631" s="150">
        <v>39465</v>
      </c>
      <c r="U631" s="151">
        <v>3018961.3</v>
      </c>
      <c r="V631" s="149">
        <v>78</v>
      </c>
      <c r="Z631" s="1">
        <v>44221</v>
      </c>
      <c r="AA631">
        <v>78.75</v>
      </c>
      <c r="AB631">
        <v>270482</v>
      </c>
      <c r="AC631">
        <v>210315</v>
      </c>
      <c r="AF631" s="1">
        <v>44221</v>
      </c>
      <c r="AG631">
        <v>89.62</v>
      </c>
      <c r="AJ631" s="156">
        <f t="shared" si="9"/>
        <v>0.12128989064940866</v>
      </c>
    </row>
    <row r="632" spans="1:36" x14ac:dyDescent="0.3">
      <c r="A632" s="152">
        <v>44347</v>
      </c>
      <c r="B632" s="153">
        <v>86</v>
      </c>
      <c r="C632" s="153">
        <v>87.3</v>
      </c>
      <c r="D632" s="153">
        <v>85</v>
      </c>
      <c r="E632" s="153">
        <v>87</v>
      </c>
      <c r="F632" s="154">
        <v>554750</v>
      </c>
      <c r="G632" s="155">
        <v>47985111.700000003</v>
      </c>
      <c r="H632" s="153">
        <v>306</v>
      </c>
      <c r="I632" s="155"/>
      <c r="J632" s="155"/>
      <c r="K632" s="155"/>
      <c r="L632" s="155"/>
      <c r="M632" s="155"/>
      <c r="N632" s="155"/>
      <c r="O632" s="148">
        <v>44347</v>
      </c>
      <c r="P632" s="149">
        <v>76</v>
      </c>
      <c r="Q632" s="149">
        <v>76</v>
      </c>
      <c r="R632" s="149">
        <v>75.099999999999994</v>
      </c>
      <c r="S632" s="149">
        <v>75.7</v>
      </c>
      <c r="T632" s="150">
        <v>9847</v>
      </c>
      <c r="U632" s="151">
        <v>743488.5</v>
      </c>
      <c r="V632" s="149">
        <v>56</v>
      </c>
      <c r="Z632" s="1">
        <v>44218</v>
      </c>
      <c r="AA632">
        <v>76.47</v>
      </c>
      <c r="AB632">
        <v>101991</v>
      </c>
      <c r="AC632">
        <v>199659</v>
      </c>
      <c r="AF632" s="1">
        <v>44218</v>
      </c>
      <c r="AG632">
        <v>88.24</v>
      </c>
      <c r="AJ632" s="156">
        <f t="shared" si="9"/>
        <v>0.13338621940163187</v>
      </c>
    </row>
    <row r="633" spans="1:36" x14ac:dyDescent="0.3">
      <c r="A633" s="152">
        <v>44344</v>
      </c>
      <c r="B633" s="153">
        <v>85.5</v>
      </c>
      <c r="C633" s="153">
        <v>85.9</v>
      </c>
      <c r="D633" s="153">
        <v>84.5</v>
      </c>
      <c r="E633" s="153">
        <v>85.5</v>
      </c>
      <c r="F633" s="154">
        <v>89020</v>
      </c>
      <c r="G633" s="155">
        <v>7593995</v>
      </c>
      <c r="H633" s="153">
        <v>148</v>
      </c>
      <c r="I633" s="155"/>
      <c r="J633" s="155"/>
      <c r="K633" s="155"/>
      <c r="L633" s="155"/>
      <c r="M633" s="155"/>
      <c r="N633" s="155"/>
      <c r="O633" s="148">
        <v>44344</v>
      </c>
      <c r="P633" s="149">
        <v>74.900000000000006</v>
      </c>
      <c r="Q633" s="149">
        <v>75.400000000000006</v>
      </c>
      <c r="R633" s="149">
        <v>74.5</v>
      </c>
      <c r="S633" s="149">
        <v>75</v>
      </c>
      <c r="T633" s="150">
        <v>19692</v>
      </c>
      <c r="U633" s="151">
        <v>1476694.5</v>
      </c>
      <c r="V633" s="149">
        <v>51</v>
      </c>
      <c r="Z633" s="1">
        <v>44217</v>
      </c>
      <c r="AA633">
        <v>76.56</v>
      </c>
      <c r="AB633">
        <v>176993</v>
      </c>
      <c r="AC633">
        <v>195375</v>
      </c>
      <c r="AF633" s="1">
        <v>44217</v>
      </c>
      <c r="AG633">
        <v>83.35</v>
      </c>
      <c r="AJ633" s="156">
        <f t="shared" si="9"/>
        <v>8.1463707258548207E-2</v>
      </c>
    </row>
    <row r="634" spans="1:36" x14ac:dyDescent="0.3">
      <c r="A634" s="152">
        <v>44341</v>
      </c>
      <c r="B634" s="153">
        <v>83</v>
      </c>
      <c r="C634" s="153">
        <v>86</v>
      </c>
      <c r="D634" s="153">
        <v>83</v>
      </c>
      <c r="E634" s="153">
        <v>84.6</v>
      </c>
      <c r="F634" s="154">
        <v>598401</v>
      </c>
      <c r="G634" s="155">
        <v>50391136.899999999</v>
      </c>
      <c r="H634" s="153">
        <v>242</v>
      </c>
      <c r="I634" s="155"/>
      <c r="J634" s="155"/>
      <c r="K634" s="155"/>
      <c r="L634" s="155"/>
      <c r="M634" s="155"/>
      <c r="N634" s="155"/>
      <c r="O634" s="148">
        <v>44341</v>
      </c>
      <c r="P634" s="149">
        <v>73.5</v>
      </c>
      <c r="Q634" s="149">
        <v>74.900000000000006</v>
      </c>
      <c r="R634" s="149">
        <v>73.400000000000006</v>
      </c>
      <c r="S634" s="149">
        <v>74.099999999999994</v>
      </c>
      <c r="T634" s="150">
        <v>19275</v>
      </c>
      <c r="U634" s="151">
        <v>1418179.1</v>
      </c>
      <c r="V634" s="149">
        <v>52</v>
      </c>
      <c r="Z634" s="1">
        <v>44216</v>
      </c>
      <c r="AA634">
        <v>78.400000000000006</v>
      </c>
      <c r="AB634">
        <v>369877</v>
      </c>
      <c r="AC634">
        <v>187130</v>
      </c>
      <c r="AF634" s="1">
        <v>44216</v>
      </c>
      <c r="AG634">
        <v>86.02</v>
      </c>
      <c r="AJ634" s="156">
        <f t="shared" si="9"/>
        <v>8.8584050220878757E-2</v>
      </c>
    </row>
    <row r="635" spans="1:36" x14ac:dyDescent="0.3">
      <c r="A635" s="152">
        <v>44340</v>
      </c>
      <c r="B635" s="153">
        <v>82.6</v>
      </c>
      <c r="C635" s="153">
        <v>83.4</v>
      </c>
      <c r="D635" s="153">
        <v>82.5</v>
      </c>
      <c r="E635" s="153">
        <v>83</v>
      </c>
      <c r="F635" s="154">
        <v>281233</v>
      </c>
      <c r="G635" s="155">
        <v>23335315.699999999</v>
      </c>
      <c r="H635" s="153">
        <v>158</v>
      </c>
      <c r="I635" s="155"/>
      <c r="J635" s="155"/>
      <c r="K635" s="155"/>
      <c r="L635" s="155"/>
      <c r="M635" s="155"/>
      <c r="N635" s="155"/>
      <c r="O635" s="148">
        <v>44340</v>
      </c>
      <c r="P635" s="149">
        <v>73.3</v>
      </c>
      <c r="Q635" s="149">
        <v>74.900000000000006</v>
      </c>
      <c r="R635" s="149">
        <v>73</v>
      </c>
      <c r="S635" s="149">
        <v>73.400000000000006</v>
      </c>
      <c r="T635" s="150">
        <v>8239</v>
      </c>
      <c r="U635" s="151">
        <v>604093.9</v>
      </c>
      <c r="V635" s="149">
        <v>18</v>
      </c>
      <c r="Z635" s="1">
        <v>44215</v>
      </c>
      <c r="AA635">
        <v>77.260000000000005</v>
      </c>
      <c r="AB635">
        <v>700413</v>
      </c>
      <c r="AC635">
        <v>163624</v>
      </c>
      <c r="AF635" s="1">
        <v>44215</v>
      </c>
      <c r="AG635">
        <v>85.57</v>
      </c>
      <c r="AJ635" s="156">
        <f t="shared" si="9"/>
        <v>9.7113474348486481E-2</v>
      </c>
    </row>
    <row r="636" spans="1:36" x14ac:dyDescent="0.3">
      <c r="A636" s="152">
        <v>44337</v>
      </c>
      <c r="B636" s="153">
        <v>83.3</v>
      </c>
      <c r="C636" s="153">
        <v>84</v>
      </c>
      <c r="D636" s="153">
        <v>82.5</v>
      </c>
      <c r="E636" s="153">
        <v>83</v>
      </c>
      <c r="F636" s="154">
        <v>452719</v>
      </c>
      <c r="G636" s="155">
        <v>37556582.399999999</v>
      </c>
      <c r="H636" s="153">
        <v>133</v>
      </c>
      <c r="I636" s="155"/>
      <c r="J636" s="155"/>
      <c r="K636" s="155"/>
      <c r="L636" s="155"/>
      <c r="M636" s="155"/>
      <c r="N636" s="155"/>
      <c r="O636" s="148">
        <v>44337</v>
      </c>
      <c r="P636" s="149">
        <v>75</v>
      </c>
      <c r="Q636" s="149">
        <v>75</v>
      </c>
      <c r="R636" s="149">
        <v>72.8</v>
      </c>
      <c r="S636" s="149">
        <v>73.099999999999994</v>
      </c>
      <c r="T636" s="150">
        <v>51871</v>
      </c>
      <c r="U636" s="151">
        <v>3804617.8</v>
      </c>
      <c r="V636" s="149">
        <v>138</v>
      </c>
      <c r="Z636" s="1">
        <v>44214</v>
      </c>
      <c r="AA636">
        <v>69.900000000000006</v>
      </c>
      <c r="AB636">
        <v>394481</v>
      </c>
      <c r="AC636">
        <v>118128</v>
      </c>
      <c r="AF636" s="1">
        <v>44214</v>
      </c>
      <c r="AG636">
        <v>78.900000000000006</v>
      </c>
      <c r="AJ636" s="156">
        <f t="shared" si="9"/>
        <v>0.11406844106463877</v>
      </c>
    </row>
    <row r="637" spans="1:36" x14ac:dyDescent="0.3">
      <c r="A637" s="152">
        <v>44336</v>
      </c>
      <c r="B637" s="153">
        <v>85</v>
      </c>
      <c r="C637" s="153">
        <v>85</v>
      </c>
      <c r="D637" s="153">
        <v>83</v>
      </c>
      <c r="E637" s="153">
        <v>83.3</v>
      </c>
      <c r="F637" s="154">
        <v>275171</v>
      </c>
      <c r="G637" s="155">
        <v>22975675.600000001</v>
      </c>
      <c r="H637" s="153">
        <v>194</v>
      </c>
      <c r="I637" s="155"/>
      <c r="J637" s="155"/>
      <c r="K637" s="155"/>
      <c r="L637" s="155"/>
      <c r="M637" s="155"/>
      <c r="N637" s="155"/>
      <c r="O637" s="148">
        <v>44336</v>
      </c>
      <c r="P637" s="149">
        <v>75</v>
      </c>
      <c r="Q637" s="149">
        <v>75.5</v>
      </c>
      <c r="R637" s="149">
        <v>74.8</v>
      </c>
      <c r="S637" s="149">
        <v>75</v>
      </c>
      <c r="T637" s="150">
        <v>53671</v>
      </c>
      <c r="U637" s="151">
        <v>4025189.4</v>
      </c>
      <c r="V637" s="149">
        <v>52</v>
      </c>
      <c r="Z637" s="1">
        <v>44211</v>
      </c>
      <c r="AA637">
        <v>65.260000000000005</v>
      </c>
      <c r="AB637">
        <v>172227</v>
      </c>
      <c r="AC637">
        <v>96774</v>
      </c>
      <c r="AF637" s="1">
        <v>44211</v>
      </c>
      <c r="AG637">
        <v>74.989999999999995</v>
      </c>
      <c r="AJ637" s="156">
        <f t="shared" si="9"/>
        <v>0.12975063341778892</v>
      </c>
    </row>
    <row r="638" spans="1:36" x14ac:dyDescent="0.3">
      <c r="A638" s="152">
        <v>44335</v>
      </c>
      <c r="B638" s="153">
        <v>84.6</v>
      </c>
      <c r="C638" s="153">
        <v>85.9</v>
      </c>
      <c r="D638" s="153">
        <v>83.9</v>
      </c>
      <c r="E638" s="153">
        <v>84.9</v>
      </c>
      <c r="F638" s="154">
        <v>161791</v>
      </c>
      <c r="G638" s="155">
        <v>13655708.699999999</v>
      </c>
      <c r="H638" s="153">
        <v>170</v>
      </c>
      <c r="I638" s="155"/>
      <c r="J638" s="155"/>
      <c r="K638" s="155"/>
      <c r="L638" s="155"/>
      <c r="M638" s="155"/>
      <c r="N638" s="155"/>
      <c r="O638" s="148">
        <v>44335</v>
      </c>
      <c r="P638" s="149">
        <v>75.5</v>
      </c>
      <c r="Q638" s="149">
        <v>76</v>
      </c>
      <c r="R638" s="149">
        <v>75</v>
      </c>
      <c r="S638" s="149">
        <v>75.8</v>
      </c>
      <c r="T638" s="150">
        <v>9219</v>
      </c>
      <c r="U638" s="151">
        <v>694212.1</v>
      </c>
      <c r="V638" s="149">
        <v>29</v>
      </c>
      <c r="Z638" s="1">
        <v>44209</v>
      </c>
      <c r="AA638">
        <v>63.07</v>
      </c>
      <c r="AB638">
        <v>75828</v>
      </c>
      <c r="AC638">
        <v>86254</v>
      </c>
      <c r="AF638" s="1">
        <v>44209</v>
      </c>
      <c r="AG638">
        <v>72.94</v>
      </c>
      <c r="AJ638" s="156">
        <f t="shared" si="9"/>
        <v>0.13531669865642992</v>
      </c>
    </row>
    <row r="639" spans="1:36" x14ac:dyDescent="0.3">
      <c r="A639" s="152">
        <v>44334</v>
      </c>
      <c r="B639" s="153">
        <v>84.5</v>
      </c>
      <c r="C639" s="153">
        <v>84.9</v>
      </c>
      <c r="D639" s="153">
        <v>83</v>
      </c>
      <c r="E639" s="153">
        <v>84.4</v>
      </c>
      <c r="F639" s="154">
        <v>94793</v>
      </c>
      <c r="G639" s="155">
        <v>7952230.7999999998</v>
      </c>
      <c r="H639" s="153">
        <v>159</v>
      </c>
      <c r="I639" s="155"/>
      <c r="J639" s="155"/>
      <c r="K639" s="155"/>
      <c r="L639" s="155"/>
      <c r="M639" s="155"/>
      <c r="N639" s="155"/>
      <c r="O639" s="148">
        <v>44334</v>
      </c>
      <c r="P639" s="149">
        <v>74.599999999999994</v>
      </c>
      <c r="Q639" s="149">
        <v>76</v>
      </c>
      <c r="R639" s="149">
        <v>74</v>
      </c>
      <c r="S639" s="149">
        <v>75.2</v>
      </c>
      <c r="T639" s="150">
        <v>40830</v>
      </c>
      <c r="U639" s="151">
        <v>3072625.1</v>
      </c>
      <c r="V639" s="149">
        <v>53</v>
      </c>
      <c r="Z639" s="1">
        <v>44208</v>
      </c>
      <c r="AA639">
        <v>63.42</v>
      </c>
      <c r="AB639">
        <v>108346</v>
      </c>
      <c r="AC639">
        <v>82559</v>
      </c>
      <c r="AF639" s="1">
        <v>44208</v>
      </c>
      <c r="AG639">
        <v>72.94</v>
      </c>
      <c r="AJ639" s="156">
        <f t="shared" si="9"/>
        <v>0.13051823416506714</v>
      </c>
    </row>
    <row r="640" spans="1:36" x14ac:dyDescent="0.3">
      <c r="A640" s="152">
        <v>44333</v>
      </c>
      <c r="B640" s="153">
        <v>82</v>
      </c>
      <c r="C640" s="153">
        <v>84.6</v>
      </c>
      <c r="D640" s="153">
        <v>82</v>
      </c>
      <c r="E640" s="153">
        <v>83.8</v>
      </c>
      <c r="F640" s="154">
        <v>267911</v>
      </c>
      <c r="G640" s="155">
        <v>22375244.699999999</v>
      </c>
      <c r="H640" s="153">
        <v>205</v>
      </c>
      <c r="I640" s="155"/>
      <c r="J640" s="155"/>
      <c r="K640" s="155"/>
      <c r="L640" s="155"/>
      <c r="M640" s="155"/>
      <c r="N640" s="155"/>
      <c r="O640" s="148">
        <v>44333</v>
      </c>
      <c r="P640" s="149">
        <v>73.7</v>
      </c>
      <c r="Q640" s="149">
        <v>74.900000000000006</v>
      </c>
      <c r="R640" s="149">
        <v>73.5</v>
      </c>
      <c r="S640" s="149">
        <v>74.900000000000006</v>
      </c>
      <c r="T640" s="150">
        <v>63026</v>
      </c>
      <c r="U640" s="151">
        <v>4679053.2</v>
      </c>
      <c r="V640" s="149">
        <v>65</v>
      </c>
      <c r="Z640" s="1">
        <v>44207</v>
      </c>
      <c r="AA640">
        <v>63.86</v>
      </c>
      <c r="AB640">
        <v>22788</v>
      </c>
      <c r="AC640">
        <v>78701</v>
      </c>
      <c r="AF640" s="1">
        <v>44207</v>
      </c>
      <c r="AG640">
        <v>73.209999999999994</v>
      </c>
      <c r="AJ640" s="156">
        <f t="shared" si="9"/>
        <v>0.12771479306105715</v>
      </c>
    </row>
    <row r="641" spans="1:36" x14ac:dyDescent="0.3">
      <c r="A641" s="152">
        <v>44329</v>
      </c>
      <c r="B641" s="153">
        <v>80.599999999999994</v>
      </c>
      <c r="C641" s="153">
        <v>82</v>
      </c>
      <c r="D641" s="153">
        <v>80.599999999999994</v>
      </c>
      <c r="E641" s="153">
        <v>81.900000000000006</v>
      </c>
      <c r="F641" s="154">
        <v>144542</v>
      </c>
      <c r="G641" s="155">
        <v>11786918.4</v>
      </c>
      <c r="H641" s="153">
        <v>126</v>
      </c>
      <c r="I641" s="155"/>
      <c r="J641" s="155"/>
      <c r="K641" s="155"/>
      <c r="L641" s="155"/>
      <c r="M641" s="155"/>
      <c r="N641" s="155"/>
      <c r="O641" s="148">
        <v>44329</v>
      </c>
      <c r="P641" s="149">
        <v>73.8</v>
      </c>
      <c r="Q641" s="149">
        <v>73.8</v>
      </c>
      <c r="R641" s="149">
        <v>73.3</v>
      </c>
      <c r="S641" s="149">
        <v>73.7</v>
      </c>
      <c r="T641" s="150">
        <v>16963</v>
      </c>
      <c r="U641" s="151">
        <v>1246623.3</v>
      </c>
      <c r="V641" s="149">
        <v>14</v>
      </c>
      <c r="Z641" s="1">
        <v>44204</v>
      </c>
      <c r="AA641">
        <v>64.209999999999994</v>
      </c>
      <c r="AB641">
        <v>55665</v>
      </c>
      <c r="AC641">
        <v>79957</v>
      </c>
      <c r="AF641" s="1">
        <v>44204</v>
      </c>
      <c r="AG641">
        <v>73.3</v>
      </c>
      <c r="AJ641" s="156">
        <f t="shared" si="9"/>
        <v>0.12401091405184179</v>
      </c>
    </row>
    <row r="642" spans="1:36" x14ac:dyDescent="0.3">
      <c r="A642" s="152">
        <v>44328</v>
      </c>
      <c r="B642" s="153">
        <v>80.7</v>
      </c>
      <c r="C642" s="153">
        <v>80.900000000000006</v>
      </c>
      <c r="D642" s="153">
        <v>80.2</v>
      </c>
      <c r="E642" s="153">
        <v>80.599999999999994</v>
      </c>
      <c r="F642" s="154">
        <v>1761959</v>
      </c>
      <c r="G642" s="155">
        <v>141842720.90000001</v>
      </c>
      <c r="H642" s="153">
        <v>116</v>
      </c>
      <c r="I642" s="155"/>
      <c r="J642" s="155"/>
      <c r="K642" s="155"/>
      <c r="L642" s="155"/>
      <c r="M642" s="155"/>
      <c r="N642" s="155"/>
      <c r="O642" s="148">
        <v>44328</v>
      </c>
      <c r="P642" s="149">
        <v>74</v>
      </c>
      <c r="Q642" s="149">
        <v>74</v>
      </c>
      <c r="R642" s="149">
        <v>73</v>
      </c>
      <c r="S642" s="149">
        <v>73.099999999999994</v>
      </c>
      <c r="T642" s="150">
        <v>19630</v>
      </c>
      <c r="U642" s="151">
        <v>1442060.4</v>
      </c>
      <c r="V642" s="149">
        <v>28</v>
      </c>
      <c r="Z642" s="1">
        <v>44203</v>
      </c>
      <c r="AA642">
        <v>64.03</v>
      </c>
      <c r="AB642">
        <v>101126</v>
      </c>
      <c r="AC642">
        <v>78022</v>
      </c>
      <c r="AF642" s="1">
        <v>44203</v>
      </c>
      <c r="AG642">
        <v>73.569999999999993</v>
      </c>
      <c r="AJ642" s="156">
        <f t="shared" si="9"/>
        <v>0.12967242082370523</v>
      </c>
    </row>
    <row r="643" spans="1:36" x14ac:dyDescent="0.3">
      <c r="A643" s="152">
        <v>44327</v>
      </c>
      <c r="B643" s="153">
        <v>80.5</v>
      </c>
      <c r="C643" s="153">
        <v>80.900000000000006</v>
      </c>
      <c r="D643" s="153">
        <v>80.5</v>
      </c>
      <c r="E643" s="153">
        <v>80.599999999999994</v>
      </c>
      <c r="F643" s="154">
        <v>56066</v>
      </c>
      <c r="G643" s="155">
        <v>4520096.5</v>
      </c>
      <c r="H643" s="153">
        <v>80</v>
      </c>
      <c r="I643" s="155"/>
      <c r="J643" s="155"/>
      <c r="K643" s="155"/>
      <c r="L643" s="155"/>
      <c r="M643" s="155"/>
      <c r="N643" s="155"/>
      <c r="O643" s="148">
        <v>44327</v>
      </c>
      <c r="P643" s="149">
        <v>74.900000000000006</v>
      </c>
      <c r="Q643" s="149">
        <v>74.900000000000006</v>
      </c>
      <c r="R643" s="149">
        <v>72.8</v>
      </c>
      <c r="S643" s="149">
        <v>73</v>
      </c>
      <c r="T643" s="150">
        <v>6670</v>
      </c>
      <c r="U643" s="151">
        <v>486930.5</v>
      </c>
      <c r="V643" s="149">
        <v>23</v>
      </c>
      <c r="Z643" s="1">
        <v>44202</v>
      </c>
      <c r="AA643">
        <v>63.94</v>
      </c>
      <c r="AB643">
        <v>114325</v>
      </c>
      <c r="AC643">
        <v>75042</v>
      </c>
      <c r="AF643" s="1">
        <v>44202</v>
      </c>
      <c r="AG643">
        <v>73.83</v>
      </c>
      <c r="AJ643" s="156">
        <f t="shared" si="9"/>
        <v>0.13395638629283491</v>
      </c>
    </row>
    <row r="644" spans="1:36" x14ac:dyDescent="0.3">
      <c r="A644" s="152">
        <v>44326</v>
      </c>
      <c r="B644" s="153">
        <v>81.5</v>
      </c>
      <c r="C644" s="153">
        <v>81.5</v>
      </c>
      <c r="D644" s="153">
        <v>79.599999999999994</v>
      </c>
      <c r="E644" s="153">
        <v>80.400000000000006</v>
      </c>
      <c r="F644" s="154">
        <v>451866</v>
      </c>
      <c r="G644" s="155">
        <v>36118998.899999999</v>
      </c>
      <c r="H644" s="153">
        <v>145</v>
      </c>
      <c r="I644" s="155"/>
      <c r="J644" s="155"/>
      <c r="K644" s="155"/>
      <c r="L644" s="155"/>
      <c r="M644" s="155"/>
      <c r="N644" s="155"/>
      <c r="O644" s="148">
        <v>44326</v>
      </c>
      <c r="P644" s="149">
        <v>73.2</v>
      </c>
      <c r="Q644" s="149">
        <v>73.2</v>
      </c>
      <c r="R644" s="149">
        <v>72.400000000000006</v>
      </c>
      <c r="S644" s="149">
        <v>72.900000000000006</v>
      </c>
      <c r="T644" s="150">
        <v>13737</v>
      </c>
      <c r="U644" s="151">
        <v>1002082.7</v>
      </c>
      <c r="V644" s="149">
        <v>49</v>
      </c>
      <c r="Z644" s="1">
        <v>44201</v>
      </c>
      <c r="AA644">
        <v>63.68</v>
      </c>
      <c r="AB644">
        <v>139496</v>
      </c>
      <c r="AC644">
        <v>70877</v>
      </c>
      <c r="AF644" s="1">
        <v>44201</v>
      </c>
      <c r="AG644">
        <v>74.010000000000005</v>
      </c>
      <c r="AJ644" s="156">
        <f t="shared" si="9"/>
        <v>0.1395757330090529</v>
      </c>
    </row>
    <row r="645" spans="1:36" x14ac:dyDescent="0.3">
      <c r="A645" s="152">
        <v>44323</v>
      </c>
      <c r="B645" s="153">
        <v>79.5</v>
      </c>
      <c r="C645" s="153">
        <v>83</v>
      </c>
      <c r="D645" s="153">
        <v>79.400000000000006</v>
      </c>
      <c r="E645" s="153">
        <v>80.099999999999994</v>
      </c>
      <c r="F645" s="154">
        <v>7637895</v>
      </c>
      <c r="G645" s="155">
        <v>610974427.29999995</v>
      </c>
      <c r="H645" s="153">
        <v>215</v>
      </c>
      <c r="I645" s="155"/>
      <c r="J645" s="155"/>
      <c r="K645" s="155"/>
      <c r="L645" s="155"/>
      <c r="M645" s="155"/>
      <c r="N645" s="155"/>
      <c r="O645" s="148">
        <v>44323</v>
      </c>
      <c r="P645" s="149">
        <v>73.599999999999994</v>
      </c>
      <c r="Q645" s="149">
        <v>74</v>
      </c>
      <c r="R645" s="149">
        <v>73.2</v>
      </c>
      <c r="S645" s="149">
        <v>73.8</v>
      </c>
      <c r="T645" s="150">
        <v>26153</v>
      </c>
      <c r="U645" s="151">
        <v>1922512.6</v>
      </c>
      <c r="V645" s="149">
        <v>40</v>
      </c>
      <c r="Z645" s="1">
        <v>44200</v>
      </c>
      <c r="AA645">
        <v>63.59</v>
      </c>
      <c r="AB645">
        <v>350693</v>
      </c>
      <c r="AC645">
        <v>67407</v>
      </c>
      <c r="AF645" s="1">
        <v>44200</v>
      </c>
      <c r="AG645">
        <v>74.099999999999994</v>
      </c>
      <c r="AJ645" s="156">
        <f t="shared" si="9"/>
        <v>0.14183535762483121</v>
      </c>
    </row>
    <row r="646" spans="1:36" x14ac:dyDescent="0.3">
      <c r="A646" s="152">
        <v>44322</v>
      </c>
      <c r="B646" s="153">
        <v>80</v>
      </c>
      <c r="C646" s="153">
        <v>80</v>
      </c>
      <c r="D646" s="153">
        <v>79.2</v>
      </c>
      <c r="E646" s="153">
        <v>79.599999999999994</v>
      </c>
      <c r="F646" s="154">
        <v>467063</v>
      </c>
      <c r="G646" s="155">
        <v>37222862.700000003</v>
      </c>
      <c r="H646" s="153">
        <v>179</v>
      </c>
      <c r="I646" s="155"/>
      <c r="J646" s="155"/>
      <c r="K646" s="155"/>
      <c r="L646" s="155"/>
      <c r="M646" s="155"/>
      <c r="N646" s="155"/>
      <c r="O646" s="148">
        <v>44322</v>
      </c>
      <c r="P646" s="149">
        <v>73.900000000000006</v>
      </c>
      <c r="Q646" s="149">
        <v>74</v>
      </c>
      <c r="R646" s="149">
        <v>73.099999999999994</v>
      </c>
      <c r="S646" s="149">
        <v>73.2</v>
      </c>
      <c r="T646" s="150">
        <v>51321</v>
      </c>
      <c r="U646" s="151">
        <v>3766070.8</v>
      </c>
      <c r="V646" s="149">
        <v>49</v>
      </c>
      <c r="Z646" s="1">
        <v>44196</v>
      </c>
      <c r="AA646">
        <v>61.4</v>
      </c>
      <c r="AB646">
        <v>110630</v>
      </c>
      <c r="AC646">
        <v>50503</v>
      </c>
      <c r="AF646" s="1">
        <v>44196</v>
      </c>
      <c r="AG646">
        <v>71.959999999999994</v>
      </c>
      <c r="AJ646" s="156">
        <f t="shared" ref="AJ646:AJ709" si="10">(AG646-AA646)/AG646</f>
        <v>0.1467481934408004</v>
      </c>
    </row>
    <row r="647" spans="1:36" x14ac:dyDescent="0.3">
      <c r="A647" s="152">
        <v>44321</v>
      </c>
      <c r="B647" s="153">
        <v>79.900000000000006</v>
      </c>
      <c r="C647" s="153">
        <v>80.3</v>
      </c>
      <c r="D647" s="153">
        <v>79.599999999999994</v>
      </c>
      <c r="E647" s="153">
        <v>80</v>
      </c>
      <c r="F647" s="154">
        <v>42083</v>
      </c>
      <c r="G647" s="155">
        <v>3367211.7</v>
      </c>
      <c r="H647" s="153">
        <v>109</v>
      </c>
      <c r="I647" s="155"/>
      <c r="J647" s="155"/>
      <c r="K647" s="155"/>
      <c r="L647" s="155"/>
      <c r="M647" s="155"/>
      <c r="N647" s="155"/>
      <c r="O647" s="148">
        <v>44321</v>
      </c>
      <c r="P647" s="149">
        <v>73.2</v>
      </c>
      <c r="Q647" s="149">
        <v>73.5</v>
      </c>
      <c r="R647" s="149">
        <v>73</v>
      </c>
      <c r="S647" s="149">
        <v>73.3</v>
      </c>
      <c r="T647" s="150">
        <v>15083</v>
      </c>
      <c r="U647" s="151">
        <v>1105419.1000000001</v>
      </c>
      <c r="V647" s="149">
        <v>42</v>
      </c>
      <c r="Z647" s="1">
        <v>44195</v>
      </c>
      <c r="AA647">
        <v>61.32</v>
      </c>
      <c r="AB647">
        <v>37738</v>
      </c>
      <c r="AC647">
        <v>65272</v>
      </c>
      <c r="AF647" s="1">
        <v>44195</v>
      </c>
      <c r="AG647">
        <v>71.61</v>
      </c>
      <c r="AJ647" s="156">
        <f t="shared" si="10"/>
        <v>0.14369501466275658</v>
      </c>
    </row>
    <row r="648" spans="1:36" x14ac:dyDescent="0.3">
      <c r="A648" s="152">
        <v>44320</v>
      </c>
      <c r="B648" s="153">
        <v>80</v>
      </c>
      <c r="C648" s="153">
        <v>80</v>
      </c>
      <c r="D648" s="153">
        <v>79</v>
      </c>
      <c r="E648" s="153">
        <v>79.3</v>
      </c>
      <c r="F648" s="154">
        <v>246591</v>
      </c>
      <c r="G648" s="155">
        <v>19566159.100000001</v>
      </c>
      <c r="H648" s="153">
        <v>255</v>
      </c>
      <c r="I648" s="155"/>
      <c r="J648" s="155"/>
      <c r="K648" s="155"/>
      <c r="L648" s="155"/>
      <c r="M648" s="155"/>
      <c r="N648" s="155"/>
      <c r="O648" s="148">
        <v>44320</v>
      </c>
      <c r="P648" s="149">
        <v>73</v>
      </c>
      <c r="Q648" s="149">
        <v>76</v>
      </c>
      <c r="R648" s="149">
        <v>72.5</v>
      </c>
      <c r="S648" s="149">
        <v>72.900000000000006</v>
      </c>
      <c r="T648" s="150">
        <v>4718</v>
      </c>
      <c r="U648" s="151">
        <v>345952.4</v>
      </c>
      <c r="V648" s="149">
        <v>43</v>
      </c>
      <c r="Z648" s="1">
        <v>44193</v>
      </c>
      <c r="AA648">
        <v>61.23</v>
      </c>
      <c r="AB648">
        <v>53312</v>
      </c>
      <c r="AC648">
        <v>78428</v>
      </c>
      <c r="AF648" s="1">
        <v>44193</v>
      </c>
      <c r="AG648">
        <v>71.25</v>
      </c>
      <c r="AJ648" s="156">
        <f t="shared" si="10"/>
        <v>0.14063157894736847</v>
      </c>
    </row>
    <row r="649" spans="1:36" x14ac:dyDescent="0.3">
      <c r="A649" s="152">
        <v>44319</v>
      </c>
      <c r="B649" s="153">
        <v>80.5</v>
      </c>
      <c r="C649" s="153">
        <v>80.5</v>
      </c>
      <c r="D649" s="153">
        <v>79.099999999999994</v>
      </c>
      <c r="E649" s="153">
        <v>79.5</v>
      </c>
      <c r="F649" s="154">
        <v>386294</v>
      </c>
      <c r="G649" s="155">
        <v>30718186.300000001</v>
      </c>
      <c r="H649" s="153">
        <v>213</v>
      </c>
      <c r="I649" s="155"/>
      <c r="J649" s="155"/>
      <c r="K649" s="155"/>
      <c r="L649" s="155"/>
      <c r="M649" s="155"/>
      <c r="N649" s="155"/>
      <c r="O649" s="148">
        <v>44319</v>
      </c>
      <c r="P649" s="149">
        <v>72.5</v>
      </c>
      <c r="Q649" s="149">
        <v>72.5</v>
      </c>
      <c r="R649" s="149">
        <v>71.099999999999994</v>
      </c>
      <c r="S649" s="149">
        <v>72.2</v>
      </c>
      <c r="T649" s="150">
        <v>12046</v>
      </c>
      <c r="U649" s="151">
        <v>862811.9</v>
      </c>
      <c r="V649" s="149">
        <v>72</v>
      </c>
      <c r="Z649" s="1">
        <v>44189</v>
      </c>
      <c r="AA649">
        <v>61.14</v>
      </c>
      <c r="AB649">
        <v>17285</v>
      </c>
      <c r="AC649">
        <v>83655</v>
      </c>
      <c r="AF649" s="1">
        <v>44189</v>
      </c>
      <c r="AG649">
        <v>70.36</v>
      </c>
      <c r="AJ649" s="156">
        <f t="shared" si="10"/>
        <v>0.13104036384309264</v>
      </c>
    </row>
    <row r="650" spans="1:36" x14ac:dyDescent="0.3">
      <c r="A650" s="152">
        <v>44316</v>
      </c>
      <c r="B650" s="153">
        <v>80.599999999999994</v>
      </c>
      <c r="C650" s="153">
        <v>81</v>
      </c>
      <c r="D650" s="153">
        <v>80.5</v>
      </c>
      <c r="E650" s="153">
        <v>80.7</v>
      </c>
      <c r="F650" s="154">
        <v>18771</v>
      </c>
      <c r="G650" s="155">
        <v>1514977</v>
      </c>
      <c r="H650" s="153">
        <v>60</v>
      </c>
      <c r="I650" s="155"/>
      <c r="J650" s="155"/>
      <c r="K650" s="155"/>
      <c r="L650" s="155"/>
      <c r="M650" s="155"/>
      <c r="N650" s="155"/>
      <c r="O650" s="148">
        <v>44316</v>
      </c>
      <c r="P650" s="149">
        <v>72.599999999999994</v>
      </c>
      <c r="Q650" s="149">
        <v>73</v>
      </c>
      <c r="R650" s="149">
        <v>72.5</v>
      </c>
      <c r="S650" s="149">
        <v>72.8</v>
      </c>
      <c r="T650" s="150">
        <v>6685</v>
      </c>
      <c r="U650" s="151">
        <v>485954.4</v>
      </c>
      <c r="V650" s="149">
        <v>30</v>
      </c>
      <c r="Z650" s="1">
        <v>44188</v>
      </c>
      <c r="AA650">
        <v>60.7</v>
      </c>
      <c r="AB650">
        <v>17987</v>
      </c>
      <c r="AC650">
        <v>84841</v>
      </c>
      <c r="AF650" s="1">
        <v>44188</v>
      </c>
      <c r="AG650">
        <v>70.27</v>
      </c>
      <c r="AJ650" s="156">
        <f t="shared" si="10"/>
        <v>0.13618898534225124</v>
      </c>
    </row>
    <row r="651" spans="1:36" x14ac:dyDescent="0.3">
      <c r="A651" s="152">
        <v>44315</v>
      </c>
      <c r="B651" s="153">
        <v>80.5</v>
      </c>
      <c r="C651" s="153">
        <v>81</v>
      </c>
      <c r="D651" s="153">
        <v>80</v>
      </c>
      <c r="E651" s="153">
        <v>80</v>
      </c>
      <c r="F651" s="154">
        <v>503335</v>
      </c>
      <c r="G651" s="155">
        <v>40315193.299999997</v>
      </c>
      <c r="H651" s="153">
        <v>200</v>
      </c>
      <c r="I651" s="155"/>
      <c r="J651" s="155"/>
      <c r="K651" s="155"/>
      <c r="L651" s="155"/>
      <c r="M651" s="155"/>
      <c r="N651" s="155"/>
      <c r="O651" s="148">
        <v>44315</v>
      </c>
      <c r="P651" s="149">
        <v>74</v>
      </c>
      <c r="Q651" s="149">
        <v>74.099999999999994</v>
      </c>
      <c r="R651" s="149">
        <v>72</v>
      </c>
      <c r="S651" s="149">
        <v>72.400000000000006</v>
      </c>
      <c r="T651" s="150">
        <v>12066</v>
      </c>
      <c r="U651" s="151">
        <v>875604.4</v>
      </c>
      <c r="V651" s="149">
        <v>41</v>
      </c>
      <c r="Z651" s="1">
        <v>44187</v>
      </c>
      <c r="AA651">
        <v>60.53</v>
      </c>
      <c r="AB651">
        <v>74168</v>
      </c>
      <c r="AC651">
        <v>93668</v>
      </c>
      <c r="AF651" s="1">
        <v>44187</v>
      </c>
      <c r="AG651">
        <v>70.72</v>
      </c>
      <c r="AJ651" s="156">
        <f t="shared" si="10"/>
        <v>0.14408936651583706</v>
      </c>
    </row>
    <row r="652" spans="1:36" x14ac:dyDescent="0.3">
      <c r="A652" s="152">
        <v>44314</v>
      </c>
      <c r="B652" s="153">
        <v>79.5</v>
      </c>
      <c r="C652" s="153">
        <v>81</v>
      </c>
      <c r="D652" s="153">
        <v>79.5</v>
      </c>
      <c r="E652" s="153">
        <v>80.900000000000006</v>
      </c>
      <c r="F652" s="154">
        <v>92658</v>
      </c>
      <c r="G652" s="155">
        <v>7420075</v>
      </c>
      <c r="H652" s="153">
        <v>157</v>
      </c>
      <c r="I652" s="155"/>
      <c r="J652" s="155"/>
      <c r="K652" s="155"/>
      <c r="L652" s="155"/>
      <c r="M652" s="155"/>
      <c r="N652" s="155"/>
      <c r="O652" s="148">
        <v>44314</v>
      </c>
      <c r="P652" s="149">
        <v>71.5</v>
      </c>
      <c r="Q652" s="149">
        <v>74</v>
      </c>
      <c r="R652" s="149">
        <v>71.5</v>
      </c>
      <c r="S652" s="149">
        <v>73</v>
      </c>
      <c r="T652" s="150">
        <v>39412</v>
      </c>
      <c r="U652" s="151">
        <v>2852912.3</v>
      </c>
      <c r="V652" s="149">
        <v>83</v>
      </c>
      <c r="Z652" s="1">
        <v>44186</v>
      </c>
      <c r="AA652">
        <v>60.97</v>
      </c>
      <c r="AB652">
        <v>14422</v>
      </c>
      <c r="AC652">
        <v>93220</v>
      </c>
      <c r="AF652" s="1">
        <v>44186</v>
      </c>
      <c r="AG652">
        <v>70.63</v>
      </c>
      <c r="AJ652" s="156">
        <f t="shared" si="10"/>
        <v>0.13676907829534188</v>
      </c>
    </row>
    <row r="653" spans="1:36" x14ac:dyDescent="0.3">
      <c r="A653" s="152">
        <v>44313</v>
      </c>
      <c r="B653" s="153">
        <v>81</v>
      </c>
      <c r="C653" s="153">
        <v>81.5</v>
      </c>
      <c r="D653" s="153">
        <v>79</v>
      </c>
      <c r="E653" s="153">
        <v>79.3</v>
      </c>
      <c r="F653" s="154">
        <v>578228</v>
      </c>
      <c r="G653" s="155">
        <v>46203136.5</v>
      </c>
      <c r="H653" s="153">
        <v>568</v>
      </c>
      <c r="I653" s="155"/>
      <c r="J653" s="155"/>
      <c r="K653" s="155"/>
      <c r="L653" s="155"/>
      <c r="M653" s="155"/>
      <c r="N653" s="155"/>
      <c r="O653" s="148">
        <v>44313</v>
      </c>
      <c r="P653" s="149">
        <v>74</v>
      </c>
      <c r="Q653" s="149">
        <v>74</v>
      </c>
      <c r="R653" s="149">
        <v>71.5</v>
      </c>
      <c r="S653" s="149">
        <v>72</v>
      </c>
      <c r="T653" s="150">
        <v>68021</v>
      </c>
      <c r="U653" s="151">
        <v>4928353.5999999996</v>
      </c>
      <c r="V653" s="149">
        <v>205</v>
      </c>
      <c r="Z653" s="1">
        <v>44183</v>
      </c>
      <c r="AA653">
        <v>60.88</v>
      </c>
      <c r="AB653">
        <v>20399</v>
      </c>
      <c r="AC653">
        <v>95977</v>
      </c>
      <c r="AF653" s="1">
        <v>44183</v>
      </c>
      <c r="AG653">
        <v>71.16</v>
      </c>
      <c r="AJ653" s="156">
        <f t="shared" si="10"/>
        <v>0.1444631815626756</v>
      </c>
    </row>
    <row r="654" spans="1:36" x14ac:dyDescent="0.3">
      <c r="A654" s="152">
        <v>44309</v>
      </c>
      <c r="B654" s="153">
        <v>82.1</v>
      </c>
      <c r="C654" s="153">
        <v>83.5</v>
      </c>
      <c r="D654" s="153">
        <v>81.900000000000006</v>
      </c>
      <c r="E654" s="153">
        <v>82.2</v>
      </c>
      <c r="F654" s="154">
        <v>308777</v>
      </c>
      <c r="G654" s="155">
        <v>25429967.399999999</v>
      </c>
      <c r="H654" s="153">
        <v>394</v>
      </c>
      <c r="I654" s="155"/>
      <c r="J654" s="155"/>
      <c r="K654" s="155"/>
      <c r="L654" s="155"/>
      <c r="M654" s="155"/>
      <c r="N654" s="155"/>
      <c r="O654" s="148">
        <v>44309</v>
      </c>
      <c r="P654" s="149">
        <v>75</v>
      </c>
      <c r="Q654" s="149">
        <v>75.599999999999994</v>
      </c>
      <c r="R654" s="149">
        <v>73.2</v>
      </c>
      <c r="S654" s="149">
        <v>74.5</v>
      </c>
      <c r="T654" s="150">
        <v>88085</v>
      </c>
      <c r="U654" s="151">
        <v>6578659.2000000002</v>
      </c>
      <c r="V654" s="149">
        <v>122</v>
      </c>
      <c r="Z654" s="1">
        <v>44182</v>
      </c>
      <c r="AA654">
        <v>60.7</v>
      </c>
      <c r="AB654">
        <v>50480</v>
      </c>
      <c r="AC654">
        <v>97076</v>
      </c>
      <c r="AF654" s="1">
        <v>44182</v>
      </c>
      <c r="AG654">
        <v>71.61</v>
      </c>
      <c r="AJ654" s="156">
        <f t="shared" si="10"/>
        <v>0.1523530233207652</v>
      </c>
    </row>
    <row r="655" spans="1:36" x14ac:dyDescent="0.3">
      <c r="A655" s="152">
        <v>44308</v>
      </c>
      <c r="B655" s="153">
        <v>85</v>
      </c>
      <c r="C655" s="153">
        <v>85</v>
      </c>
      <c r="D655" s="153">
        <v>83.5</v>
      </c>
      <c r="E655" s="153">
        <v>83.9</v>
      </c>
      <c r="F655" s="154">
        <v>159600</v>
      </c>
      <c r="G655" s="155">
        <v>13413992.5</v>
      </c>
      <c r="H655" s="153">
        <v>198</v>
      </c>
      <c r="I655" s="155"/>
      <c r="J655" s="155"/>
      <c r="K655" s="155"/>
      <c r="L655" s="155"/>
      <c r="M655" s="155"/>
      <c r="N655" s="155"/>
      <c r="O655" s="148">
        <v>44308</v>
      </c>
      <c r="P655" s="149">
        <v>76.900000000000006</v>
      </c>
      <c r="Q655" s="149">
        <v>77.3</v>
      </c>
      <c r="R655" s="149">
        <v>75</v>
      </c>
      <c r="S655" s="149">
        <v>75.099999999999994</v>
      </c>
      <c r="T655" s="150">
        <v>49040</v>
      </c>
      <c r="U655" s="151">
        <v>3714743.6</v>
      </c>
      <c r="V655" s="149">
        <v>120</v>
      </c>
      <c r="Z655" s="1">
        <v>44181</v>
      </c>
      <c r="AA655">
        <v>61.67</v>
      </c>
      <c r="AB655">
        <v>41629</v>
      </c>
      <c r="AC655">
        <v>95760</v>
      </c>
      <c r="AF655" s="1">
        <v>44181</v>
      </c>
      <c r="AG655">
        <v>72.05</v>
      </c>
      <c r="AJ655" s="156">
        <f t="shared" si="10"/>
        <v>0.14406662040249821</v>
      </c>
    </row>
    <row r="656" spans="1:36" x14ac:dyDescent="0.3">
      <c r="A656" s="152">
        <v>44307</v>
      </c>
      <c r="B656" s="153">
        <v>85</v>
      </c>
      <c r="C656" s="153">
        <v>85.8</v>
      </c>
      <c r="D656" s="153">
        <v>83.8</v>
      </c>
      <c r="E656" s="153">
        <v>84.9</v>
      </c>
      <c r="F656" s="154">
        <v>164250</v>
      </c>
      <c r="G656" s="155">
        <v>13842322.5</v>
      </c>
      <c r="H656" s="153">
        <v>275</v>
      </c>
      <c r="I656" s="155"/>
      <c r="J656" s="155"/>
      <c r="K656" s="155"/>
      <c r="L656" s="155"/>
      <c r="M656" s="155"/>
      <c r="N656" s="155"/>
      <c r="O656" s="148">
        <v>44307</v>
      </c>
      <c r="P656" s="149">
        <v>76.400000000000006</v>
      </c>
      <c r="Q656" s="149">
        <v>76.8</v>
      </c>
      <c r="R656" s="149">
        <v>75.099999999999994</v>
      </c>
      <c r="S656" s="149">
        <v>76.400000000000006</v>
      </c>
      <c r="T656" s="150">
        <v>37311</v>
      </c>
      <c r="U656" s="151">
        <v>2842922</v>
      </c>
      <c r="V656" s="149">
        <v>64</v>
      </c>
      <c r="Z656" s="1">
        <v>44180</v>
      </c>
      <c r="AA656">
        <v>61.93</v>
      </c>
      <c r="AB656">
        <v>26633</v>
      </c>
      <c r="AC656">
        <v>94600</v>
      </c>
      <c r="AF656" s="1">
        <v>44180</v>
      </c>
      <c r="AG656">
        <v>72.05</v>
      </c>
      <c r="AJ656" s="156">
        <f t="shared" si="10"/>
        <v>0.14045801526717555</v>
      </c>
    </row>
    <row r="657" spans="1:36" x14ac:dyDescent="0.3">
      <c r="A657" s="152">
        <v>44306</v>
      </c>
      <c r="B657" s="153">
        <v>86.3</v>
      </c>
      <c r="C657" s="153">
        <v>86.5</v>
      </c>
      <c r="D657" s="153">
        <v>84.9</v>
      </c>
      <c r="E657" s="153">
        <v>85.3</v>
      </c>
      <c r="F657" s="154">
        <v>262262</v>
      </c>
      <c r="G657" s="155">
        <v>22391280.399999999</v>
      </c>
      <c r="H657" s="153">
        <v>212</v>
      </c>
      <c r="I657" s="155"/>
      <c r="J657" s="155"/>
      <c r="K657" s="155"/>
      <c r="L657" s="155"/>
      <c r="M657" s="155"/>
      <c r="N657" s="155"/>
      <c r="O657" s="148">
        <v>44306</v>
      </c>
      <c r="P657" s="149">
        <v>78.5</v>
      </c>
      <c r="Q657" s="149">
        <v>78.5</v>
      </c>
      <c r="R657" s="149">
        <v>76.3</v>
      </c>
      <c r="S657" s="149">
        <v>76.599999999999994</v>
      </c>
      <c r="T657" s="150">
        <v>38236</v>
      </c>
      <c r="U657" s="151">
        <v>2944572.5</v>
      </c>
      <c r="V657" s="149">
        <v>128</v>
      </c>
      <c r="Z657" s="1">
        <v>44179</v>
      </c>
      <c r="AA657">
        <v>62.37</v>
      </c>
      <c r="AB657">
        <v>56427</v>
      </c>
      <c r="AC657">
        <v>97304</v>
      </c>
      <c r="AF657" s="1">
        <v>44179</v>
      </c>
      <c r="AG657">
        <v>73.03</v>
      </c>
      <c r="AJ657" s="156">
        <f t="shared" si="10"/>
        <v>0.1459674106531563</v>
      </c>
    </row>
    <row r="658" spans="1:36" x14ac:dyDescent="0.3">
      <c r="A658" s="152">
        <v>44305</v>
      </c>
      <c r="B658" s="153">
        <v>86.8</v>
      </c>
      <c r="C658" s="153">
        <v>86.8</v>
      </c>
      <c r="D658" s="153">
        <v>85.9</v>
      </c>
      <c r="E658" s="153">
        <v>86.3</v>
      </c>
      <c r="F658" s="154">
        <v>80787</v>
      </c>
      <c r="G658" s="155">
        <v>6962099.5</v>
      </c>
      <c r="H658" s="153">
        <v>133</v>
      </c>
      <c r="I658" s="155"/>
      <c r="J658" s="155"/>
      <c r="K658" s="155"/>
      <c r="L658" s="155"/>
      <c r="M658" s="155"/>
      <c r="N658" s="155"/>
      <c r="O658" s="148">
        <v>44305</v>
      </c>
      <c r="P658" s="149">
        <v>79</v>
      </c>
      <c r="Q658" s="149">
        <v>79</v>
      </c>
      <c r="R658" s="149">
        <v>77.900000000000006</v>
      </c>
      <c r="S658" s="149">
        <v>78</v>
      </c>
      <c r="T658" s="150">
        <v>15766</v>
      </c>
      <c r="U658" s="151">
        <v>1232727.6000000001</v>
      </c>
      <c r="V658" s="149">
        <v>85</v>
      </c>
      <c r="Z658" s="1">
        <v>44176</v>
      </c>
      <c r="AA658">
        <v>63.07</v>
      </c>
      <c r="AB658">
        <v>51857</v>
      </c>
      <c r="AC658">
        <v>96169</v>
      </c>
      <c r="AF658" s="1">
        <v>44176</v>
      </c>
      <c r="AG658">
        <v>73.83</v>
      </c>
      <c r="AJ658" s="156">
        <f t="shared" si="10"/>
        <v>0.14574021400514695</v>
      </c>
    </row>
    <row r="659" spans="1:36" x14ac:dyDescent="0.3">
      <c r="A659" s="152">
        <v>44302</v>
      </c>
      <c r="B659" s="153">
        <v>87</v>
      </c>
      <c r="C659" s="153">
        <v>87.2</v>
      </c>
      <c r="D659" s="153">
        <v>86.5</v>
      </c>
      <c r="E659" s="153">
        <v>86.8</v>
      </c>
      <c r="F659" s="154">
        <v>396255</v>
      </c>
      <c r="G659" s="155">
        <v>34447648.399999999</v>
      </c>
      <c r="H659" s="153">
        <v>143</v>
      </c>
      <c r="I659" s="155"/>
      <c r="J659" s="155"/>
      <c r="K659" s="155"/>
      <c r="L659" s="155"/>
      <c r="M659" s="155"/>
      <c r="N659" s="155"/>
      <c r="O659" s="148">
        <v>44302</v>
      </c>
      <c r="P659" s="149">
        <v>79</v>
      </c>
      <c r="Q659" s="149">
        <v>79</v>
      </c>
      <c r="R659" s="149">
        <v>78.099999999999994</v>
      </c>
      <c r="S659" s="149">
        <v>78.5</v>
      </c>
      <c r="T659" s="150">
        <v>9791</v>
      </c>
      <c r="U659" s="151">
        <v>768747.7</v>
      </c>
      <c r="V659" s="149">
        <v>46</v>
      </c>
      <c r="Z659" s="1">
        <v>44175</v>
      </c>
      <c r="AA659">
        <v>62.81</v>
      </c>
      <c r="AB659">
        <v>87440</v>
      </c>
      <c r="AC659">
        <v>94707</v>
      </c>
      <c r="AF659" s="1">
        <v>44175</v>
      </c>
      <c r="AG659">
        <v>73.739999999999995</v>
      </c>
      <c r="AJ659" s="156">
        <f t="shared" si="10"/>
        <v>0.14822348793056678</v>
      </c>
    </row>
    <row r="660" spans="1:36" x14ac:dyDescent="0.3">
      <c r="A660" s="152">
        <v>44301</v>
      </c>
      <c r="B660" s="153">
        <v>87.3</v>
      </c>
      <c r="C660" s="153">
        <v>87.3</v>
      </c>
      <c r="D660" s="153">
        <v>86.6</v>
      </c>
      <c r="E660" s="153">
        <v>87</v>
      </c>
      <c r="F660" s="154">
        <v>1825690</v>
      </c>
      <c r="G660" s="155">
        <v>158820523</v>
      </c>
      <c r="H660" s="153">
        <v>212</v>
      </c>
      <c r="I660" s="155"/>
      <c r="J660" s="155"/>
      <c r="K660" s="155"/>
      <c r="L660" s="155"/>
      <c r="M660" s="155"/>
      <c r="N660" s="155"/>
      <c r="O660" s="148">
        <v>44301</v>
      </c>
      <c r="P660" s="149">
        <v>78.900000000000006</v>
      </c>
      <c r="Q660" s="149">
        <v>79.3</v>
      </c>
      <c r="R660" s="149">
        <v>78.5</v>
      </c>
      <c r="S660" s="149">
        <v>78.5</v>
      </c>
      <c r="T660" s="150">
        <v>24900</v>
      </c>
      <c r="U660" s="151">
        <v>1961430.7</v>
      </c>
      <c r="V660" s="149">
        <v>79</v>
      </c>
      <c r="Z660" s="1">
        <v>44174</v>
      </c>
      <c r="AA660">
        <v>63.68</v>
      </c>
      <c r="AB660">
        <v>97138</v>
      </c>
      <c r="AC660">
        <v>89758</v>
      </c>
      <c r="AF660" s="1">
        <v>44174</v>
      </c>
      <c r="AG660">
        <v>74.010000000000005</v>
      </c>
      <c r="AJ660" s="156">
        <f t="shared" si="10"/>
        <v>0.1395757330090529</v>
      </c>
    </row>
    <row r="661" spans="1:36" x14ac:dyDescent="0.3">
      <c r="A661" s="152">
        <v>44298</v>
      </c>
      <c r="B661" s="153">
        <v>86.3</v>
      </c>
      <c r="C661" s="153">
        <v>87.3</v>
      </c>
      <c r="D661" s="153">
        <v>86.3</v>
      </c>
      <c r="E661" s="153">
        <v>87</v>
      </c>
      <c r="F661" s="154">
        <v>246647</v>
      </c>
      <c r="G661" s="155">
        <v>21394247.199999999</v>
      </c>
      <c r="H661" s="153">
        <v>192</v>
      </c>
      <c r="I661" s="155"/>
      <c r="J661" s="155"/>
      <c r="K661" s="155"/>
      <c r="L661" s="155"/>
      <c r="M661" s="155"/>
      <c r="N661" s="155"/>
      <c r="O661" s="148">
        <v>44298</v>
      </c>
      <c r="P661" s="149">
        <v>78.8</v>
      </c>
      <c r="Q661" s="149">
        <v>79.5</v>
      </c>
      <c r="R661" s="149">
        <v>78.8</v>
      </c>
      <c r="S661" s="149">
        <v>78.900000000000006</v>
      </c>
      <c r="T661" s="150">
        <v>3841</v>
      </c>
      <c r="U661" s="151">
        <v>303132.79999999999</v>
      </c>
      <c r="V661" s="149">
        <v>47</v>
      </c>
      <c r="Z661" s="1">
        <v>44173</v>
      </c>
      <c r="AA661">
        <v>64.38</v>
      </c>
      <c r="AB661">
        <v>332166</v>
      </c>
      <c r="AC661">
        <v>83958</v>
      </c>
      <c r="AF661" s="1">
        <v>44173</v>
      </c>
      <c r="AG661">
        <v>75.17</v>
      </c>
      <c r="AJ661" s="156">
        <f t="shared" si="10"/>
        <v>0.14354130637222304</v>
      </c>
    </row>
    <row r="662" spans="1:36" x14ac:dyDescent="0.3">
      <c r="A662" s="152">
        <v>44295</v>
      </c>
      <c r="B662" s="153">
        <v>85.9</v>
      </c>
      <c r="C662" s="153">
        <v>86.4</v>
      </c>
      <c r="D662" s="153">
        <v>85.7</v>
      </c>
      <c r="E662" s="153">
        <v>86.1</v>
      </c>
      <c r="F662" s="154">
        <v>216409</v>
      </c>
      <c r="G662" s="155">
        <v>18610127.399999999</v>
      </c>
      <c r="H662" s="153">
        <v>211</v>
      </c>
      <c r="I662" s="155"/>
      <c r="J662" s="155"/>
      <c r="K662" s="155"/>
      <c r="L662" s="155"/>
      <c r="M662" s="155"/>
      <c r="N662" s="155"/>
      <c r="O662" s="148">
        <v>44295</v>
      </c>
      <c r="P662" s="149">
        <v>79.7</v>
      </c>
      <c r="Q662" s="149">
        <v>79.7</v>
      </c>
      <c r="R662" s="149">
        <v>78.599999999999994</v>
      </c>
      <c r="S662" s="149">
        <v>79</v>
      </c>
      <c r="T662" s="150">
        <v>52980</v>
      </c>
      <c r="U662" s="151">
        <v>4197916.0999999996</v>
      </c>
      <c r="V662" s="149">
        <v>116</v>
      </c>
      <c r="Z662" s="1">
        <v>44172</v>
      </c>
      <c r="AA662">
        <v>62.89</v>
      </c>
      <c r="AB662">
        <v>235073</v>
      </c>
      <c r="AC662">
        <v>64787</v>
      </c>
      <c r="AF662" s="1">
        <v>44172</v>
      </c>
      <c r="AG662">
        <v>74.19</v>
      </c>
      <c r="AJ662" s="156">
        <f t="shared" si="10"/>
        <v>0.15231163229545758</v>
      </c>
    </row>
    <row r="663" spans="1:36" x14ac:dyDescent="0.3">
      <c r="A663" s="152">
        <v>44294</v>
      </c>
      <c r="B663" s="153">
        <v>85.6</v>
      </c>
      <c r="C663" s="153">
        <v>86</v>
      </c>
      <c r="D663" s="153">
        <v>85</v>
      </c>
      <c r="E663" s="153">
        <v>85.7</v>
      </c>
      <c r="F663" s="154">
        <v>355536</v>
      </c>
      <c r="G663" s="155">
        <v>30436967.5</v>
      </c>
      <c r="H663" s="153">
        <v>196</v>
      </c>
      <c r="I663" s="155"/>
      <c r="J663" s="155"/>
      <c r="K663" s="155"/>
      <c r="L663" s="155"/>
      <c r="M663" s="155"/>
      <c r="N663" s="155"/>
      <c r="O663" s="148">
        <v>44294</v>
      </c>
      <c r="P663" s="149">
        <v>78.900000000000006</v>
      </c>
      <c r="Q663" s="149">
        <v>79.8</v>
      </c>
      <c r="R663" s="149">
        <v>78.900000000000006</v>
      </c>
      <c r="S663" s="149">
        <v>79.599999999999994</v>
      </c>
      <c r="T663" s="150">
        <v>23209</v>
      </c>
      <c r="U663" s="151">
        <v>1845752.7</v>
      </c>
      <c r="V663" s="149">
        <v>45</v>
      </c>
      <c r="Z663" s="1">
        <v>44169</v>
      </c>
      <c r="AA663">
        <v>60.44</v>
      </c>
      <c r="AB663">
        <v>131725</v>
      </c>
      <c r="AC663">
        <v>49274</v>
      </c>
      <c r="AF663" s="1">
        <v>44169</v>
      </c>
      <c r="AG663">
        <v>72.760000000000005</v>
      </c>
      <c r="AJ663" s="156">
        <f t="shared" si="10"/>
        <v>0.16932380428807045</v>
      </c>
    </row>
    <row r="664" spans="1:36" x14ac:dyDescent="0.3">
      <c r="A664" s="152">
        <v>44293</v>
      </c>
      <c r="B664" s="153">
        <v>85.5</v>
      </c>
      <c r="C664" s="153">
        <v>86.6</v>
      </c>
      <c r="D664" s="153">
        <v>85.4</v>
      </c>
      <c r="E664" s="153">
        <v>85.6</v>
      </c>
      <c r="F664" s="154">
        <v>201247</v>
      </c>
      <c r="G664" s="155">
        <v>17240643.899999999</v>
      </c>
      <c r="H664" s="153">
        <v>173</v>
      </c>
      <c r="I664" s="155"/>
      <c r="J664" s="155"/>
      <c r="K664" s="155"/>
      <c r="L664" s="155"/>
      <c r="M664" s="155"/>
      <c r="N664" s="155"/>
      <c r="O664" s="148">
        <v>44293</v>
      </c>
      <c r="P664" s="149">
        <v>78.900000000000006</v>
      </c>
      <c r="Q664" s="149">
        <v>79.599999999999994</v>
      </c>
      <c r="R664" s="149">
        <v>78.2</v>
      </c>
      <c r="S664" s="149">
        <v>78.900000000000006</v>
      </c>
      <c r="T664" s="150">
        <v>14601</v>
      </c>
      <c r="U664" s="151">
        <v>1153576.6000000001</v>
      </c>
      <c r="V664" s="149">
        <v>42</v>
      </c>
      <c r="Z664" s="1">
        <v>44168</v>
      </c>
      <c r="AA664">
        <v>60.44</v>
      </c>
      <c r="AB664">
        <v>35076</v>
      </c>
      <c r="AC664">
        <v>46701</v>
      </c>
      <c r="AF664" s="1">
        <v>44168</v>
      </c>
      <c r="AG664">
        <v>71.7</v>
      </c>
      <c r="AJ664" s="156">
        <f t="shared" si="10"/>
        <v>0.15704323570432363</v>
      </c>
    </row>
    <row r="665" spans="1:36" x14ac:dyDescent="0.3">
      <c r="A665" s="152">
        <v>44292</v>
      </c>
      <c r="B665" s="153">
        <v>84.7</v>
      </c>
      <c r="C665" s="153">
        <v>86.2</v>
      </c>
      <c r="D665" s="153">
        <v>84.6</v>
      </c>
      <c r="E665" s="153">
        <v>85.7</v>
      </c>
      <c r="F665" s="154">
        <v>287570</v>
      </c>
      <c r="G665" s="155">
        <v>24620284.300000001</v>
      </c>
      <c r="H665" s="153">
        <v>138</v>
      </c>
      <c r="I665" s="155"/>
      <c r="J665" s="155"/>
      <c r="K665" s="155"/>
      <c r="L665" s="155"/>
      <c r="M665" s="155"/>
      <c r="N665" s="155"/>
      <c r="O665" s="148">
        <v>44292</v>
      </c>
      <c r="P665" s="149">
        <v>77.099999999999994</v>
      </c>
      <c r="Q665" s="149">
        <v>79.5</v>
      </c>
      <c r="R665" s="149">
        <v>77.099999999999994</v>
      </c>
      <c r="S665" s="149">
        <v>78.900000000000006</v>
      </c>
      <c r="T665" s="150">
        <v>9474</v>
      </c>
      <c r="U665" s="151">
        <v>748440.2</v>
      </c>
      <c r="V665" s="149">
        <v>45</v>
      </c>
      <c r="Z665" s="1">
        <v>44167</v>
      </c>
      <c r="AA665">
        <v>60.44</v>
      </c>
      <c r="AB665">
        <v>150383</v>
      </c>
      <c r="AC665">
        <v>48570</v>
      </c>
      <c r="AF665" s="1">
        <v>44167</v>
      </c>
      <c r="AG665">
        <v>71.61</v>
      </c>
      <c r="AJ665" s="156">
        <f t="shared" si="10"/>
        <v>0.1559838011450915</v>
      </c>
    </row>
    <row r="666" spans="1:36" x14ac:dyDescent="0.3">
      <c r="A666" s="152">
        <v>44291</v>
      </c>
      <c r="B666" s="153">
        <v>85.6</v>
      </c>
      <c r="C666" s="153">
        <v>85.9</v>
      </c>
      <c r="D666" s="153">
        <v>84.5</v>
      </c>
      <c r="E666" s="153">
        <v>84.7</v>
      </c>
      <c r="F666" s="154">
        <v>278735</v>
      </c>
      <c r="G666" s="155">
        <v>23602454.699999999</v>
      </c>
      <c r="H666" s="153">
        <v>221</v>
      </c>
      <c r="I666" s="155"/>
      <c r="J666" s="155"/>
      <c r="K666" s="155"/>
      <c r="L666" s="155"/>
      <c r="M666" s="155"/>
      <c r="N666" s="155"/>
      <c r="O666" s="148">
        <v>44291</v>
      </c>
      <c r="P666" s="149">
        <v>79.3</v>
      </c>
      <c r="Q666" s="149">
        <v>79.900000000000006</v>
      </c>
      <c r="R666" s="149">
        <v>77</v>
      </c>
      <c r="S666" s="149">
        <v>77.099999999999994</v>
      </c>
      <c r="T666" s="150">
        <v>44911</v>
      </c>
      <c r="U666" s="151">
        <v>3467154.8</v>
      </c>
      <c r="V666" s="149">
        <v>85</v>
      </c>
      <c r="Z666" s="1">
        <v>44166</v>
      </c>
      <c r="AA666">
        <v>60.44</v>
      </c>
      <c r="AB666">
        <v>67446</v>
      </c>
      <c r="AC666">
        <v>43804</v>
      </c>
      <c r="AF666" s="1">
        <v>44166</v>
      </c>
      <c r="AG666">
        <v>71.430000000000007</v>
      </c>
      <c r="AJ666" s="156">
        <f t="shared" si="10"/>
        <v>0.15385692286154287</v>
      </c>
    </row>
    <row r="667" spans="1:36" x14ac:dyDescent="0.3">
      <c r="A667" s="152">
        <v>44287</v>
      </c>
      <c r="B667" s="153">
        <v>85.3</v>
      </c>
      <c r="C667" s="153">
        <v>86</v>
      </c>
      <c r="D667" s="153">
        <v>85</v>
      </c>
      <c r="E667" s="153">
        <v>85.6</v>
      </c>
      <c r="F667" s="154">
        <v>42383</v>
      </c>
      <c r="G667" s="155">
        <v>3626384.5</v>
      </c>
      <c r="H667" s="153">
        <v>161</v>
      </c>
      <c r="I667" s="155"/>
      <c r="J667" s="155"/>
      <c r="K667" s="155"/>
      <c r="L667" s="155"/>
      <c r="M667" s="155"/>
      <c r="N667" s="155"/>
      <c r="O667" s="148">
        <v>44287</v>
      </c>
      <c r="P667" s="149">
        <v>79</v>
      </c>
      <c r="Q667" s="149">
        <v>79.5</v>
      </c>
      <c r="R667" s="149">
        <v>77.5</v>
      </c>
      <c r="S667" s="149">
        <v>79</v>
      </c>
      <c r="T667" s="150">
        <v>6246</v>
      </c>
      <c r="U667" s="151">
        <v>490657.5</v>
      </c>
      <c r="V667" s="149">
        <v>40</v>
      </c>
      <c r="Z667" s="1">
        <v>44165</v>
      </c>
      <c r="AA667">
        <v>58.78</v>
      </c>
      <c r="AB667">
        <v>55778</v>
      </c>
      <c r="AC667">
        <v>43360</v>
      </c>
      <c r="AF667" s="1">
        <v>44165</v>
      </c>
      <c r="AG667">
        <v>70.099999999999994</v>
      </c>
      <c r="AJ667" s="156">
        <f t="shared" si="10"/>
        <v>0.16148359486447922</v>
      </c>
    </row>
    <row r="668" spans="1:36" x14ac:dyDescent="0.3">
      <c r="A668" s="152">
        <v>44286</v>
      </c>
      <c r="B668" s="153">
        <v>88</v>
      </c>
      <c r="C668" s="153">
        <v>88</v>
      </c>
      <c r="D668" s="153">
        <v>85.1</v>
      </c>
      <c r="E668" s="153">
        <v>85.5</v>
      </c>
      <c r="F668" s="154">
        <v>172363</v>
      </c>
      <c r="G668" s="155">
        <v>14849779.6</v>
      </c>
      <c r="H668" s="153">
        <v>391</v>
      </c>
      <c r="I668" s="155"/>
      <c r="J668" s="155"/>
      <c r="K668" s="155"/>
      <c r="L668" s="155"/>
      <c r="M668" s="155"/>
      <c r="N668" s="155"/>
      <c r="O668" s="148">
        <v>44286</v>
      </c>
      <c r="P668" s="149">
        <v>79</v>
      </c>
      <c r="Q668" s="149">
        <v>79.2</v>
      </c>
      <c r="R668" s="149">
        <v>74.400000000000006</v>
      </c>
      <c r="S668" s="149">
        <v>78.599999999999994</v>
      </c>
      <c r="T668" s="150">
        <v>41640</v>
      </c>
      <c r="U668" s="151">
        <v>3276463.3</v>
      </c>
      <c r="V668" s="149">
        <v>110</v>
      </c>
      <c r="Z668" s="1">
        <v>44162</v>
      </c>
      <c r="AA668">
        <v>58.69</v>
      </c>
      <c r="AB668">
        <v>36889</v>
      </c>
      <c r="AC668">
        <v>42336</v>
      </c>
      <c r="AF668" s="1">
        <v>44162</v>
      </c>
      <c r="AG668">
        <v>68.05</v>
      </c>
      <c r="AJ668" s="156">
        <f t="shared" si="10"/>
        <v>0.1375459221160911</v>
      </c>
    </row>
    <row r="669" spans="1:36" x14ac:dyDescent="0.3">
      <c r="A669" s="152">
        <v>44285</v>
      </c>
      <c r="B669" s="153">
        <v>90.8</v>
      </c>
      <c r="C669" s="153">
        <v>91</v>
      </c>
      <c r="D669" s="153">
        <v>90</v>
      </c>
      <c r="E669" s="153">
        <v>90.2</v>
      </c>
      <c r="F669" s="154">
        <v>909770</v>
      </c>
      <c r="G669" s="155">
        <v>82150501</v>
      </c>
      <c r="H669" s="153">
        <v>399</v>
      </c>
      <c r="I669" s="155"/>
      <c r="J669" s="155"/>
      <c r="K669" s="155"/>
      <c r="L669" s="155"/>
      <c r="M669" s="155"/>
      <c r="N669" s="155"/>
      <c r="O669" s="148">
        <v>44285</v>
      </c>
      <c r="P669" s="149">
        <v>84.5</v>
      </c>
      <c r="Q669" s="149">
        <v>84.8</v>
      </c>
      <c r="R669" s="149">
        <v>83.3</v>
      </c>
      <c r="S669" s="149">
        <v>83.9</v>
      </c>
      <c r="T669" s="150">
        <v>165553</v>
      </c>
      <c r="U669" s="151">
        <v>13894078.199999999</v>
      </c>
      <c r="V669" s="149">
        <v>137</v>
      </c>
      <c r="Z669" s="1">
        <v>44161</v>
      </c>
      <c r="AA669">
        <v>58.78</v>
      </c>
      <c r="AB669">
        <v>30737</v>
      </c>
      <c r="AC669">
        <v>42347</v>
      </c>
      <c r="AF669" s="1">
        <v>44161</v>
      </c>
      <c r="AG669">
        <v>68.05</v>
      </c>
      <c r="AJ669" s="156">
        <f t="shared" si="10"/>
        <v>0.13622336517266712</v>
      </c>
    </row>
    <row r="670" spans="1:36" x14ac:dyDescent="0.3">
      <c r="A670" s="152">
        <v>44284</v>
      </c>
      <c r="B670" s="153">
        <v>89</v>
      </c>
      <c r="C670" s="153">
        <v>92.5</v>
      </c>
      <c r="D670" s="153">
        <v>88.8</v>
      </c>
      <c r="E670" s="153">
        <v>90.8</v>
      </c>
      <c r="F670" s="154">
        <v>5840761</v>
      </c>
      <c r="G670" s="155">
        <v>515015045.30000001</v>
      </c>
      <c r="H670" s="153">
        <v>362</v>
      </c>
      <c r="I670" s="155"/>
      <c r="J670" s="155"/>
      <c r="K670" s="155"/>
      <c r="L670" s="155"/>
      <c r="M670" s="155"/>
      <c r="N670" s="155"/>
      <c r="O670" s="148">
        <v>44284</v>
      </c>
      <c r="P670" s="149">
        <v>83.9</v>
      </c>
      <c r="Q670" s="149">
        <v>84.2</v>
      </c>
      <c r="R670" s="149">
        <v>83.1</v>
      </c>
      <c r="S670" s="149">
        <v>84</v>
      </c>
      <c r="T670" s="150">
        <v>38049</v>
      </c>
      <c r="U670" s="151">
        <v>3194666.1</v>
      </c>
      <c r="V670" s="149">
        <v>75</v>
      </c>
      <c r="Z670" s="1">
        <v>44160</v>
      </c>
      <c r="AA670">
        <v>57.9</v>
      </c>
      <c r="AB670">
        <v>24237</v>
      </c>
      <c r="AC670">
        <v>45886</v>
      </c>
      <c r="AF670" s="1">
        <v>44160</v>
      </c>
      <c r="AG670">
        <v>67.87</v>
      </c>
      <c r="AJ670" s="156">
        <f t="shared" si="10"/>
        <v>0.14689848239280986</v>
      </c>
    </row>
    <row r="671" spans="1:36" x14ac:dyDescent="0.3">
      <c r="A671" s="152">
        <v>44281</v>
      </c>
      <c r="B671" s="153">
        <v>89</v>
      </c>
      <c r="C671" s="153">
        <v>89.9</v>
      </c>
      <c r="D671" s="153">
        <v>87.5</v>
      </c>
      <c r="E671" s="153">
        <v>88.6</v>
      </c>
      <c r="F671" s="154">
        <v>290410</v>
      </c>
      <c r="G671" s="155">
        <v>25705962.199999999</v>
      </c>
      <c r="H671" s="153">
        <v>192</v>
      </c>
      <c r="I671" s="155"/>
      <c r="J671" s="155"/>
      <c r="K671" s="155"/>
      <c r="L671" s="155"/>
      <c r="M671" s="155"/>
      <c r="N671" s="155"/>
      <c r="O671" s="148">
        <v>44281</v>
      </c>
      <c r="P671" s="149">
        <v>83</v>
      </c>
      <c r="Q671" s="149">
        <v>84</v>
      </c>
      <c r="R671" s="149">
        <v>82.5</v>
      </c>
      <c r="S671" s="149">
        <v>83.1</v>
      </c>
      <c r="T671" s="150">
        <v>48445</v>
      </c>
      <c r="U671" s="151">
        <v>4035558.9</v>
      </c>
      <c r="V671" s="149">
        <v>85</v>
      </c>
      <c r="Z671" s="1">
        <v>44159</v>
      </c>
      <c r="AA671">
        <v>57.73</v>
      </c>
      <c r="AB671">
        <v>67190</v>
      </c>
      <c r="AC671">
        <v>44895</v>
      </c>
      <c r="AF671" s="1">
        <v>44159</v>
      </c>
      <c r="AG671">
        <v>68.14</v>
      </c>
      <c r="AJ671" s="156">
        <f t="shared" si="10"/>
        <v>0.1527737012034048</v>
      </c>
    </row>
    <row r="672" spans="1:36" x14ac:dyDescent="0.3">
      <c r="A672" s="152">
        <v>44280</v>
      </c>
      <c r="B672" s="153">
        <v>89.9</v>
      </c>
      <c r="C672" s="153">
        <v>89.9</v>
      </c>
      <c r="D672" s="153">
        <v>88</v>
      </c>
      <c r="E672" s="153">
        <v>89.1</v>
      </c>
      <c r="F672" s="154">
        <v>53513</v>
      </c>
      <c r="G672" s="155">
        <v>4767019</v>
      </c>
      <c r="H672" s="153">
        <v>131</v>
      </c>
      <c r="I672" s="155"/>
      <c r="J672" s="155"/>
      <c r="K672" s="155"/>
      <c r="L672" s="155"/>
      <c r="M672" s="155"/>
      <c r="N672" s="155"/>
      <c r="O672" s="148">
        <v>44280</v>
      </c>
      <c r="P672" s="149">
        <v>82.5</v>
      </c>
      <c r="Q672" s="149">
        <v>84</v>
      </c>
      <c r="R672" s="149">
        <v>82</v>
      </c>
      <c r="S672" s="149">
        <v>82.5</v>
      </c>
      <c r="T672" s="150">
        <v>18853</v>
      </c>
      <c r="U672" s="151">
        <v>1556558.5</v>
      </c>
      <c r="V672" s="149">
        <v>64</v>
      </c>
      <c r="Z672" s="1">
        <v>44158</v>
      </c>
      <c r="AA672">
        <v>58.25</v>
      </c>
      <c r="AB672">
        <v>39396</v>
      </c>
      <c r="AC672">
        <v>41662</v>
      </c>
      <c r="AF672" s="1">
        <v>44158</v>
      </c>
      <c r="AG672">
        <v>68.05</v>
      </c>
      <c r="AJ672" s="156">
        <f t="shared" si="10"/>
        <v>0.14401175606171929</v>
      </c>
    </row>
    <row r="673" spans="1:36" x14ac:dyDescent="0.3">
      <c r="A673" s="152">
        <v>44279</v>
      </c>
      <c r="B673" s="153">
        <v>87.7</v>
      </c>
      <c r="C673" s="153">
        <v>90</v>
      </c>
      <c r="D673" s="153">
        <v>87</v>
      </c>
      <c r="E673" s="153">
        <v>89.6</v>
      </c>
      <c r="F673" s="154">
        <v>165842</v>
      </c>
      <c r="G673" s="155">
        <v>14743793</v>
      </c>
      <c r="H673" s="153">
        <v>158</v>
      </c>
      <c r="I673" s="155"/>
      <c r="J673" s="155"/>
      <c r="K673" s="155"/>
      <c r="L673" s="155"/>
      <c r="M673" s="155"/>
      <c r="N673" s="155"/>
      <c r="O673" s="148">
        <v>44279</v>
      </c>
      <c r="P673" s="149">
        <v>80.400000000000006</v>
      </c>
      <c r="Q673" s="149">
        <v>82.4</v>
      </c>
      <c r="R673" s="149">
        <v>80.400000000000006</v>
      </c>
      <c r="S673" s="149">
        <v>82</v>
      </c>
      <c r="T673" s="150">
        <v>23608</v>
      </c>
      <c r="U673" s="151">
        <v>1931009.1</v>
      </c>
      <c r="V673" s="149">
        <v>72</v>
      </c>
      <c r="Z673" s="1">
        <v>44155</v>
      </c>
      <c r="AA673">
        <v>58.34</v>
      </c>
      <c r="AB673">
        <v>29933</v>
      </c>
      <c r="AC673">
        <v>39545</v>
      </c>
      <c r="AF673" s="1">
        <v>44155</v>
      </c>
      <c r="AG673">
        <v>67.69</v>
      </c>
      <c r="AJ673" s="156">
        <f t="shared" si="10"/>
        <v>0.13812970896735108</v>
      </c>
    </row>
    <row r="674" spans="1:36" x14ac:dyDescent="0.3">
      <c r="A674" s="152">
        <v>44278</v>
      </c>
      <c r="B674" s="153">
        <v>86.6</v>
      </c>
      <c r="C674" s="153">
        <v>87.7</v>
      </c>
      <c r="D674" s="153">
        <v>85.7</v>
      </c>
      <c r="E674" s="153">
        <v>87.2</v>
      </c>
      <c r="F674" s="154">
        <v>36693</v>
      </c>
      <c r="G674" s="155">
        <v>3171321.5</v>
      </c>
      <c r="H674" s="153">
        <v>95</v>
      </c>
      <c r="I674" s="155"/>
      <c r="J674" s="155"/>
      <c r="K674" s="155"/>
      <c r="L674" s="155"/>
      <c r="M674" s="155"/>
      <c r="N674" s="155"/>
      <c r="O674" s="148">
        <v>44278</v>
      </c>
      <c r="P674" s="149">
        <v>80.5</v>
      </c>
      <c r="Q674" s="149">
        <v>80.599999999999994</v>
      </c>
      <c r="R674" s="149">
        <v>80.099999999999994</v>
      </c>
      <c r="S674" s="149">
        <v>80.400000000000006</v>
      </c>
      <c r="T674" s="150">
        <v>6772</v>
      </c>
      <c r="U674" s="151">
        <v>544837.4</v>
      </c>
      <c r="V674" s="149">
        <v>29</v>
      </c>
      <c r="Z674" s="1">
        <v>44154</v>
      </c>
      <c r="AA674">
        <v>58.6</v>
      </c>
      <c r="AB674">
        <v>13204</v>
      </c>
      <c r="AC674">
        <v>45787</v>
      </c>
      <c r="AF674" s="1">
        <v>44154</v>
      </c>
      <c r="AG674">
        <v>67.61</v>
      </c>
      <c r="AJ674" s="156">
        <f t="shared" si="10"/>
        <v>0.1332643100133116</v>
      </c>
    </row>
    <row r="675" spans="1:36" x14ac:dyDescent="0.3">
      <c r="A675" s="152">
        <v>44277</v>
      </c>
      <c r="B675" s="153">
        <v>86.5</v>
      </c>
      <c r="C675" s="153">
        <v>86.9</v>
      </c>
      <c r="D675" s="153">
        <v>86</v>
      </c>
      <c r="E675" s="153">
        <v>86.4</v>
      </c>
      <c r="F675" s="154">
        <v>80914</v>
      </c>
      <c r="G675" s="155">
        <v>7000401.0999999996</v>
      </c>
      <c r="H675" s="153">
        <v>134</v>
      </c>
      <c r="I675" s="155"/>
      <c r="J675" s="155"/>
      <c r="K675" s="155"/>
      <c r="L675" s="155"/>
      <c r="M675" s="155"/>
      <c r="N675" s="155"/>
      <c r="O675" s="148">
        <v>44277</v>
      </c>
      <c r="P675" s="149">
        <v>79.900000000000006</v>
      </c>
      <c r="Q675" s="149">
        <v>80.8</v>
      </c>
      <c r="R675" s="149">
        <v>79.900000000000006</v>
      </c>
      <c r="S675" s="149">
        <v>80.3</v>
      </c>
      <c r="T675" s="150">
        <v>10335</v>
      </c>
      <c r="U675" s="151">
        <v>827992.2</v>
      </c>
      <c r="V675" s="149">
        <v>39</v>
      </c>
      <c r="Z675" s="1">
        <v>44153</v>
      </c>
      <c r="AA675">
        <v>58.16</v>
      </c>
      <c r="AB675">
        <v>10136</v>
      </c>
      <c r="AC675">
        <v>47620</v>
      </c>
      <c r="AF675" s="1">
        <v>44153</v>
      </c>
      <c r="AG675">
        <v>67.69</v>
      </c>
      <c r="AJ675" s="156">
        <f t="shared" si="10"/>
        <v>0.14078889053035901</v>
      </c>
    </row>
    <row r="676" spans="1:36" x14ac:dyDescent="0.3">
      <c r="A676" s="152">
        <v>44274</v>
      </c>
      <c r="B676" s="153">
        <v>85.1</v>
      </c>
      <c r="C676" s="153">
        <v>86.7</v>
      </c>
      <c r="D676" s="153">
        <v>85.1</v>
      </c>
      <c r="E676" s="153">
        <v>86.5</v>
      </c>
      <c r="F676" s="154">
        <v>91288</v>
      </c>
      <c r="G676" s="155">
        <v>7834779</v>
      </c>
      <c r="H676" s="153">
        <v>124</v>
      </c>
      <c r="I676" s="155"/>
      <c r="J676" s="155"/>
      <c r="K676" s="155"/>
      <c r="L676" s="155"/>
      <c r="M676" s="155"/>
      <c r="N676" s="155"/>
      <c r="O676" s="148">
        <v>44274</v>
      </c>
      <c r="P676" s="149">
        <v>80.5</v>
      </c>
      <c r="Q676" s="149">
        <v>80.8</v>
      </c>
      <c r="R676" s="149">
        <v>79</v>
      </c>
      <c r="S676" s="149">
        <v>79.3</v>
      </c>
      <c r="T676" s="150">
        <v>37849</v>
      </c>
      <c r="U676" s="151">
        <v>3010054</v>
      </c>
      <c r="V676" s="149">
        <v>93</v>
      </c>
      <c r="Z676" s="1">
        <v>44152</v>
      </c>
      <c r="AA676">
        <v>58.08</v>
      </c>
      <c r="AB676">
        <v>44605</v>
      </c>
      <c r="AC676">
        <v>47968</v>
      </c>
      <c r="AF676" s="1">
        <v>44152</v>
      </c>
      <c r="AG676">
        <v>67.16</v>
      </c>
      <c r="AJ676" s="156">
        <f t="shared" si="10"/>
        <v>0.13519952352590825</v>
      </c>
    </row>
    <row r="677" spans="1:36" x14ac:dyDescent="0.3">
      <c r="A677" s="152">
        <v>44273</v>
      </c>
      <c r="B677" s="153">
        <v>86.8</v>
      </c>
      <c r="C677" s="153">
        <v>86.8</v>
      </c>
      <c r="D677" s="153">
        <v>85</v>
      </c>
      <c r="E677" s="153">
        <v>85.8</v>
      </c>
      <c r="F677" s="154">
        <v>453918</v>
      </c>
      <c r="G677" s="155">
        <v>38657653.299999997</v>
      </c>
      <c r="H677" s="153">
        <v>168</v>
      </c>
      <c r="I677" s="155"/>
      <c r="J677" s="155"/>
      <c r="K677" s="155"/>
      <c r="L677" s="155"/>
      <c r="M677" s="155"/>
      <c r="N677" s="155"/>
      <c r="O677" s="148">
        <v>44273</v>
      </c>
      <c r="P677" s="149">
        <v>81.599999999999994</v>
      </c>
      <c r="Q677" s="149">
        <v>81.599999999999994</v>
      </c>
      <c r="R677" s="149">
        <v>79.7</v>
      </c>
      <c r="S677" s="149">
        <v>80.5</v>
      </c>
      <c r="T677" s="150">
        <v>38004</v>
      </c>
      <c r="U677" s="151">
        <v>3055701.5</v>
      </c>
      <c r="V677" s="149">
        <v>42</v>
      </c>
      <c r="Z677" s="1">
        <v>44151</v>
      </c>
      <c r="AA677">
        <v>58.34</v>
      </c>
      <c r="AB677">
        <v>2371</v>
      </c>
      <c r="AC677">
        <v>46597</v>
      </c>
      <c r="AF677" s="1">
        <v>44151</v>
      </c>
      <c r="AG677">
        <v>67.69</v>
      </c>
      <c r="AJ677" s="156">
        <f t="shared" si="10"/>
        <v>0.13812970896735108</v>
      </c>
    </row>
    <row r="678" spans="1:36" x14ac:dyDescent="0.3">
      <c r="A678" s="152">
        <v>44272</v>
      </c>
      <c r="B678" s="153">
        <v>87.4</v>
      </c>
      <c r="C678" s="153">
        <v>87.5</v>
      </c>
      <c r="D678" s="153">
        <v>85.1</v>
      </c>
      <c r="E678" s="153">
        <v>86</v>
      </c>
      <c r="F678" s="154">
        <v>94193</v>
      </c>
      <c r="G678" s="155">
        <v>8145432.5</v>
      </c>
      <c r="H678" s="153">
        <v>141</v>
      </c>
      <c r="I678" s="155"/>
      <c r="J678" s="155"/>
      <c r="K678" s="155"/>
      <c r="L678" s="155"/>
      <c r="M678" s="155"/>
      <c r="N678" s="155"/>
      <c r="O678" s="148">
        <v>44272</v>
      </c>
      <c r="P678" s="149">
        <v>81.7</v>
      </c>
      <c r="Q678" s="149">
        <v>81.7</v>
      </c>
      <c r="R678" s="149">
        <v>79</v>
      </c>
      <c r="S678" s="149">
        <v>79.7</v>
      </c>
      <c r="T678" s="150">
        <v>47725</v>
      </c>
      <c r="U678" s="151">
        <v>3834253.1</v>
      </c>
      <c r="V678" s="149">
        <v>93</v>
      </c>
      <c r="Z678" s="1">
        <v>44148</v>
      </c>
      <c r="AA678">
        <v>58.16</v>
      </c>
      <c r="AB678">
        <v>93133</v>
      </c>
      <c r="AC678">
        <v>48371</v>
      </c>
      <c r="AF678" s="1">
        <v>44148</v>
      </c>
      <c r="AG678">
        <v>68.489999999999995</v>
      </c>
      <c r="AJ678" s="156">
        <f t="shared" si="10"/>
        <v>0.15082493794714555</v>
      </c>
    </row>
    <row r="679" spans="1:36" x14ac:dyDescent="0.3">
      <c r="A679" s="152">
        <v>44271</v>
      </c>
      <c r="B679" s="153">
        <v>87.7</v>
      </c>
      <c r="C679" s="153">
        <v>87.9</v>
      </c>
      <c r="D679" s="153">
        <v>86.3</v>
      </c>
      <c r="E679" s="153">
        <v>87.2</v>
      </c>
      <c r="F679" s="154">
        <v>51020</v>
      </c>
      <c r="G679" s="155">
        <v>4444584.8</v>
      </c>
      <c r="H679" s="153">
        <v>92</v>
      </c>
      <c r="I679" s="155"/>
      <c r="J679" s="155"/>
      <c r="K679" s="155"/>
      <c r="L679" s="155"/>
      <c r="M679" s="155"/>
      <c r="N679" s="155"/>
      <c r="O679" s="148">
        <v>44271</v>
      </c>
      <c r="P679" s="149">
        <v>80</v>
      </c>
      <c r="Q679" s="149">
        <v>81.400000000000006</v>
      </c>
      <c r="R679" s="149">
        <v>80</v>
      </c>
      <c r="S679" s="149">
        <v>81</v>
      </c>
      <c r="T679" s="150">
        <v>43488</v>
      </c>
      <c r="U679" s="151">
        <v>3503739.1</v>
      </c>
      <c r="V679" s="149">
        <v>45</v>
      </c>
      <c r="Z679" s="1">
        <v>44147</v>
      </c>
      <c r="AA679">
        <v>58.43</v>
      </c>
      <c r="AB679">
        <v>63113</v>
      </c>
      <c r="AC679">
        <v>44713</v>
      </c>
      <c r="AF679" s="1">
        <v>44147</v>
      </c>
      <c r="AG679">
        <v>68.489999999999995</v>
      </c>
      <c r="AJ679" s="156">
        <f t="shared" si="10"/>
        <v>0.14688275660680386</v>
      </c>
    </row>
    <row r="680" spans="1:36" x14ac:dyDescent="0.3">
      <c r="A680" s="152">
        <v>44270</v>
      </c>
      <c r="B680" s="153">
        <v>87.5</v>
      </c>
      <c r="C680" s="153">
        <v>90</v>
      </c>
      <c r="D680" s="153">
        <v>87</v>
      </c>
      <c r="E680" s="153">
        <v>87.7</v>
      </c>
      <c r="F680" s="154">
        <v>245291</v>
      </c>
      <c r="G680" s="155">
        <v>21982302.600000001</v>
      </c>
      <c r="H680" s="153">
        <v>122</v>
      </c>
      <c r="I680" s="155"/>
      <c r="J680" s="155"/>
      <c r="K680" s="155"/>
      <c r="L680" s="155"/>
      <c r="M680" s="155"/>
      <c r="N680" s="155"/>
      <c r="O680" s="148">
        <v>44270</v>
      </c>
      <c r="P680" s="149">
        <v>80.5</v>
      </c>
      <c r="Q680" s="149">
        <v>81</v>
      </c>
      <c r="R680" s="149">
        <v>80</v>
      </c>
      <c r="S680" s="149">
        <v>80.099999999999994</v>
      </c>
      <c r="T680" s="150">
        <v>58834</v>
      </c>
      <c r="U680" s="151">
        <v>4710940.8</v>
      </c>
      <c r="V680" s="149">
        <v>85</v>
      </c>
      <c r="Z680" s="1">
        <v>44146</v>
      </c>
      <c r="AA680">
        <v>60.35</v>
      </c>
      <c r="AB680">
        <v>78888</v>
      </c>
      <c r="AC680">
        <v>47132</v>
      </c>
      <c r="AF680" s="1">
        <v>44146</v>
      </c>
      <c r="AG680">
        <v>70.27</v>
      </c>
      <c r="AJ680" s="156">
        <f t="shared" si="10"/>
        <v>0.14116977372989889</v>
      </c>
    </row>
    <row r="681" spans="1:36" x14ac:dyDescent="0.3">
      <c r="A681" s="152">
        <v>44267</v>
      </c>
      <c r="B681" s="153">
        <v>86</v>
      </c>
      <c r="C681" s="153">
        <v>88</v>
      </c>
      <c r="D681" s="153">
        <v>86</v>
      </c>
      <c r="E681" s="153">
        <v>86.9</v>
      </c>
      <c r="F681" s="154">
        <v>254266</v>
      </c>
      <c r="G681" s="155">
        <v>22178171.199999999</v>
      </c>
      <c r="H681" s="153">
        <v>106</v>
      </c>
      <c r="I681" s="155"/>
      <c r="J681" s="155"/>
      <c r="K681" s="155"/>
      <c r="L681" s="155"/>
      <c r="M681" s="155"/>
      <c r="N681" s="155"/>
      <c r="O681" s="148">
        <v>44267</v>
      </c>
      <c r="P681" s="149">
        <v>81.5</v>
      </c>
      <c r="Q681" s="149">
        <v>81.900000000000006</v>
      </c>
      <c r="R681" s="149">
        <v>80</v>
      </c>
      <c r="S681" s="149">
        <v>81.599999999999994</v>
      </c>
      <c r="T681" s="150">
        <v>32692</v>
      </c>
      <c r="U681" s="151">
        <v>2643960.9</v>
      </c>
      <c r="V681" s="149">
        <v>54</v>
      </c>
      <c r="Z681" s="1">
        <v>44145</v>
      </c>
      <c r="AA681">
        <v>59.74</v>
      </c>
      <c r="AB681">
        <v>60797</v>
      </c>
      <c r="AC681">
        <v>44266</v>
      </c>
      <c r="AF681" s="1">
        <v>44145</v>
      </c>
      <c r="AG681">
        <v>69.47</v>
      </c>
      <c r="AJ681" s="156">
        <f t="shared" si="10"/>
        <v>0.14006045775154738</v>
      </c>
    </row>
    <row r="682" spans="1:36" x14ac:dyDescent="0.3">
      <c r="A682" s="152">
        <v>44265</v>
      </c>
      <c r="B682" s="153">
        <v>88.9</v>
      </c>
      <c r="C682" s="153">
        <v>88.9</v>
      </c>
      <c r="D682" s="153">
        <v>85.7</v>
      </c>
      <c r="E682" s="153">
        <v>86.1</v>
      </c>
      <c r="F682" s="154">
        <v>150700</v>
      </c>
      <c r="G682" s="155">
        <v>13029653.1</v>
      </c>
      <c r="H682" s="153">
        <v>187</v>
      </c>
      <c r="I682" s="155"/>
      <c r="J682" s="155"/>
      <c r="K682" s="155"/>
      <c r="L682" s="155"/>
      <c r="M682" s="155"/>
      <c r="N682" s="155"/>
      <c r="O682" s="148">
        <v>44265</v>
      </c>
      <c r="P682" s="149">
        <v>81.3</v>
      </c>
      <c r="Q682" s="149">
        <v>81.599999999999994</v>
      </c>
      <c r="R682" s="149">
        <v>79.900000000000006</v>
      </c>
      <c r="S682" s="149">
        <v>80</v>
      </c>
      <c r="T682" s="150">
        <v>41822</v>
      </c>
      <c r="U682" s="151">
        <v>3360348.2</v>
      </c>
      <c r="V682" s="149">
        <v>110</v>
      </c>
      <c r="Z682" s="1">
        <v>44144</v>
      </c>
      <c r="AA682">
        <v>58.86</v>
      </c>
      <c r="AB682">
        <v>40405</v>
      </c>
      <c r="AC682">
        <v>42548</v>
      </c>
      <c r="AF682" s="1">
        <v>44144</v>
      </c>
      <c r="AG682">
        <v>66.8</v>
      </c>
      <c r="AJ682" s="156">
        <f t="shared" si="10"/>
        <v>0.11886227544910177</v>
      </c>
    </row>
    <row r="683" spans="1:36" x14ac:dyDescent="0.3">
      <c r="A683" s="152">
        <v>44264</v>
      </c>
      <c r="B683" s="153">
        <v>87</v>
      </c>
      <c r="C683" s="153">
        <v>89.9</v>
      </c>
      <c r="D683" s="153">
        <v>87</v>
      </c>
      <c r="E683" s="153">
        <v>88.1</v>
      </c>
      <c r="F683" s="154">
        <v>102705</v>
      </c>
      <c r="G683" s="155">
        <v>9063027.6999999993</v>
      </c>
      <c r="H683" s="153">
        <v>180</v>
      </c>
      <c r="I683" s="155"/>
      <c r="J683" s="155"/>
      <c r="K683" s="155"/>
      <c r="L683" s="155"/>
      <c r="M683" s="155"/>
      <c r="N683" s="155"/>
      <c r="O683" s="148">
        <v>44264</v>
      </c>
      <c r="P683" s="149">
        <v>81.900000000000006</v>
      </c>
      <c r="Q683" s="149">
        <v>81.900000000000006</v>
      </c>
      <c r="R683" s="149">
        <v>81</v>
      </c>
      <c r="S683" s="149">
        <v>81.5</v>
      </c>
      <c r="T683" s="150">
        <v>52995</v>
      </c>
      <c r="U683" s="151">
        <v>4324403.9000000004</v>
      </c>
      <c r="V683" s="149">
        <v>113</v>
      </c>
      <c r="Z683" s="1">
        <v>44141</v>
      </c>
      <c r="AA683">
        <v>58.69</v>
      </c>
      <c r="AB683">
        <v>37067</v>
      </c>
      <c r="AC683">
        <v>45077</v>
      </c>
      <c r="AF683" s="1">
        <v>44141</v>
      </c>
      <c r="AG683">
        <v>66.8</v>
      </c>
      <c r="AJ683" s="156">
        <f t="shared" si="10"/>
        <v>0.12140718562874252</v>
      </c>
    </row>
    <row r="684" spans="1:36" x14ac:dyDescent="0.3">
      <c r="A684" s="152">
        <v>44263</v>
      </c>
      <c r="B684" s="153">
        <v>85</v>
      </c>
      <c r="C684" s="153">
        <v>87</v>
      </c>
      <c r="D684" s="153">
        <v>84.8</v>
      </c>
      <c r="E684" s="153">
        <v>86.2</v>
      </c>
      <c r="F684" s="154">
        <v>515719</v>
      </c>
      <c r="G684" s="155">
        <v>44049828.5</v>
      </c>
      <c r="H684" s="153">
        <v>280</v>
      </c>
      <c r="I684" s="155"/>
      <c r="J684" s="155"/>
      <c r="K684" s="155"/>
      <c r="L684" s="155"/>
      <c r="M684" s="155"/>
      <c r="N684" s="155"/>
      <c r="O684" s="148">
        <v>44263</v>
      </c>
      <c r="P684" s="149">
        <v>80.099999999999994</v>
      </c>
      <c r="Q684" s="149">
        <v>81.5</v>
      </c>
      <c r="R684" s="149">
        <v>80</v>
      </c>
      <c r="S684" s="149">
        <v>81.400000000000006</v>
      </c>
      <c r="T684" s="150">
        <v>27816</v>
      </c>
      <c r="U684" s="151">
        <v>2257380.1</v>
      </c>
      <c r="V684" s="149">
        <v>70</v>
      </c>
      <c r="Z684" s="1">
        <v>44140</v>
      </c>
      <c r="AA684">
        <v>56.85</v>
      </c>
      <c r="AB684">
        <v>83821</v>
      </c>
      <c r="AC684">
        <v>45414</v>
      </c>
      <c r="AF684" s="1">
        <v>44140</v>
      </c>
      <c r="AG684">
        <v>66.27</v>
      </c>
      <c r="AJ684" s="156">
        <f t="shared" si="10"/>
        <v>0.1421457673155273</v>
      </c>
    </row>
    <row r="685" spans="1:36" x14ac:dyDescent="0.3">
      <c r="A685" s="152">
        <v>44260</v>
      </c>
      <c r="B685" s="153">
        <v>85</v>
      </c>
      <c r="C685" s="153">
        <v>85.5</v>
      </c>
      <c r="D685" s="153">
        <v>83</v>
      </c>
      <c r="E685" s="153">
        <v>84.9</v>
      </c>
      <c r="F685" s="154">
        <v>354402</v>
      </c>
      <c r="G685" s="155">
        <v>29936880.699999999</v>
      </c>
      <c r="H685" s="153">
        <v>298</v>
      </c>
      <c r="I685" s="155"/>
      <c r="J685" s="155"/>
      <c r="K685" s="155"/>
      <c r="L685" s="155"/>
      <c r="M685" s="155"/>
      <c r="N685" s="155"/>
      <c r="O685" s="148">
        <v>44260</v>
      </c>
      <c r="P685" s="149">
        <v>80.599999999999994</v>
      </c>
      <c r="Q685" s="149">
        <v>81.400000000000006</v>
      </c>
      <c r="R685" s="149">
        <v>78.5</v>
      </c>
      <c r="S685" s="149">
        <v>79.400000000000006</v>
      </c>
      <c r="T685" s="150">
        <v>63143</v>
      </c>
      <c r="U685" s="151">
        <v>5033448.5</v>
      </c>
      <c r="V685" s="149">
        <v>84</v>
      </c>
      <c r="Z685" s="1">
        <v>44139</v>
      </c>
      <c r="AA685">
        <v>56.24</v>
      </c>
      <c r="AB685">
        <v>9370</v>
      </c>
      <c r="AC685">
        <v>44134</v>
      </c>
      <c r="AF685" s="1">
        <v>44139</v>
      </c>
      <c r="AG685">
        <v>66.27</v>
      </c>
      <c r="AJ685" s="156">
        <f t="shared" si="10"/>
        <v>0.15135053568733958</v>
      </c>
    </row>
    <row r="686" spans="1:36" x14ac:dyDescent="0.3">
      <c r="A686" s="152">
        <v>44259</v>
      </c>
      <c r="B686" s="153">
        <v>86</v>
      </c>
      <c r="C686" s="153">
        <v>86.2</v>
      </c>
      <c r="D686" s="153">
        <v>84.2</v>
      </c>
      <c r="E686" s="153">
        <v>84.5</v>
      </c>
      <c r="F686" s="154">
        <v>1424863</v>
      </c>
      <c r="G686" s="155">
        <v>120574988.8</v>
      </c>
      <c r="H686" s="153">
        <v>277</v>
      </c>
      <c r="I686" s="155"/>
      <c r="J686" s="155"/>
      <c r="K686" s="155"/>
      <c r="L686" s="155"/>
      <c r="M686" s="155"/>
      <c r="N686" s="155"/>
      <c r="O686" s="148">
        <v>44259</v>
      </c>
      <c r="P686" s="149">
        <v>81.5</v>
      </c>
      <c r="Q686" s="149">
        <v>81.5</v>
      </c>
      <c r="R686" s="149">
        <v>78</v>
      </c>
      <c r="S686" s="149">
        <v>78.2</v>
      </c>
      <c r="T686" s="150">
        <v>75780</v>
      </c>
      <c r="U686" s="151">
        <v>6008115.5</v>
      </c>
      <c r="V686" s="149">
        <v>158</v>
      </c>
      <c r="Z686" s="1">
        <v>44138</v>
      </c>
      <c r="AA686">
        <v>56.06</v>
      </c>
      <c r="AB686">
        <v>18696</v>
      </c>
      <c r="AC686">
        <v>45208</v>
      </c>
      <c r="AF686" s="1">
        <v>44138</v>
      </c>
      <c r="AG686">
        <v>65.38</v>
      </c>
      <c r="AJ686" s="156">
        <f t="shared" si="10"/>
        <v>0.14255123891098187</v>
      </c>
    </row>
    <row r="687" spans="1:36" x14ac:dyDescent="0.3">
      <c r="A687" s="152">
        <v>44258</v>
      </c>
      <c r="B687" s="153">
        <v>87</v>
      </c>
      <c r="C687" s="153">
        <v>87</v>
      </c>
      <c r="D687" s="153">
        <v>85.4</v>
      </c>
      <c r="E687" s="153">
        <v>85.8</v>
      </c>
      <c r="F687" s="154">
        <v>211342</v>
      </c>
      <c r="G687" s="155">
        <v>18174474.899999999</v>
      </c>
      <c r="H687" s="153">
        <v>282</v>
      </c>
      <c r="I687" s="155"/>
      <c r="J687" s="155"/>
      <c r="K687" s="155"/>
      <c r="L687" s="155"/>
      <c r="M687" s="155"/>
      <c r="N687" s="155"/>
      <c r="O687" s="148">
        <v>44258</v>
      </c>
      <c r="P687" s="149">
        <v>80.8</v>
      </c>
      <c r="Q687" s="149">
        <v>81.599999999999994</v>
      </c>
      <c r="R687" s="149">
        <v>79.5</v>
      </c>
      <c r="S687" s="149">
        <v>80</v>
      </c>
      <c r="T687" s="150">
        <v>78314</v>
      </c>
      <c r="U687" s="151">
        <v>6294026.0999999996</v>
      </c>
      <c r="V687" s="149">
        <v>126</v>
      </c>
      <c r="Z687" s="1">
        <v>44137</v>
      </c>
      <c r="AA687">
        <v>55.45</v>
      </c>
      <c r="AB687">
        <v>7633</v>
      </c>
      <c r="AC687">
        <v>45870</v>
      </c>
      <c r="AF687" s="1">
        <v>44137</v>
      </c>
      <c r="AG687">
        <v>64.94</v>
      </c>
      <c r="AJ687" s="156">
        <f t="shared" si="10"/>
        <v>0.14613489374807506</v>
      </c>
    </row>
    <row r="688" spans="1:36" x14ac:dyDescent="0.3">
      <c r="A688" s="152">
        <v>44257</v>
      </c>
      <c r="B688" s="153">
        <v>88.3</v>
      </c>
      <c r="C688" s="153">
        <v>88.3</v>
      </c>
      <c r="D688" s="153">
        <v>86.5</v>
      </c>
      <c r="E688" s="153">
        <v>86.8</v>
      </c>
      <c r="F688" s="154">
        <v>133727</v>
      </c>
      <c r="G688" s="155">
        <v>11647749.4</v>
      </c>
      <c r="H688" s="153">
        <v>246</v>
      </c>
      <c r="I688" s="155"/>
      <c r="J688" s="155"/>
      <c r="K688" s="155"/>
      <c r="L688" s="155"/>
      <c r="M688" s="155"/>
      <c r="N688" s="155"/>
      <c r="O688" s="148">
        <v>44257</v>
      </c>
      <c r="P688" s="149">
        <v>82</v>
      </c>
      <c r="Q688" s="149">
        <v>82</v>
      </c>
      <c r="R688" s="149">
        <v>80</v>
      </c>
      <c r="S688" s="149">
        <v>81</v>
      </c>
      <c r="T688" s="150">
        <v>38040</v>
      </c>
      <c r="U688" s="151">
        <v>3075239.5</v>
      </c>
      <c r="V688" s="149">
        <v>104</v>
      </c>
      <c r="Z688" s="1">
        <v>44133</v>
      </c>
      <c r="AA688">
        <v>55.97</v>
      </c>
      <c r="AB688">
        <v>123565</v>
      </c>
      <c r="AC688">
        <v>49450</v>
      </c>
      <c r="AF688" s="1">
        <v>44133</v>
      </c>
      <c r="AG688">
        <v>66.09</v>
      </c>
      <c r="AJ688" s="156">
        <f t="shared" si="10"/>
        <v>0.15312452715993349</v>
      </c>
    </row>
    <row r="689" spans="1:36" x14ac:dyDescent="0.3">
      <c r="A689" s="152">
        <v>44256</v>
      </c>
      <c r="B689" s="153">
        <v>88.8</v>
      </c>
      <c r="C689" s="153">
        <v>90.5</v>
      </c>
      <c r="D689" s="153">
        <v>88</v>
      </c>
      <c r="E689" s="153">
        <v>88.3</v>
      </c>
      <c r="F689" s="154">
        <v>559179</v>
      </c>
      <c r="G689" s="155">
        <v>49718825.600000001</v>
      </c>
      <c r="H689" s="153">
        <v>277</v>
      </c>
      <c r="I689" s="155"/>
      <c r="J689" s="155"/>
      <c r="K689" s="155"/>
      <c r="L689" s="155"/>
      <c r="M689" s="155"/>
      <c r="N689" s="155"/>
      <c r="O689" s="148">
        <v>44256</v>
      </c>
      <c r="P689" s="149">
        <v>82.5</v>
      </c>
      <c r="Q689" s="149">
        <v>82.5</v>
      </c>
      <c r="R689" s="149">
        <v>81.5</v>
      </c>
      <c r="S689" s="149">
        <v>81.900000000000006</v>
      </c>
      <c r="T689" s="150">
        <v>66254</v>
      </c>
      <c r="U689" s="151">
        <v>5440279.2000000002</v>
      </c>
      <c r="V689" s="149">
        <v>115</v>
      </c>
      <c r="Z689" s="1">
        <v>44132</v>
      </c>
      <c r="AA689">
        <v>55.27</v>
      </c>
      <c r="AB689">
        <v>40704</v>
      </c>
      <c r="AC689">
        <v>44338</v>
      </c>
      <c r="AF689" s="1">
        <v>44132</v>
      </c>
      <c r="AG689">
        <v>64.94</v>
      </c>
      <c r="AJ689" s="156">
        <f t="shared" si="10"/>
        <v>0.14890668309208493</v>
      </c>
    </row>
    <row r="690" spans="1:36" x14ac:dyDescent="0.3">
      <c r="A690" s="152">
        <v>44252</v>
      </c>
      <c r="B690" s="153">
        <v>89</v>
      </c>
      <c r="C690" s="153">
        <v>91</v>
      </c>
      <c r="D690" s="153">
        <v>87.7</v>
      </c>
      <c r="E690" s="153">
        <v>88.8</v>
      </c>
      <c r="F690" s="154">
        <v>835848</v>
      </c>
      <c r="G690" s="155">
        <v>74383240.099999994</v>
      </c>
      <c r="H690" s="153">
        <v>471</v>
      </c>
      <c r="I690" s="155"/>
      <c r="J690" s="155"/>
      <c r="K690" s="155"/>
      <c r="L690" s="155"/>
      <c r="M690" s="155"/>
      <c r="N690" s="155"/>
      <c r="O690" s="148">
        <v>44252</v>
      </c>
      <c r="P690" s="149">
        <v>78</v>
      </c>
      <c r="Q690" s="149">
        <v>87</v>
      </c>
      <c r="R690" s="149">
        <v>78</v>
      </c>
      <c r="S690" s="149">
        <v>81.400000000000006</v>
      </c>
      <c r="T690" s="150">
        <v>132920</v>
      </c>
      <c r="U690" s="151">
        <v>10821682.300000001</v>
      </c>
      <c r="V690" s="149">
        <v>197</v>
      </c>
      <c r="Z690" s="1">
        <v>44131</v>
      </c>
      <c r="AA690">
        <v>55.97</v>
      </c>
      <c r="AB690">
        <v>15345</v>
      </c>
      <c r="AC690">
        <v>44532</v>
      </c>
      <c r="AF690" s="1">
        <v>44131</v>
      </c>
      <c r="AG690">
        <v>65.650000000000006</v>
      </c>
      <c r="AJ690" s="156">
        <f t="shared" si="10"/>
        <v>0.14744859101294755</v>
      </c>
    </row>
    <row r="691" spans="1:36" x14ac:dyDescent="0.3">
      <c r="A691" s="152">
        <v>44251</v>
      </c>
      <c r="B691" s="153">
        <v>86</v>
      </c>
      <c r="C691" s="153">
        <v>86</v>
      </c>
      <c r="D691" s="153">
        <v>84.6</v>
      </c>
      <c r="E691" s="153">
        <v>85</v>
      </c>
      <c r="F691" s="154">
        <v>4249491</v>
      </c>
      <c r="G691" s="155">
        <v>361281574</v>
      </c>
      <c r="H691" s="153">
        <v>395</v>
      </c>
      <c r="I691" s="155"/>
      <c r="J691" s="155"/>
      <c r="K691" s="155"/>
      <c r="L691" s="155"/>
      <c r="M691" s="155"/>
      <c r="N691" s="155"/>
      <c r="O691" s="148">
        <v>44251</v>
      </c>
      <c r="P691" s="149">
        <v>75.5</v>
      </c>
      <c r="Q691" s="149">
        <v>77.8</v>
      </c>
      <c r="R691" s="149">
        <v>75</v>
      </c>
      <c r="S691" s="149">
        <v>76.5</v>
      </c>
      <c r="T691" s="150">
        <v>39776</v>
      </c>
      <c r="U691" s="151">
        <v>3000679.6</v>
      </c>
      <c r="V691" s="149">
        <v>58</v>
      </c>
      <c r="Z691" s="1">
        <v>44130</v>
      </c>
      <c r="AA691">
        <v>56.06</v>
      </c>
      <c r="AB691">
        <v>24049</v>
      </c>
      <c r="AC691">
        <v>58321</v>
      </c>
      <c r="AF691" s="1">
        <v>44130</v>
      </c>
      <c r="AG691">
        <v>65.739999999999995</v>
      </c>
      <c r="AJ691" s="156">
        <f t="shared" si="10"/>
        <v>0.14724672954061443</v>
      </c>
    </row>
    <row r="692" spans="1:36" x14ac:dyDescent="0.3">
      <c r="A692" s="152">
        <v>44250</v>
      </c>
      <c r="B692" s="153">
        <v>88.5</v>
      </c>
      <c r="C692" s="153">
        <v>88.5</v>
      </c>
      <c r="D692" s="153">
        <v>85</v>
      </c>
      <c r="E692" s="153">
        <v>86</v>
      </c>
      <c r="F692" s="154">
        <v>1916559</v>
      </c>
      <c r="G692" s="155">
        <v>167609898.40000001</v>
      </c>
      <c r="H692" s="153">
        <v>244</v>
      </c>
      <c r="I692" s="155"/>
      <c r="J692" s="155"/>
      <c r="K692" s="155"/>
      <c r="L692" s="155"/>
      <c r="M692" s="155"/>
      <c r="N692" s="155"/>
      <c r="O692" s="148">
        <v>44250</v>
      </c>
      <c r="P692" s="149">
        <v>78.599999999999994</v>
      </c>
      <c r="Q692" s="149">
        <v>78.599999999999994</v>
      </c>
      <c r="R692" s="149">
        <v>75.099999999999994</v>
      </c>
      <c r="S692" s="149">
        <v>75.599999999999994</v>
      </c>
      <c r="T692" s="150">
        <v>58750</v>
      </c>
      <c r="U692" s="151">
        <v>4471557.3</v>
      </c>
      <c r="V692" s="149">
        <v>93</v>
      </c>
      <c r="Z692" s="1">
        <v>44127</v>
      </c>
      <c r="AA692">
        <v>56.32</v>
      </c>
      <c r="AB692">
        <v>28980</v>
      </c>
      <c r="AC692">
        <v>71954</v>
      </c>
      <c r="AF692" s="1">
        <v>44127</v>
      </c>
      <c r="AG692">
        <v>66.27</v>
      </c>
      <c r="AJ692" s="156">
        <f t="shared" si="10"/>
        <v>0.15014335295005277</v>
      </c>
    </row>
    <row r="693" spans="1:36" x14ac:dyDescent="0.3">
      <c r="A693" s="152">
        <v>44249</v>
      </c>
      <c r="B693" s="153">
        <v>91</v>
      </c>
      <c r="C693" s="153">
        <v>91</v>
      </c>
      <c r="D693" s="153">
        <v>88.1</v>
      </c>
      <c r="E693" s="153">
        <v>89</v>
      </c>
      <c r="F693" s="154">
        <v>1204403</v>
      </c>
      <c r="G693" s="155">
        <v>108379244.3</v>
      </c>
      <c r="H693" s="153">
        <v>203</v>
      </c>
      <c r="I693" s="155"/>
      <c r="J693" s="155"/>
      <c r="K693" s="155"/>
      <c r="L693" s="155"/>
      <c r="M693" s="155"/>
      <c r="N693" s="155"/>
      <c r="O693" s="148">
        <v>44249</v>
      </c>
      <c r="P693" s="149">
        <v>78.5</v>
      </c>
      <c r="Q693" s="149">
        <v>78.8</v>
      </c>
      <c r="R693" s="149">
        <v>78</v>
      </c>
      <c r="S693" s="149">
        <v>78.599999999999994</v>
      </c>
      <c r="T693" s="150">
        <v>67902</v>
      </c>
      <c r="U693" s="151">
        <v>5331875</v>
      </c>
      <c r="V693" s="149">
        <v>62</v>
      </c>
      <c r="Z693" s="1">
        <v>44126</v>
      </c>
      <c r="AA693">
        <v>56.76</v>
      </c>
      <c r="AB693">
        <v>38263</v>
      </c>
      <c r="AC693">
        <v>72777</v>
      </c>
      <c r="AF693" s="1">
        <v>44126</v>
      </c>
      <c r="AG693">
        <v>66.27</v>
      </c>
      <c r="AJ693" s="156">
        <f t="shared" si="10"/>
        <v>0.14350384789497508</v>
      </c>
    </row>
    <row r="694" spans="1:36" x14ac:dyDescent="0.3">
      <c r="A694" s="152">
        <v>44246</v>
      </c>
      <c r="B694" s="153">
        <v>88.2</v>
      </c>
      <c r="C694" s="153">
        <v>91</v>
      </c>
      <c r="D694" s="153">
        <v>88.2</v>
      </c>
      <c r="E694" s="153">
        <v>90</v>
      </c>
      <c r="F694" s="154">
        <v>908287</v>
      </c>
      <c r="G694" s="155">
        <v>81403538.200000003</v>
      </c>
      <c r="H694" s="153">
        <v>209</v>
      </c>
      <c r="I694" s="155"/>
      <c r="J694" s="155"/>
      <c r="K694" s="155"/>
      <c r="L694" s="155"/>
      <c r="M694" s="155"/>
      <c r="N694" s="155"/>
      <c r="O694" s="148">
        <v>44246</v>
      </c>
      <c r="P694" s="149">
        <v>76.5</v>
      </c>
      <c r="Q694" s="149">
        <v>78</v>
      </c>
      <c r="R694" s="149">
        <v>75.599999999999994</v>
      </c>
      <c r="S694" s="149">
        <v>77.7</v>
      </c>
      <c r="T694" s="150">
        <v>34928</v>
      </c>
      <c r="U694" s="151">
        <v>2675934.9</v>
      </c>
      <c r="V694" s="149">
        <v>54</v>
      </c>
      <c r="Z694" s="1">
        <v>44125</v>
      </c>
      <c r="AA694">
        <v>56.15</v>
      </c>
      <c r="AB694">
        <v>99391</v>
      </c>
      <c r="AC694">
        <v>75019</v>
      </c>
      <c r="AF694" s="1">
        <v>44125</v>
      </c>
      <c r="AG694">
        <v>65.650000000000006</v>
      </c>
      <c r="AJ694" s="156">
        <f t="shared" si="10"/>
        <v>0.14470677837014481</v>
      </c>
    </row>
    <row r="695" spans="1:36" x14ac:dyDescent="0.3">
      <c r="A695" s="152">
        <v>44245</v>
      </c>
      <c r="B695" s="153">
        <v>88.9</v>
      </c>
      <c r="C695" s="153">
        <v>89</v>
      </c>
      <c r="D695" s="153">
        <v>87.5</v>
      </c>
      <c r="E695" s="153">
        <v>88.2</v>
      </c>
      <c r="F695" s="154">
        <v>266980</v>
      </c>
      <c r="G695" s="155">
        <v>23516412.800000001</v>
      </c>
      <c r="H695" s="153">
        <v>175</v>
      </c>
      <c r="I695" s="155"/>
      <c r="J695" s="155"/>
      <c r="K695" s="155"/>
      <c r="L695" s="155"/>
      <c r="M695" s="155"/>
      <c r="N695" s="155"/>
      <c r="O695" s="148">
        <v>44245</v>
      </c>
      <c r="P695" s="149">
        <v>76.900000000000006</v>
      </c>
      <c r="Q695" s="149">
        <v>77</v>
      </c>
      <c r="R695" s="149">
        <v>75</v>
      </c>
      <c r="S695" s="149">
        <v>76.900000000000006</v>
      </c>
      <c r="T695" s="150">
        <v>162821</v>
      </c>
      <c r="U695" s="151">
        <v>12256348.800000001</v>
      </c>
      <c r="V695" s="149">
        <v>41</v>
      </c>
      <c r="Z695" s="1">
        <v>44124</v>
      </c>
      <c r="AA695">
        <v>58.43</v>
      </c>
      <c r="AB695">
        <v>35900</v>
      </c>
      <c r="AC695">
        <v>79769</v>
      </c>
      <c r="AF695" s="1">
        <v>44124</v>
      </c>
      <c r="AG695">
        <v>68.23</v>
      </c>
      <c r="AJ695" s="156">
        <f t="shared" si="10"/>
        <v>0.14363183350432365</v>
      </c>
    </row>
    <row r="696" spans="1:36" x14ac:dyDescent="0.3">
      <c r="A696" s="152">
        <v>44244</v>
      </c>
      <c r="B696" s="153">
        <v>87.5</v>
      </c>
      <c r="C696" s="153">
        <v>89.8</v>
      </c>
      <c r="D696" s="153">
        <v>86</v>
      </c>
      <c r="E696" s="153">
        <v>88.2</v>
      </c>
      <c r="F696" s="154">
        <v>1392631</v>
      </c>
      <c r="G696" s="155">
        <v>122128446.3</v>
      </c>
      <c r="H696" s="153">
        <v>242</v>
      </c>
      <c r="I696" s="155"/>
      <c r="J696" s="155"/>
      <c r="K696" s="155"/>
      <c r="L696" s="155"/>
      <c r="M696" s="155"/>
      <c r="N696" s="155"/>
      <c r="O696" s="148">
        <v>44244</v>
      </c>
      <c r="P696" s="149">
        <v>76.900000000000006</v>
      </c>
      <c r="Q696" s="149">
        <v>76.900000000000006</v>
      </c>
      <c r="R696" s="149">
        <v>74</v>
      </c>
      <c r="S696" s="149">
        <v>76.3</v>
      </c>
      <c r="T696" s="150">
        <v>52389</v>
      </c>
      <c r="U696" s="151">
        <v>3943987</v>
      </c>
      <c r="V696" s="149">
        <v>116</v>
      </c>
      <c r="Z696" s="1">
        <v>44123</v>
      </c>
      <c r="AA696">
        <v>58.43</v>
      </c>
      <c r="AB696">
        <v>35029</v>
      </c>
      <c r="AC696">
        <v>78812</v>
      </c>
      <c r="AF696" s="1">
        <v>44123</v>
      </c>
      <c r="AG696">
        <v>68.849999999999994</v>
      </c>
      <c r="AJ696" s="156">
        <f t="shared" si="10"/>
        <v>0.15134350036310815</v>
      </c>
    </row>
    <row r="697" spans="1:36" x14ac:dyDescent="0.3">
      <c r="A697" s="152">
        <v>44243</v>
      </c>
      <c r="B697" s="153">
        <v>90.5</v>
      </c>
      <c r="C697" s="153">
        <v>91</v>
      </c>
      <c r="D697" s="153">
        <v>86.9</v>
      </c>
      <c r="E697" s="153">
        <v>87.7</v>
      </c>
      <c r="F697" s="154">
        <v>691231</v>
      </c>
      <c r="G697" s="155">
        <v>61885665.399999999</v>
      </c>
      <c r="H697" s="153">
        <v>271</v>
      </c>
      <c r="I697" s="155"/>
      <c r="J697" s="155"/>
      <c r="K697" s="155"/>
      <c r="L697" s="155"/>
      <c r="M697" s="155"/>
      <c r="N697" s="155"/>
      <c r="O697" s="148">
        <v>44243</v>
      </c>
      <c r="P697" s="149">
        <v>78.5</v>
      </c>
      <c r="Q697" s="149">
        <v>78.5</v>
      </c>
      <c r="R697" s="149">
        <v>76.099999999999994</v>
      </c>
      <c r="S697" s="149">
        <v>76.8</v>
      </c>
      <c r="T697" s="150">
        <v>44328</v>
      </c>
      <c r="U697" s="151">
        <v>3413614.6</v>
      </c>
      <c r="V697" s="149">
        <v>77</v>
      </c>
      <c r="Z697" s="1">
        <v>44120</v>
      </c>
      <c r="AA697">
        <v>58.16</v>
      </c>
      <c r="AB697">
        <v>78344</v>
      </c>
      <c r="AC697">
        <v>76795</v>
      </c>
      <c r="AF697" s="1">
        <v>44120</v>
      </c>
      <c r="AG697">
        <v>68.760000000000005</v>
      </c>
      <c r="AJ697" s="156">
        <f t="shared" si="10"/>
        <v>0.15415939499709144</v>
      </c>
    </row>
    <row r="698" spans="1:36" x14ac:dyDescent="0.3">
      <c r="A698" s="152">
        <v>44242</v>
      </c>
      <c r="B698" s="153">
        <v>88</v>
      </c>
      <c r="C698" s="153">
        <v>91</v>
      </c>
      <c r="D698" s="153">
        <v>88</v>
      </c>
      <c r="E698" s="153">
        <v>90.3</v>
      </c>
      <c r="F698" s="154">
        <v>1277173</v>
      </c>
      <c r="G698" s="155">
        <v>115057487</v>
      </c>
      <c r="H698" s="153">
        <v>397</v>
      </c>
      <c r="I698" s="155"/>
      <c r="J698" s="155"/>
      <c r="K698" s="155"/>
      <c r="L698" s="155"/>
      <c r="M698" s="155"/>
      <c r="N698" s="155"/>
      <c r="O698" s="148">
        <v>44242</v>
      </c>
      <c r="P698" s="149">
        <v>79.5</v>
      </c>
      <c r="Q698" s="149">
        <v>80</v>
      </c>
      <c r="R698" s="149">
        <v>78</v>
      </c>
      <c r="S698" s="149">
        <v>79.2</v>
      </c>
      <c r="T698" s="150">
        <v>90455</v>
      </c>
      <c r="U698" s="151">
        <v>7165770.5</v>
      </c>
      <c r="V698" s="149">
        <v>102</v>
      </c>
      <c r="Z698" s="1">
        <v>44119</v>
      </c>
      <c r="AA698">
        <v>59.13</v>
      </c>
      <c r="AB698">
        <v>42116</v>
      </c>
      <c r="AC698">
        <v>80920</v>
      </c>
      <c r="AF698" s="1">
        <v>44119</v>
      </c>
      <c r="AG698">
        <v>68.94</v>
      </c>
      <c r="AJ698" s="156">
        <f t="shared" si="10"/>
        <v>0.14229765013054824</v>
      </c>
    </row>
    <row r="699" spans="1:36" x14ac:dyDescent="0.3">
      <c r="A699" s="152">
        <v>44239</v>
      </c>
      <c r="B699" s="153">
        <v>86.4</v>
      </c>
      <c r="C699" s="153">
        <v>89</v>
      </c>
      <c r="D699" s="153">
        <v>86.4</v>
      </c>
      <c r="E699" s="153">
        <v>88.1</v>
      </c>
      <c r="F699" s="154">
        <v>485583</v>
      </c>
      <c r="G699" s="155">
        <v>42651986</v>
      </c>
      <c r="H699" s="153">
        <v>394</v>
      </c>
      <c r="I699" s="155"/>
      <c r="J699" s="155"/>
      <c r="K699" s="155"/>
      <c r="L699" s="155"/>
      <c r="M699" s="155"/>
      <c r="N699" s="155"/>
      <c r="O699" s="148">
        <v>44239</v>
      </c>
      <c r="P699" s="149">
        <v>77</v>
      </c>
      <c r="Q699" s="149">
        <v>80</v>
      </c>
      <c r="R699" s="149">
        <v>77</v>
      </c>
      <c r="S699" s="149">
        <v>79.599999999999994</v>
      </c>
      <c r="T699" s="150">
        <v>17937</v>
      </c>
      <c r="U699" s="151">
        <v>1424143.1</v>
      </c>
      <c r="V699" s="149">
        <v>79</v>
      </c>
      <c r="Z699" s="1">
        <v>44118</v>
      </c>
      <c r="AA699">
        <v>58.43</v>
      </c>
      <c r="AB699">
        <v>64618</v>
      </c>
      <c r="AC699">
        <v>83053</v>
      </c>
      <c r="AF699" s="1">
        <v>44118</v>
      </c>
      <c r="AG699">
        <v>69.03</v>
      </c>
      <c r="AJ699" s="156">
        <f t="shared" si="10"/>
        <v>0.15355642474286543</v>
      </c>
    </row>
    <row r="700" spans="1:36" x14ac:dyDescent="0.3">
      <c r="A700" s="152">
        <v>44238</v>
      </c>
      <c r="B700" s="153">
        <v>86.1</v>
      </c>
      <c r="C700" s="153">
        <v>87</v>
      </c>
      <c r="D700" s="153">
        <v>80</v>
      </c>
      <c r="E700" s="153">
        <v>85.8</v>
      </c>
      <c r="F700" s="154">
        <v>605707</v>
      </c>
      <c r="G700" s="155">
        <v>51051736.399999999</v>
      </c>
      <c r="H700" s="153">
        <v>546</v>
      </c>
      <c r="I700" s="155"/>
      <c r="J700" s="155"/>
      <c r="K700" s="155"/>
      <c r="L700" s="155"/>
      <c r="M700" s="155"/>
      <c r="N700" s="155"/>
      <c r="O700" s="148">
        <v>44238</v>
      </c>
      <c r="P700" s="149">
        <v>79</v>
      </c>
      <c r="Q700" s="149">
        <v>79</v>
      </c>
      <c r="R700" s="149">
        <v>70</v>
      </c>
      <c r="S700" s="149">
        <v>76.8</v>
      </c>
      <c r="T700" s="150">
        <v>106094</v>
      </c>
      <c r="U700" s="151">
        <v>7959900.2999999998</v>
      </c>
      <c r="V700" s="149">
        <v>145</v>
      </c>
      <c r="Z700" s="1">
        <v>44117</v>
      </c>
      <c r="AA700">
        <v>57.02</v>
      </c>
      <c r="AB700">
        <v>25486</v>
      </c>
      <c r="AC700">
        <v>111924</v>
      </c>
      <c r="AF700" s="1">
        <v>44117</v>
      </c>
      <c r="AG700">
        <v>66.27</v>
      </c>
      <c r="AJ700" s="156">
        <f t="shared" si="10"/>
        <v>0.13958050399879271</v>
      </c>
    </row>
    <row r="701" spans="1:36" x14ac:dyDescent="0.3">
      <c r="A701" s="152">
        <v>44237</v>
      </c>
      <c r="B701" s="153">
        <v>88.3</v>
      </c>
      <c r="C701" s="153">
        <v>88.3</v>
      </c>
      <c r="D701" s="153">
        <v>86.5</v>
      </c>
      <c r="E701" s="153">
        <v>87.5</v>
      </c>
      <c r="F701" s="154">
        <v>521895</v>
      </c>
      <c r="G701" s="155">
        <v>45647848.700000003</v>
      </c>
      <c r="H701" s="153">
        <v>350</v>
      </c>
      <c r="I701" s="155"/>
      <c r="J701" s="155"/>
      <c r="K701" s="155"/>
      <c r="L701" s="155"/>
      <c r="M701" s="155"/>
      <c r="N701" s="155"/>
      <c r="O701" s="148">
        <v>44237</v>
      </c>
      <c r="P701" s="149">
        <v>80.2</v>
      </c>
      <c r="Q701" s="149">
        <v>80.5</v>
      </c>
      <c r="R701" s="149">
        <v>77.900000000000006</v>
      </c>
      <c r="S701" s="149">
        <v>78.7</v>
      </c>
      <c r="T701" s="150">
        <v>26685</v>
      </c>
      <c r="U701" s="151">
        <v>2122339.2000000002</v>
      </c>
      <c r="V701" s="149">
        <v>92</v>
      </c>
      <c r="Z701" s="1">
        <v>44116</v>
      </c>
      <c r="AA701">
        <v>58.16</v>
      </c>
      <c r="AB701">
        <v>28630</v>
      </c>
      <c r="AC701">
        <v>125223</v>
      </c>
      <c r="AF701" s="1">
        <v>44116</v>
      </c>
      <c r="AG701">
        <v>66.98</v>
      </c>
      <c r="AJ701" s="156">
        <f t="shared" si="10"/>
        <v>0.13168109883547338</v>
      </c>
    </row>
    <row r="702" spans="1:36" x14ac:dyDescent="0.3">
      <c r="A702" s="152">
        <v>44236</v>
      </c>
      <c r="B702" s="153">
        <v>90</v>
      </c>
      <c r="C702" s="153">
        <v>90</v>
      </c>
      <c r="D702" s="153">
        <v>85.9</v>
      </c>
      <c r="E702" s="153">
        <v>87.8</v>
      </c>
      <c r="F702" s="154">
        <v>363744</v>
      </c>
      <c r="G702" s="155">
        <v>31770962.800000001</v>
      </c>
      <c r="H702" s="153">
        <v>478</v>
      </c>
      <c r="I702" s="155"/>
      <c r="J702" s="155"/>
      <c r="K702" s="155"/>
      <c r="L702" s="155"/>
      <c r="M702" s="155"/>
      <c r="N702" s="155"/>
      <c r="O702" s="148">
        <v>44236</v>
      </c>
      <c r="P702" s="149">
        <v>81.8</v>
      </c>
      <c r="Q702" s="149">
        <v>81.8</v>
      </c>
      <c r="R702" s="149">
        <v>80</v>
      </c>
      <c r="S702" s="149">
        <v>80.099999999999994</v>
      </c>
      <c r="T702" s="150">
        <v>98130</v>
      </c>
      <c r="U702" s="151">
        <v>7866170.4000000004</v>
      </c>
      <c r="V702" s="149">
        <v>119</v>
      </c>
      <c r="Z702" s="1">
        <v>44113</v>
      </c>
      <c r="AA702">
        <v>58.6</v>
      </c>
      <c r="AB702">
        <v>61326</v>
      </c>
      <c r="AC702">
        <v>140779</v>
      </c>
      <c r="AF702" s="1">
        <v>44113</v>
      </c>
      <c r="AG702">
        <v>68.489999999999995</v>
      </c>
      <c r="AJ702" s="156">
        <f t="shared" si="10"/>
        <v>0.14440064242955167</v>
      </c>
    </row>
    <row r="703" spans="1:36" x14ac:dyDescent="0.3">
      <c r="A703" s="152">
        <v>44235</v>
      </c>
      <c r="B703" s="153">
        <v>94.8</v>
      </c>
      <c r="C703" s="153">
        <v>94.8</v>
      </c>
      <c r="D703" s="153">
        <v>89.5</v>
      </c>
      <c r="E703" s="153">
        <v>90</v>
      </c>
      <c r="F703" s="154">
        <v>903390</v>
      </c>
      <c r="G703" s="155">
        <v>83221017.700000003</v>
      </c>
      <c r="H703" s="153">
        <v>406</v>
      </c>
      <c r="I703" s="155"/>
      <c r="J703" s="155"/>
      <c r="K703" s="155"/>
      <c r="L703" s="155"/>
      <c r="M703" s="155"/>
      <c r="N703" s="155"/>
      <c r="O703" s="148">
        <v>44235</v>
      </c>
      <c r="P703" s="149">
        <v>82.5</v>
      </c>
      <c r="Q703" s="149">
        <v>82.5</v>
      </c>
      <c r="R703" s="149">
        <v>81</v>
      </c>
      <c r="S703" s="149">
        <v>81.5</v>
      </c>
      <c r="T703" s="150">
        <v>35335</v>
      </c>
      <c r="U703" s="151">
        <v>2876351</v>
      </c>
      <c r="V703" s="149">
        <v>65</v>
      </c>
      <c r="Z703" s="1">
        <v>44112</v>
      </c>
      <c r="AA703">
        <v>57.46</v>
      </c>
      <c r="AB703">
        <v>46886</v>
      </c>
      <c r="AC703">
        <v>156120</v>
      </c>
      <c r="AF703" s="1">
        <v>44112</v>
      </c>
      <c r="AG703">
        <v>67.34</v>
      </c>
      <c r="AJ703" s="156">
        <f t="shared" si="10"/>
        <v>0.14671814671814676</v>
      </c>
    </row>
    <row r="704" spans="1:36" x14ac:dyDescent="0.3">
      <c r="A704" s="152">
        <v>44232</v>
      </c>
      <c r="B704" s="153">
        <v>94</v>
      </c>
      <c r="C704" s="153">
        <v>95</v>
      </c>
      <c r="D704" s="153">
        <v>92</v>
      </c>
      <c r="E704" s="153">
        <v>92.7</v>
      </c>
      <c r="F704" s="154">
        <v>253520</v>
      </c>
      <c r="G704" s="155">
        <v>23518416.300000001</v>
      </c>
      <c r="H704" s="153">
        <v>312</v>
      </c>
      <c r="I704" s="155"/>
      <c r="J704" s="155"/>
      <c r="K704" s="155"/>
      <c r="L704" s="155"/>
      <c r="M704" s="155"/>
      <c r="N704" s="155"/>
      <c r="O704" s="148">
        <v>44232</v>
      </c>
      <c r="P704" s="149">
        <v>84.3</v>
      </c>
      <c r="Q704" s="149">
        <v>86.5</v>
      </c>
      <c r="R704" s="149">
        <v>81.5</v>
      </c>
      <c r="S704" s="149">
        <v>81.7</v>
      </c>
      <c r="T704" s="150">
        <v>115614</v>
      </c>
      <c r="U704" s="151">
        <v>9584995.5999999996</v>
      </c>
      <c r="V704" s="149">
        <v>114</v>
      </c>
      <c r="Z704" s="1">
        <v>44111</v>
      </c>
      <c r="AA704">
        <v>56.67</v>
      </c>
      <c r="AB704">
        <v>43621</v>
      </c>
      <c r="AC704">
        <v>160480</v>
      </c>
      <c r="AF704" s="1">
        <v>44111</v>
      </c>
      <c r="AG704">
        <v>66.180000000000007</v>
      </c>
      <c r="AJ704" s="156">
        <f t="shared" si="10"/>
        <v>0.143699002719855</v>
      </c>
    </row>
    <row r="705" spans="1:36" x14ac:dyDescent="0.3">
      <c r="A705" s="152">
        <v>44230</v>
      </c>
      <c r="B705" s="153">
        <v>89</v>
      </c>
      <c r="C705" s="153">
        <v>94</v>
      </c>
      <c r="D705" s="153">
        <v>89</v>
      </c>
      <c r="E705" s="153">
        <v>93</v>
      </c>
      <c r="F705" s="154">
        <v>605039</v>
      </c>
      <c r="G705" s="155">
        <v>55689915.700000003</v>
      </c>
      <c r="H705" s="153">
        <v>533</v>
      </c>
      <c r="I705" s="155"/>
      <c r="J705" s="155"/>
      <c r="K705" s="155"/>
      <c r="L705" s="155"/>
      <c r="M705" s="155"/>
      <c r="N705" s="155"/>
      <c r="O705" s="148">
        <v>44230</v>
      </c>
      <c r="P705" s="149">
        <v>80</v>
      </c>
      <c r="Q705" s="149">
        <v>83.8</v>
      </c>
      <c r="R705" s="149">
        <v>79</v>
      </c>
      <c r="S705" s="149">
        <v>81.8</v>
      </c>
      <c r="T705" s="150">
        <v>139587</v>
      </c>
      <c r="U705" s="151">
        <v>11361205.1</v>
      </c>
      <c r="V705" s="149">
        <v>166</v>
      </c>
      <c r="Z705" s="1">
        <v>44110</v>
      </c>
      <c r="AA705">
        <v>56.15</v>
      </c>
      <c r="AB705">
        <v>222176</v>
      </c>
      <c r="AC705">
        <v>171637</v>
      </c>
      <c r="AF705" s="1">
        <v>44110</v>
      </c>
      <c r="AG705">
        <v>66.180000000000007</v>
      </c>
      <c r="AJ705" s="156">
        <f t="shared" si="10"/>
        <v>0.15155636143850118</v>
      </c>
    </row>
    <row r="706" spans="1:36" x14ac:dyDescent="0.3">
      <c r="A706" s="152">
        <v>44229</v>
      </c>
      <c r="B706" s="153">
        <v>95.8</v>
      </c>
      <c r="C706" s="153">
        <v>95.9</v>
      </c>
      <c r="D706" s="153">
        <v>86</v>
      </c>
      <c r="E706" s="153">
        <v>89.9</v>
      </c>
      <c r="F706" s="154">
        <v>1308272</v>
      </c>
      <c r="G706" s="155">
        <v>119233608.09999999</v>
      </c>
      <c r="H706" s="153">
        <v>742</v>
      </c>
      <c r="I706" s="155"/>
      <c r="J706" s="155"/>
      <c r="K706" s="155"/>
      <c r="L706" s="155"/>
      <c r="M706" s="155"/>
      <c r="N706" s="155"/>
      <c r="O706" s="148">
        <v>44229</v>
      </c>
      <c r="P706" s="149">
        <v>85.7</v>
      </c>
      <c r="Q706" s="149">
        <v>85.7</v>
      </c>
      <c r="R706" s="149">
        <v>77.5</v>
      </c>
      <c r="S706" s="149">
        <v>79</v>
      </c>
      <c r="T706" s="150">
        <v>174146</v>
      </c>
      <c r="U706" s="151">
        <v>14230672.199999999</v>
      </c>
      <c r="V706" s="149">
        <v>209</v>
      </c>
      <c r="Z706" s="1">
        <v>44109</v>
      </c>
      <c r="AA706">
        <v>56.85</v>
      </c>
      <c r="AB706">
        <v>228538</v>
      </c>
      <c r="AC706">
        <v>163282</v>
      </c>
      <c r="AF706" s="1">
        <v>44109</v>
      </c>
      <c r="AG706">
        <v>66.45</v>
      </c>
      <c r="AJ706" s="156">
        <f t="shared" si="10"/>
        <v>0.14446952595936796</v>
      </c>
    </row>
    <row r="707" spans="1:36" x14ac:dyDescent="0.3">
      <c r="A707" s="152">
        <v>44228</v>
      </c>
      <c r="B707" s="153">
        <v>100</v>
      </c>
      <c r="C707" s="153">
        <v>100</v>
      </c>
      <c r="D707" s="153">
        <v>95.9</v>
      </c>
      <c r="E707" s="153">
        <v>96.3</v>
      </c>
      <c r="F707" s="154">
        <v>1050666</v>
      </c>
      <c r="G707" s="155">
        <v>102153074</v>
      </c>
      <c r="H707" s="153">
        <v>698</v>
      </c>
      <c r="I707" s="155"/>
      <c r="J707" s="155"/>
      <c r="K707" s="155"/>
      <c r="L707" s="155"/>
      <c r="M707" s="155"/>
      <c r="N707" s="155"/>
      <c r="O707" s="148">
        <v>44228</v>
      </c>
      <c r="P707" s="149">
        <v>88.4</v>
      </c>
      <c r="Q707" s="149">
        <v>88.4</v>
      </c>
      <c r="R707" s="149">
        <v>85.5</v>
      </c>
      <c r="S707" s="149">
        <v>86.1</v>
      </c>
      <c r="T707" s="150">
        <v>62874</v>
      </c>
      <c r="U707" s="151">
        <v>5466545.7000000002</v>
      </c>
      <c r="V707" s="149">
        <v>113</v>
      </c>
      <c r="Z707" s="1">
        <v>44106</v>
      </c>
      <c r="AA707">
        <v>60.44</v>
      </c>
      <c r="AB707">
        <v>41335</v>
      </c>
      <c r="AC707">
        <v>156541</v>
      </c>
      <c r="AF707" s="1">
        <v>44106</v>
      </c>
      <c r="AG707">
        <v>70.45</v>
      </c>
      <c r="AJ707" s="156">
        <f t="shared" si="10"/>
        <v>0.14208658623136983</v>
      </c>
    </row>
    <row r="708" spans="1:36" x14ac:dyDescent="0.3">
      <c r="A708" s="152">
        <v>44225</v>
      </c>
      <c r="B708" s="153">
        <v>103.5</v>
      </c>
      <c r="C708" s="153">
        <v>105</v>
      </c>
      <c r="D708" s="153">
        <v>99</v>
      </c>
      <c r="E708" s="153">
        <v>99.7</v>
      </c>
      <c r="F708" s="154">
        <v>3056879</v>
      </c>
      <c r="G708" s="155">
        <v>308797116.55000001</v>
      </c>
      <c r="H708" s="153">
        <v>907</v>
      </c>
      <c r="I708" s="155"/>
      <c r="J708" s="155"/>
      <c r="K708" s="155"/>
      <c r="L708" s="155"/>
      <c r="M708" s="155"/>
      <c r="N708" s="155"/>
      <c r="O708" s="148">
        <v>44225</v>
      </c>
      <c r="P708" s="149">
        <v>90</v>
      </c>
      <c r="Q708" s="149">
        <v>91</v>
      </c>
      <c r="R708" s="149">
        <v>85.9</v>
      </c>
      <c r="S708" s="149">
        <v>86.3</v>
      </c>
      <c r="T708" s="150">
        <v>313698</v>
      </c>
      <c r="U708" s="151">
        <v>27710896.199999999</v>
      </c>
      <c r="V708" s="149">
        <v>168</v>
      </c>
      <c r="Z708" s="1">
        <v>44104</v>
      </c>
      <c r="AA708">
        <v>61.23</v>
      </c>
      <c r="AB708">
        <v>71887</v>
      </c>
      <c r="AC708">
        <v>157311</v>
      </c>
      <c r="AF708" s="1">
        <v>44104</v>
      </c>
      <c r="AG708">
        <v>71.069999999999993</v>
      </c>
      <c r="AJ708" s="156">
        <f t="shared" si="10"/>
        <v>0.13845504432249892</v>
      </c>
    </row>
    <row r="709" spans="1:36" x14ac:dyDescent="0.3">
      <c r="A709" s="152">
        <v>44223</v>
      </c>
      <c r="B709" s="153">
        <v>101.25</v>
      </c>
      <c r="C709" s="153">
        <v>101.5</v>
      </c>
      <c r="D709" s="153">
        <v>99</v>
      </c>
      <c r="E709" s="153">
        <v>99.8</v>
      </c>
      <c r="F709" s="154">
        <v>1281218</v>
      </c>
      <c r="G709" s="155">
        <v>127939106.65000001</v>
      </c>
      <c r="H709" s="153">
        <v>608</v>
      </c>
      <c r="I709" s="155"/>
      <c r="J709" s="155"/>
      <c r="K709" s="155"/>
      <c r="L709" s="155"/>
      <c r="M709" s="155"/>
      <c r="N709" s="155"/>
      <c r="O709" s="148">
        <v>44223</v>
      </c>
      <c r="P709" s="149">
        <v>89.2</v>
      </c>
      <c r="Q709" s="149">
        <v>89.2</v>
      </c>
      <c r="R709" s="149">
        <v>85.7</v>
      </c>
      <c r="S709" s="149">
        <v>86.5</v>
      </c>
      <c r="T709" s="150">
        <v>230015</v>
      </c>
      <c r="U709" s="151">
        <v>20119539.699999999</v>
      </c>
      <c r="V709" s="149">
        <v>188</v>
      </c>
      <c r="Z709" s="1">
        <v>44103</v>
      </c>
      <c r="AA709">
        <v>61.4</v>
      </c>
      <c r="AB709">
        <v>170636</v>
      </c>
      <c r="AC709">
        <v>171652</v>
      </c>
      <c r="AF709" s="1">
        <v>44103</v>
      </c>
      <c r="AG709">
        <v>71.16</v>
      </c>
      <c r="AJ709" s="156">
        <f t="shared" si="10"/>
        <v>0.13715570545250139</v>
      </c>
    </row>
    <row r="710" spans="1:36" x14ac:dyDescent="0.3">
      <c r="A710" s="152">
        <v>44222</v>
      </c>
      <c r="B710" s="153">
        <v>103</v>
      </c>
      <c r="C710" s="153">
        <v>103.5</v>
      </c>
      <c r="D710" s="153">
        <v>100</v>
      </c>
      <c r="E710" s="153">
        <v>100.5</v>
      </c>
      <c r="F710" s="154">
        <v>3747035</v>
      </c>
      <c r="G710" s="155">
        <v>377685275.25</v>
      </c>
      <c r="H710" s="153">
        <v>774</v>
      </c>
      <c r="I710" s="155"/>
      <c r="J710" s="155"/>
      <c r="K710" s="155"/>
      <c r="L710" s="155"/>
      <c r="M710" s="155"/>
      <c r="N710" s="155"/>
      <c r="O710" s="148">
        <v>44222</v>
      </c>
      <c r="P710" s="149">
        <v>91</v>
      </c>
      <c r="Q710" s="149">
        <v>91.5</v>
      </c>
      <c r="R710" s="149">
        <v>88.7</v>
      </c>
      <c r="S710" s="149">
        <v>89.2</v>
      </c>
      <c r="T710" s="150">
        <v>95908</v>
      </c>
      <c r="U710" s="151">
        <v>8623276.9000000004</v>
      </c>
      <c r="V710" s="149">
        <v>137</v>
      </c>
      <c r="Z710" s="1">
        <v>44102</v>
      </c>
      <c r="AA710">
        <v>63.07</v>
      </c>
      <c r="AB710">
        <v>21546</v>
      </c>
      <c r="AC710">
        <v>162497</v>
      </c>
      <c r="AF710" s="1">
        <v>44102</v>
      </c>
      <c r="AG710">
        <v>71.959999999999994</v>
      </c>
      <c r="AJ710" s="156">
        <f t="shared" ref="AJ710:AJ773" si="11">(AG710-AA710)/AG710</f>
        <v>0.12354085603112833</v>
      </c>
    </row>
    <row r="711" spans="1:36" x14ac:dyDescent="0.3">
      <c r="A711" s="152">
        <v>44221</v>
      </c>
      <c r="B711" s="153">
        <v>99.8</v>
      </c>
      <c r="C711" s="153">
        <v>103</v>
      </c>
      <c r="D711" s="153">
        <v>99.5</v>
      </c>
      <c r="E711" s="153">
        <v>100.75</v>
      </c>
      <c r="F711" s="154">
        <v>3086446</v>
      </c>
      <c r="G711" s="155">
        <v>312419534.69999999</v>
      </c>
      <c r="H711" s="153">
        <v>971</v>
      </c>
      <c r="I711" s="155"/>
      <c r="J711" s="155"/>
      <c r="K711" s="155"/>
      <c r="L711" s="155"/>
      <c r="M711" s="155"/>
      <c r="N711" s="155"/>
      <c r="O711" s="148">
        <v>44221</v>
      </c>
      <c r="P711" s="149">
        <v>89.5</v>
      </c>
      <c r="Q711" s="149">
        <v>92</v>
      </c>
      <c r="R711" s="149">
        <v>88.8</v>
      </c>
      <c r="S711" s="149">
        <v>89.9</v>
      </c>
      <c r="T711" s="150">
        <v>241218</v>
      </c>
      <c r="U711" s="151">
        <v>21737336.800000001</v>
      </c>
      <c r="V711" s="149">
        <v>245</v>
      </c>
      <c r="Z711" s="1">
        <v>44099</v>
      </c>
      <c r="AA711">
        <v>62.63</v>
      </c>
      <c r="AB711">
        <v>4779</v>
      </c>
      <c r="AC711">
        <v>167198</v>
      </c>
      <c r="AF711" s="1">
        <v>44099</v>
      </c>
      <c r="AG711">
        <v>72.05</v>
      </c>
      <c r="AJ711" s="156">
        <f t="shared" si="11"/>
        <v>0.13074253990284518</v>
      </c>
    </row>
    <row r="712" spans="1:36" x14ac:dyDescent="0.3">
      <c r="A712" s="152">
        <v>44218</v>
      </c>
      <c r="B712" s="153">
        <v>94.5</v>
      </c>
      <c r="C712" s="153">
        <v>99.7</v>
      </c>
      <c r="D712" s="153">
        <v>94.5</v>
      </c>
      <c r="E712" s="153">
        <v>99.2</v>
      </c>
      <c r="F712" s="154">
        <v>5118896</v>
      </c>
      <c r="G712" s="155">
        <v>495331232.60000002</v>
      </c>
      <c r="H712" s="153">
        <v>987</v>
      </c>
      <c r="I712" s="155"/>
      <c r="J712" s="155"/>
      <c r="K712" s="155"/>
      <c r="L712" s="155"/>
      <c r="M712" s="155"/>
      <c r="N712" s="155"/>
      <c r="O712" s="148">
        <v>44218</v>
      </c>
      <c r="P712" s="149">
        <v>87.6</v>
      </c>
      <c r="Q712" s="149">
        <v>88.9</v>
      </c>
      <c r="R712" s="149">
        <v>86.2</v>
      </c>
      <c r="S712" s="149">
        <v>87.3</v>
      </c>
      <c r="T712" s="150">
        <v>89340</v>
      </c>
      <c r="U712" s="151">
        <v>7773618.9000000004</v>
      </c>
      <c r="V712" s="149">
        <v>171</v>
      </c>
      <c r="Z712" s="1">
        <v>44098</v>
      </c>
      <c r="AA712">
        <v>62.37</v>
      </c>
      <c r="AB712">
        <v>140213</v>
      </c>
      <c r="AC712">
        <v>172286</v>
      </c>
      <c r="AF712" s="1">
        <v>44098</v>
      </c>
      <c r="AG712">
        <v>71.790000000000006</v>
      </c>
      <c r="AJ712" s="156">
        <f t="shared" si="11"/>
        <v>0.13121604680317603</v>
      </c>
    </row>
    <row r="713" spans="1:36" x14ac:dyDescent="0.3">
      <c r="A713" s="152">
        <v>44217</v>
      </c>
      <c r="B713" s="153">
        <v>96</v>
      </c>
      <c r="C713" s="153">
        <v>96</v>
      </c>
      <c r="D713" s="153">
        <v>92.5</v>
      </c>
      <c r="E713" s="153">
        <v>93.7</v>
      </c>
      <c r="F713" s="154">
        <v>1220516</v>
      </c>
      <c r="G713" s="155">
        <v>114301665.59999999</v>
      </c>
      <c r="H713" s="153">
        <v>879</v>
      </c>
      <c r="I713" s="155"/>
      <c r="J713" s="155"/>
      <c r="K713" s="155"/>
      <c r="L713" s="155"/>
      <c r="M713" s="155"/>
      <c r="N713" s="155"/>
      <c r="O713" s="148">
        <v>44217</v>
      </c>
      <c r="P713" s="149">
        <v>89.9</v>
      </c>
      <c r="Q713" s="149">
        <v>89.9</v>
      </c>
      <c r="R713" s="149">
        <v>85.3</v>
      </c>
      <c r="S713" s="149">
        <v>87.4</v>
      </c>
      <c r="T713" s="150">
        <v>155039</v>
      </c>
      <c r="U713" s="151">
        <v>13583070.5</v>
      </c>
      <c r="V713" s="149">
        <v>200</v>
      </c>
      <c r="Z713" s="1">
        <v>44097</v>
      </c>
      <c r="AA713">
        <v>62.54</v>
      </c>
      <c r="AB713">
        <v>74123</v>
      </c>
      <c r="AC713">
        <v>170777</v>
      </c>
      <c r="AF713" s="1">
        <v>44097</v>
      </c>
      <c r="AG713">
        <v>71.959999999999994</v>
      </c>
      <c r="AJ713" s="156">
        <f t="shared" si="11"/>
        <v>0.13090605892162305</v>
      </c>
    </row>
    <row r="714" spans="1:36" x14ac:dyDescent="0.3">
      <c r="A714" s="152">
        <v>44216</v>
      </c>
      <c r="B714" s="153">
        <v>97</v>
      </c>
      <c r="C714" s="153">
        <v>99.9</v>
      </c>
      <c r="D714" s="153">
        <v>92</v>
      </c>
      <c r="E714" s="153">
        <v>96.7</v>
      </c>
      <c r="F714" s="154">
        <v>1946620</v>
      </c>
      <c r="G714" s="155">
        <v>188858811.30000001</v>
      </c>
      <c r="H714" s="154">
        <v>1414</v>
      </c>
      <c r="I714" s="155"/>
      <c r="J714" s="155"/>
      <c r="K714" s="155"/>
      <c r="L714" s="155"/>
      <c r="M714" s="155"/>
      <c r="N714" s="155"/>
      <c r="O714" s="148">
        <v>44216</v>
      </c>
      <c r="P714" s="149">
        <v>89</v>
      </c>
      <c r="Q714" s="149">
        <v>92.6</v>
      </c>
      <c r="R714" s="149">
        <v>85.5</v>
      </c>
      <c r="S714" s="149">
        <v>89.5</v>
      </c>
      <c r="T714" s="150">
        <v>323997</v>
      </c>
      <c r="U714" s="151">
        <v>29078285.600000001</v>
      </c>
      <c r="V714" s="149">
        <v>367</v>
      </c>
      <c r="Z714" s="1">
        <v>44096</v>
      </c>
      <c r="AA714">
        <v>63.16</v>
      </c>
      <c r="AB714">
        <v>497684</v>
      </c>
      <c r="AC714">
        <v>169575</v>
      </c>
      <c r="AF714" s="1">
        <v>44096</v>
      </c>
      <c r="AG714">
        <v>71.959999999999994</v>
      </c>
      <c r="AJ714" s="156">
        <f t="shared" si="11"/>
        <v>0.12229016120066701</v>
      </c>
    </row>
    <row r="715" spans="1:36" x14ac:dyDescent="0.3">
      <c r="A715" s="152">
        <v>44215</v>
      </c>
      <c r="B715" s="153">
        <v>89</v>
      </c>
      <c r="C715" s="153">
        <v>97</v>
      </c>
      <c r="D715" s="153">
        <v>89</v>
      </c>
      <c r="E715" s="153">
        <v>96.2</v>
      </c>
      <c r="F715" s="154">
        <v>6760848</v>
      </c>
      <c r="G715" s="155">
        <v>624052894.29999995</v>
      </c>
      <c r="H715" s="154">
        <v>2054</v>
      </c>
      <c r="I715" s="155"/>
      <c r="J715" s="155"/>
      <c r="K715" s="155"/>
      <c r="L715" s="155"/>
      <c r="M715" s="155"/>
      <c r="N715" s="155"/>
      <c r="O715" s="148">
        <v>44215</v>
      </c>
      <c r="P715" s="149">
        <v>80</v>
      </c>
      <c r="Q715" s="149">
        <v>95.9</v>
      </c>
      <c r="R715" s="149">
        <v>79.900000000000006</v>
      </c>
      <c r="S715" s="149">
        <v>88.2</v>
      </c>
      <c r="T715" s="150">
        <v>613533</v>
      </c>
      <c r="U715" s="151">
        <v>52290328.5</v>
      </c>
      <c r="V715" s="149">
        <v>457</v>
      </c>
      <c r="Z715" s="1">
        <v>44095</v>
      </c>
      <c r="AA715">
        <v>63.86</v>
      </c>
      <c r="AB715">
        <v>224962</v>
      </c>
      <c r="AC715">
        <v>142244</v>
      </c>
      <c r="AF715" s="1">
        <v>44095</v>
      </c>
      <c r="AG715">
        <v>73.03</v>
      </c>
      <c r="AJ715" s="156">
        <f t="shared" si="11"/>
        <v>0.12556483636861565</v>
      </c>
    </row>
    <row r="716" spans="1:36" x14ac:dyDescent="0.3">
      <c r="A716" s="152">
        <v>44214</v>
      </c>
      <c r="B716" s="153">
        <v>85</v>
      </c>
      <c r="C716" s="153">
        <v>90</v>
      </c>
      <c r="D716" s="153">
        <v>85</v>
      </c>
      <c r="E716" s="153">
        <v>88.7</v>
      </c>
      <c r="F716" s="154">
        <v>2449235</v>
      </c>
      <c r="G716" s="155">
        <v>216888589.69999999</v>
      </c>
      <c r="H716" s="154">
        <v>1229</v>
      </c>
      <c r="I716" s="155"/>
      <c r="J716" s="155"/>
      <c r="K716" s="155"/>
      <c r="L716" s="155"/>
      <c r="M716" s="155"/>
      <c r="N716" s="155"/>
      <c r="O716" s="148">
        <v>44214</v>
      </c>
      <c r="P716" s="149">
        <v>76.900000000000006</v>
      </c>
      <c r="Q716" s="149">
        <v>79.900000000000006</v>
      </c>
      <c r="R716" s="149">
        <v>76.900000000000006</v>
      </c>
      <c r="S716" s="149">
        <v>79.8</v>
      </c>
      <c r="T716" s="150">
        <v>345559</v>
      </c>
      <c r="U716" s="151">
        <v>27118839.699999999</v>
      </c>
      <c r="V716" s="149">
        <v>386</v>
      </c>
      <c r="Z716" s="1">
        <v>44092</v>
      </c>
      <c r="AA716">
        <v>63.33</v>
      </c>
      <c r="AB716">
        <v>261976</v>
      </c>
      <c r="AC716">
        <v>129624</v>
      </c>
      <c r="AF716" s="1">
        <v>44092</v>
      </c>
      <c r="AG716">
        <v>73.650000000000006</v>
      </c>
      <c r="AJ716" s="156">
        <f t="shared" si="11"/>
        <v>0.14012219959266811</v>
      </c>
    </row>
    <row r="717" spans="1:36" x14ac:dyDescent="0.3">
      <c r="A717" s="152">
        <v>44211</v>
      </c>
      <c r="B717" s="153">
        <v>82</v>
      </c>
      <c r="C717" s="153">
        <v>85.1</v>
      </c>
      <c r="D717" s="153">
        <v>81.7</v>
      </c>
      <c r="E717" s="153">
        <v>84.3</v>
      </c>
      <c r="F717" s="154">
        <v>3183752</v>
      </c>
      <c r="G717" s="155">
        <v>265412943.90000001</v>
      </c>
      <c r="H717" s="153">
        <v>633</v>
      </c>
      <c r="I717" s="155"/>
      <c r="J717" s="155"/>
      <c r="K717" s="155"/>
      <c r="L717" s="155"/>
      <c r="M717" s="155"/>
      <c r="N717" s="155"/>
      <c r="O717" s="148">
        <v>44211</v>
      </c>
      <c r="P717" s="149">
        <v>72</v>
      </c>
      <c r="Q717" s="149">
        <v>74.8</v>
      </c>
      <c r="R717" s="149">
        <v>71.599999999999994</v>
      </c>
      <c r="S717" s="149">
        <v>74.5</v>
      </c>
      <c r="T717" s="150">
        <v>150864</v>
      </c>
      <c r="U717" s="151">
        <v>10992275.199999999</v>
      </c>
      <c r="V717" s="149">
        <v>171</v>
      </c>
      <c r="Z717" s="1">
        <v>44091</v>
      </c>
      <c r="AA717">
        <v>63.07</v>
      </c>
      <c r="AB717">
        <v>291438</v>
      </c>
      <c r="AC717">
        <v>154570</v>
      </c>
      <c r="AF717" s="1">
        <v>44091</v>
      </c>
      <c r="AG717">
        <v>73.3</v>
      </c>
      <c r="AJ717" s="156">
        <f t="shared" si="11"/>
        <v>0.13956343792633011</v>
      </c>
    </row>
    <row r="718" spans="1:36" x14ac:dyDescent="0.3">
      <c r="A718" s="152">
        <v>44209</v>
      </c>
      <c r="B718" s="153">
        <v>81.8</v>
      </c>
      <c r="C718" s="153">
        <v>82.5</v>
      </c>
      <c r="D718" s="153">
        <v>81.5</v>
      </c>
      <c r="E718" s="153">
        <v>82</v>
      </c>
      <c r="F718" s="154">
        <v>548770</v>
      </c>
      <c r="G718" s="155">
        <v>44983909.700000003</v>
      </c>
      <c r="H718" s="153">
        <v>314</v>
      </c>
      <c r="I718" s="155"/>
      <c r="J718" s="155"/>
      <c r="K718" s="155"/>
      <c r="L718" s="155"/>
      <c r="M718" s="155"/>
      <c r="N718" s="155"/>
      <c r="O718" s="148">
        <v>44209</v>
      </c>
      <c r="P718" s="149">
        <v>72.2</v>
      </c>
      <c r="Q718" s="149">
        <v>72.5</v>
      </c>
      <c r="R718" s="149">
        <v>71.599999999999994</v>
      </c>
      <c r="S718" s="149">
        <v>72</v>
      </c>
      <c r="T718" s="150">
        <v>66422</v>
      </c>
      <c r="U718" s="151">
        <v>4789731.4000000004</v>
      </c>
      <c r="V718" s="149">
        <v>74</v>
      </c>
      <c r="Z718" s="1">
        <v>44090</v>
      </c>
      <c r="AA718">
        <v>60.44</v>
      </c>
      <c r="AB718">
        <v>112283</v>
      </c>
      <c r="AC718">
        <v>140222</v>
      </c>
      <c r="AF718" s="1">
        <v>44090</v>
      </c>
      <c r="AG718">
        <v>70.27</v>
      </c>
      <c r="AJ718" s="156">
        <f t="shared" si="11"/>
        <v>0.13988899957307527</v>
      </c>
    </row>
    <row r="719" spans="1:36" x14ac:dyDescent="0.3">
      <c r="A719" s="152">
        <v>44208</v>
      </c>
      <c r="B719" s="153">
        <v>82.1</v>
      </c>
      <c r="C719" s="153">
        <v>82.6</v>
      </c>
      <c r="D719" s="153">
        <v>81</v>
      </c>
      <c r="E719" s="153">
        <v>82</v>
      </c>
      <c r="F719" s="154">
        <v>870029</v>
      </c>
      <c r="G719" s="155">
        <v>71296019.299999997</v>
      </c>
      <c r="H719" s="153">
        <v>303</v>
      </c>
      <c r="I719" s="155"/>
      <c r="J719" s="155"/>
      <c r="K719" s="155"/>
      <c r="L719" s="155"/>
      <c r="M719" s="155"/>
      <c r="N719" s="155"/>
      <c r="O719" s="148">
        <v>44208</v>
      </c>
      <c r="P719" s="149">
        <v>72.599999999999994</v>
      </c>
      <c r="Q719" s="149">
        <v>73</v>
      </c>
      <c r="R719" s="149">
        <v>72</v>
      </c>
      <c r="S719" s="149">
        <v>72.400000000000006</v>
      </c>
      <c r="T719" s="150">
        <v>94907</v>
      </c>
      <c r="U719" s="151">
        <v>6857939.9000000004</v>
      </c>
      <c r="V719" s="149">
        <v>81</v>
      </c>
      <c r="Z719" s="1">
        <v>44089</v>
      </c>
      <c r="AA719">
        <v>60.35</v>
      </c>
      <c r="AB719">
        <v>210979</v>
      </c>
      <c r="AC719">
        <v>136165</v>
      </c>
      <c r="AF719" s="1">
        <v>44089</v>
      </c>
      <c r="AG719">
        <v>69.92</v>
      </c>
      <c r="AJ719" s="156">
        <f t="shared" si="11"/>
        <v>0.13687070938215104</v>
      </c>
    </row>
    <row r="720" spans="1:36" x14ac:dyDescent="0.3">
      <c r="A720" s="152">
        <v>44207</v>
      </c>
      <c r="B720" s="153">
        <v>82.4</v>
      </c>
      <c r="C720" s="153">
        <v>82.6</v>
      </c>
      <c r="D720" s="153">
        <v>82</v>
      </c>
      <c r="E720" s="153">
        <v>82.3</v>
      </c>
      <c r="F720" s="154">
        <v>1102559</v>
      </c>
      <c r="G720" s="155">
        <v>90474707.900000006</v>
      </c>
      <c r="H720" s="153">
        <v>275</v>
      </c>
      <c r="I720" s="155"/>
      <c r="J720" s="155"/>
      <c r="K720" s="155"/>
      <c r="L720" s="155"/>
      <c r="M720" s="155"/>
      <c r="N720" s="155"/>
      <c r="O720" s="148">
        <v>44207</v>
      </c>
      <c r="P720" s="149">
        <v>73</v>
      </c>
      <c r="Q720" s="149">
        <v>73</v>
      </c>
      <c r="R720" s="149">
        <v>72.599999999999994</v>
      </c>
      <c r="S720" s="149">
        <v>72.900000000000006</v>
      </c>
      <c r="T720" s="150">
        <v>19961</v>
      </c>
      <c r="U720" s="151">
        <v>1452900.6</v>
      </c>
      <c r="V720" s="149">
        <v>68</v>
      </c>
      <c r="Z720" s="1">
        <v>44088</v>
      </c>
      <c r="AA720">
        <v>60.09</v>
      </c>
      <c r="AB720">
        <v>96846</v>
      </c>
      <c r="AC720">
        <v>129895</v>
      </c>
      <c r="AF720" s="1">
        <v>44088</v>
      </c>
      <c r="AG720">
        <v>70.540000000000006</v>
      </c>
      <c r="AJ720" s="156">
        <f t="shared" si="11"/>
        <v>0.14814289764672528</v>
      </c>
    </row>
    <row r="721" spans="1:36" x14ac:dyDescent="0.3">
      <c r="A721" s="152">
        <v>44204</v>
      </c>
      <c r="B721" s="153">
        <v>82.7</v>
      </c>
      <c r="C721" s="153">
        <v>82.8</v>
      </c>
      <c r="D721" s="153">
        <v>81.900000000000006</v>
      </c>
      <c r="E721" s="153">
        <v>82.4</v>
      </c>
      <c r="F721" s="154">
        <v>893866</v>
      </c>
      <c r="G721" s="155">
        <v>73343877</v>
      </c>
      <c r="H721" s="153">
        <v>258</v>
      </c>
      <c r="I721" s="155"/>
      <c r="J721" s="155"/>
      <c r="K721" s="155"/>
      <c r="L721" s="155"/>
      <c r="M721" s="155"/>
      <c r="N721" s="155"/>
      <c r="O721" s="148">
        <v>44204</v>
      </c>
      <c r="P721" s="149">
        <v>73.099999999999994</v>
      </c>
      <c r="Q721" s="149">
        <v>73.400000000000006</v>
      </c>
      <c r="R721" s="149">
        <v>72.900000000000006</v>
      </c>
      <c r="S721" s="149">
        <v>73.3</v>
      </c>
      <c r="T721" s="150">
        <v>48760</v>
      </c>
      <c r="U721" s="151">
        <v>3568681.5</v>
      </c>
      <c r="V721" s="149">
        <v>58</v>
      </c>
      <c r="Z721" s="1">
        <v>44085</v>
      </c>
      <c r="AA721">
        <v>59.65</v>
      </c>
      <c r="AB721">
        <v>127426</v>
      </c>
      <c r="AC721">
        <v>128856</v>
      </c>
      <c r="AF721" s="1">
        <v>44085</v>
      </c>
      <c r="AG721">
        <v>70.72</v>
      </c>
      <c r="AJ721" s="156">
        <f t="shared" si="11"/>
        <v>0.15653280542986425</v>
      </c>
    </row>
    <row r="722" spans="1:36" x14ac:dyDescent="0.3">
      <c r="A722" s="152">
        <v>44203</v>
      </c>
      <c r="B722" s="153">
        <v>82.9</v>
      </c>
      <c r="C722" s="153">
        <v>83</v>
      </c>
      <c r="D722" s="153">
        <v>81.900000000000006</v>
      </c>
      <c r="E722" s="153">
        <v>82.7</v>
      </c>
      <c r="F722" s="154">
        <v>817620</v>
      </c>
      <c r="G722" s="155">
        <v>67692195.400000006</v>
      </c>
      <c r="H722" s="153">
        <v>285</v>
      </c>
      <c r="I722" s="155"/>
      <c r="J722" s="155"/>
      <c r="K722" s="155"/>
      <c r="L722" s="155"/>
      <c r="M722" s="155"/>
      <c r="N722" s="155"/>
      <c r="O722" s="148">
        <v>44203</v>
      </c>
      <c r="P722" s="149">
        <v>73.099999999999994</v>
      </c>
      <c r="Q722" s="149">
        <v>73.400000000000006</v>
      </c>
      <c r="R722" s="149">
        <v>72.900000000000006</v>
      </c>
      <c r="S722" s="149">
        <v>73.099999999999994</v>
      </c>
      <c r="T722" s="150">
        <v>88582</v>
      </c>
      <c r="U722" s="151">
        <v>6471060.4000000004</v>
      </c>
      <c r="V722" s="149">
        <v>87</v>
      </c>
      <c r="Z722" s="1">
        <v>44084</v>
      </c>
      <c r="AA722">
        <v>59.13</v>
      </c>
      <c r="AB722">
        <v>52894</v>
      </c>
      <c r="AC722">
        <v>131381</v>
      </c>
      <c r="AF722" s="1">
        <v>44084</v>
      </c>
      <c r="AG722">
        <v>70.27</v>
      </c>
      <c r="AJ722" s="156">
        <f t="shared" si="11"/>
        <v>0.15853137896684211</v>
      </c>
    </row>
    <row r="723" spans="1:36" x14ac:dyDescent="0.3">
      <c r="A723" s="152">
        <v>44202</v>
      </c>
      <c r="B723" s="153">
        <v>83</v>
      </c>
      <c r="C723" s="153">
        <v>83.2</v>
      </c>
      <c r="D723" s="153">
        <v>82</v>
      </c>
      <c r="E723" s="153">
        <v>83</v>
      </c>
      <c r="F723" s="154">
        <v>1025583</v>
      </c>
      <c r="G723" s="155">
        <v>84984643.700000003</v>
      </c>
      <c r="H723" s="153">
        <v>319</v>
      </c>
      <c r="I723" s="155"/>
      <c r="J723" s="155"/>
      <c r="K723" s="155"/>
      <c r="L723" s="155"/>
      <c r="M723" s="155"/>
      <c r="N723" s="155"/>
      <c r="O723" s="148">
        <v>44202</v>
      </c>
      <c r="P723" s="149">
        <v>73.3</v>
      </c>
      <c r="Q723" s="149">
        <v>73.5</v>
      </c>
      <c r="R723" s="149">
        <v>72.900000000000006</v>
      </c>
      <c r="S723" s="149">
        <v>73</v>
      </c>
      <c r="T723" s="150">
        <v>100144</v>
      </c>
      <c r="U723" s="151">
        <v>7311283.9000000004</v>
      </c>
      <c r="V723" s="149">
        <v>68</v>
      </c>
      <c r="Z723" s="1">
        <v>44083</v>
      </c>
      <c r="AA723">
        <v>58.25</v>
      </c>
      <c r="AB723">
        <v>286996</v>
      </c>
      <c r="AC723">
        <v>132930</v>
      </c>
      <c r="AF723" s="1">
        <v>44083</v>
      </c>
      <c r="AG723">
        <v>70.27</v>
      </c>
      <c r="AJ723" s="156">
        <f t="shared" si="11"/>
        <v>0.17105450405578479</v>
      </c>
    </row>
    <row r="724" spans="1:36" x14ac:dyDescent="0.3">
      <c r="A724" s="152">
        <v>44201</v>
      </c>
      <c r="B724" s="153">
        <v>83.5</v>
      </c>
      <c r="C724" s="153">
        <v>83.9</v>
      </c>
      <c r="D724" s="153">
        <v>83</v>
      </c>
      <c r="E724" s="153">
        <v>83.2</v>
      </c>
      <c r="F724" s="154">
        <v>644803</v>
      </c>
      <c r="G724" s="155">
        <v>53819650.100000001</v>
      </c>
      <c r="H724" s="153">
        <v>358</v>
      </c>
      <c r="I724" s="155"/>
      <c r="J724" s="155"/>
      <c r="K724" s="155"/>
      <c r="L724" s="155"/>
      <c r="M724" s="155"/>
      <c r="N724" s="155"/>
      <c r="O724" s="148">
        <v>44201</v>
      </c>
      <c r="P724" s="149">
        <v>72.8</v>
      </c>
      <c r="Q724" s="149">
        <v>73.2</v>
      </c>
      <c r="R724" s="149">
        <v>72.5</v>
      </c>
      <c r="S724" s="149">
        <v>72.7</v>
      </c>
      <c r="T724" s="150">
        <v>122193</v>
      </c>
      <c r="U724" s="151">
        <v>8897461.8000000007</v>
      </c>
      <c r="V724" s="149">
        <v>129</v>
      </c>
      <c r="Z724" s="1">
        <v>44082</v>
      </c>
      <c r="AA724">
        <v>57.2</v>
      </c>
      <c r="AB724">
        <v>33314</v>
      </c>
      <c r="AC724">
        <v>121865</v>
      </c>
      <c r="AF724" s="1">
        <v>44082</v>
      </c>
      <c r="AG724">
        <v>69.03</v>
      </c>
      <c r="AJ724" s="156">
        <f t="shared" si="11"/>
        <v>0.17137476459510356</v>
      </c>
    </row>
    <row r="725" spans="1:36" x14ac:dyDescent="0.3">
      <c r="A725" s="152">
        <v>44200</v>
      </c>
      <c r="B725" s="153">
        <v>81</v>
      </c>
      <c r="C725" s="153">
        <v>83.6</v>
      </c>
      <c r="D725" s="153">
        <v>81</v>
      </c>
      <c r="E725" s="153">
        <v>83.3</v>
      </c>
      <c r="F725" s="154">
        <v>1236817</v>
      </c>
      <c r="G725" s="155">
        <v>102745513.09999999</v>
      </c>
      <c r="H725" s="153">
        <v>481</v>
      </c>
      <c r="I725" s="155"/>
      <c r="J725" s="155"/>
      <c r="K725" s="155"/>
      <c r="L725" s="155"/>
      <c r="M725" s="155"/>
      <c r="N725" s="155"/>
      <c r="O725" s="157">
        <v>44200</v>
      </c>
      <c r="P725" s="158">
        <v>70.099999999999994</v>
      </c>
      <c r="Q725" s="158">
        <v>73</v>
      </c>
      <c r="R725" s="158">
        <v>70.099999999999994</v>
      </c>
      <c r="S725" s="158">
        <v>72.599999999999994</v>
      </c>
      <c r="T725" s="159">
        <v>307193</v>
      </c>
      <c r="U725" s="160">
        <v>22220965.699999999</v>
      </c>
      <c r="V725" s="158">
        <v>168</v>
      </c>
      <c r="Z725" s="1">
        <v>44081</v>
      </c>
      <c r="AA725">
        <v>57.38</v>
      </c>
      <c r="AB725">
        <v>92057</v>
      </c>
      <c r="AC725">
        <v>126896</v>
      </c>
      <c r="AF725" s="1">
        <v>44081</v>
      </c>
      <c r="AG725">
        <v>69.38</v>
      </c>
      <c r="AJ725" s="156">
        <f t="shared" si="11"/>
        <v>0.17296050735082147</v>
      </c>
    </row>
    <row r="726" spans="1:36" x14ac:dyDescent="0.3">
      <c r="Z726" s="1">
        <v>44078</v>
      </c>
      <c r="AA726">
        <v>58.25</v>
      </c>
      <c r="AB726">
        <v>81105</v>
      </c>
      <c r="AC726">
        <v>165822</v>
      </c>
      <c r="AF726" s="1">
        <v>44078</v>
      </c>
      <c r="AG726">
        <v>69.92</v>
      </c>
      <c r="AJ726" s="156">
        <f t="shared" si="11"/>
        <v>0.1669050343249428</v>
      </c>
    </row>
    <row r="727" spans="1:36" x14ac:dyDescent="0.3">
      <c r="Z727" s="1">
        <v>44077</v>
      </c>
      <c r="AA727">
        <v>58.69</v>
      </c>
      <c r="AB727">
        <v>117579</v>
      </c>
      <c r="AC727">
        <v>180134</v>
      </c>
      <c r="AF727" s="1">
        <v>44077</v>
      </c>
      <c r="AG727">
        <v>70.81</v>
      </c>
      <c r="AJ727" s="156">
        <f t="shared" si="11"/>
        <v>0.17116226521677735</v>
      </c>
    </row>
    <row r="728" spans="1:36" x14ac:dyDescent="0.3">
      <c r="Z728" s="1">
        <v>44076</v>
      </c>
      <c r="AA728">
        <v>58.95</v>
      </c>
      <c r="AB728">
        <v>56088</v>
      </c>
      <c r="AC728">
        <v>197508</v>
      </c>
      <c r="AF728" s="1">
        <v>44076</v>
      </c>
      <c r="AG728">
        <v>71.16</v>
      </c>
      <c r="AJ728" s="156">
        <f t="shared" si="11"/>
        <v>0.17158516020236081</v>
      </c>
    </row>
    <row r="729" spans="1:36" x14ac:dyDescent="0.3">
      <c r="Z729" s="1">
        <v>44074</v>
      </c>
      <c r="AA729">
        <v>59.13</v>
      </c>
      <c r="AB729">
        <v>87715</v>
      </c>
      <c r="AC729">
        <v>204299</v>
      </c>
      <c r="AF729" s="1">
        <v>44074</v>
      </c>
      <c r="AG729">
        <v>71.959999999999994</v>
      </c>
      <c r="AJ729" s="156">
        <f t="shared" si="11"/>
        <v>0.17829349638688149</v>
      </c>
    </row>
    <row r="730" spans="1:36" x14ac:dyDescent="0.3">
      <c r="Z730" s="1">
        <v>44071</v>
      </c>
      <c r="AA730">
        <v>59.48</v>
      </c>
      <c r="AB730">
        <v>35663</v>
      </c>
      <c r="AC730">
        <v>208692</v>
      </c>
      <c r="AF730" s="1">
        <v>44071</v>
      </c>
      <c r="AG730">
        <v>72.5</v>
      </c>
      <c r="AJ730" s="156">
        <f t="shared" si="11"/>
        <v>0.17958620689655178</v>
      </c>
    </row>
    <row r="731" spans="1:36" x14ac:dyDescent="0.3">
      <c r="Z731" s="1">
        <v>44070</v>
      </c>
      <c r="AA731">
        <v>59.13</v>
      </c>
      <c r="AB731">
        <v>636163</v>
      </c>
      <c r="AC731">
        <v>222790</v>
      </c>
      <c r="AF731" s="1">
        <v>44070</v>
      </c>
      <c r="AG731">
        <v>71.25</v>
      </c>
      <c r="AJ731" s="156">
        <f t="shared" si="11"/>
        <v>0.1701052631578947</v>
      </c>
    </row>
    <row r="732" spans="1:36" x14ac:dyDescent="0.3">
      <c r="Z732" s="1">
        <v>44069</v>
      </c>
      <c r="AA732">
        <v>59.39</v>
      </c>
      <c r="AB732">
        <v>76223</v>
      </c>
      <c r="AC732">
        <v>208085</v>
      </c>
      <c r="AF732" s="1">
        <v>44069</v>
      </c>
      <c r="AG732">
        <v>72.59</v>
      </c>
      <c r="AJ732" s="156">
        <f t="shared" si="11"/>
        <v>0.18184322909491668</v>
      </c>
    </row>
    <row r="733" spans="1:36" x14ac:dyDescent="0.3">
      <c r="Z733" s="1">
        <v>44068</v>
      </c>
      <c r="AA733">
        <v>59.48</v>
      </c>
      <c r="AB733">
        <v>51424</v>
      </c>
      <c r="AC733">
        <v>240398</v>
      </c>
      <c r="AF733" s="1">
        <v>44068</v>
      </c>
      <c r="AG733">
        <v>73.12</v>
      </c>
      <c r="AJ733" s="156">
        <f t="shared" si="11"/>
        <v>0.18654266958424517</v>
      </c>
    </row>
    <row r="734" spans="1:36" x14ac:dyDescent="0.3">
      <c r="Z734" s="1">
        <v>44067</v>
      </c>
      <c r="AA734">
        <v>60.44</v>
      </c>
      <c r="AB734">
        <v>116932</v>
      </c>
      <c r="AC734">
        <v>279971</v>
      </c>
      <c r="AF734" s="1">
        <v>44067</v>
      </c>
      <c r="AG734">
        <v>74.37</v>
      </c>
      <c r="AJ734" s="156">
        <f t="shared" si="11"/>
        <v>0.18730670969476948</v>
      </c>
    </row>
    <row r="735" spans="1:36" x14ac:dyDescent="0.3">
      <c r="Z735" s="1">
        <v>44064</v>
      </c>
      <c r="AA735">
        <v>60.62</v>
      </c>
      <c r="AB735">
        <v>81254</v>
      </c>
      <c r="AC735">
        <v>294414</v>
      </c>
      <c r="AF735" s="1">
        <v>44064</v>
      </c>
      <c r="AG735">
        <v>73.92</v>
      </c>
      <c r="AJ735" s="156">
        <f t="shared" si="11"/>
        <v>0.17992424242424249</v>
      </c>
    </row>
    <row r="736" spans="1:36" x14ac:dyDescent="0.3">
      <c r="Z736" s="1">
        <v>44063</v>
      </c>
      <c r="AA736">
        <v>59.74</v>
      </c>
      <c r="AB736">
        <v>165307</v>
      </c>
      <c r="AC736">
        <v>302373</v>
      </c>
      <c r="AF736" s="1">
        <v>44063</v>
      </c>
      <c r="AG736">
        <v>73.83</v>
      </c>
      <c r="AJ736" s="156">
        <f t="shared" si="11"/>
        <v>0.19084383042123793</v>
      </c>
    </row>
    <row r="737" spans="26:36" x14ac:dyDescent="0.3">
      <c r="Z737" s="1">
        <v>44062</v>
      </c>
      <c r="AA737">
        <v>59.65</v>
      </c>
      <c r="AB737">
        <v>76130</v>
      </c>
      <c r="AC737">
        <v>295794</v>
      </c>
      <c r="AF737" s="1">
        <v>44062</v>
      </c>
      <c r="AG737">
        <v>73.92</v>
      </c>
      <c r="AJ737" s="156">
        <f t="shared" si="11"/>
        <v>0.19304653679653683</v>
      </c>
    </row>
    <row r="738" spans="26:36" x14ac:dyDescent="0.3">
      <c r="Z738" s="1">
        <v>44061</v>
      </c>
      <c r="AA738">
        <v>59.65</v>
      </c>
      <c r="AB738">
        <v>121024</v>
      </c>
      <c r="AC738">
        <v>293171</v>
      </c>
      <c r="AF738" s="1">
        <v>44061</v>
      </c>
      <c r="AG738">
        <v>73.39</v>
      </c>
      <c r="AJ738" s="156">
        <f t="shared" si="11"/>
        <v>0.18721896716173869</v>
      </c>
    </row>
    <row r="739" spans="26:36" x14ac:dyDescent="0.3">
      <c r="Z739" s="1">
        <v>44060</v>
      </c>
      <c r="AA739">
        <v>59.48</v>
      </c>
      <c r="AB739">
        <v>108772</v>
      </c>
      <c r="AC739">
        <v>288440</v>
      </c>
      <c r="AF739" s="1">
        <v>44060</v>
      </c>
      <c r="AG739">
        <v>72.94</v>
      </c>
      <c r="AJ739" s="156">
        <f t="shared" si="11"/>
        <v>0.18453523443926517</v>
      </c>
    </row>
    <row r="740" spans="26:36" x14ac:dyDescent="0.3">
      <c r="Z740" s="1">
        <v>44057</v>
      </c>
      <c r="AA740">
        <v>59.65</v>
      </c>
      <c r="AB740">
        <v>675951</v>
      </c>
      <c r="AC740">
        <v>286234</v>
      </c>
      <c r="AF740" s="1">
        <v>44057</v>
      </c>
      <c r="AG740">
        <v>73.39</v>
      </c>
      <c r="AJ740" s="156">
        <f t="shared" si="11"/>
        <v>0.18721896716173869</v>
      </c>
    </row>
    <row r="741" spans="26:36" x14ac:dyDescent="0.3">
      <c r="Z741" s="1">
        <v>44056</v>
      </c>
      <c r="AA741">
        <v>58.69</v>
      </c>
      <c r="AB741">
        <v>295788</v>
      </c>
      <c r="AC741">
        <v>242119</v>
      </c>
      <c r="AF741" s="1">
        <v>44056</v>
      </c>
      <c r="AG741">
        <v>74.19</v>
      </c>
      <c r="AJ741" s="156">
        <f t="shared" si="11"/>
        <v>0.20892303544952151</v>
      </c>
    </row>
    <row r="742" spans="26:36" x14ac:dyDescent="0.3">
      <c r="Z742" s="1">
        <v>44055</v>
      </c>
      <c r="AA742">
        <v>58.78</v>
      </c>
      <c r="AB742">
        <v>378179</v>
      </c>
      <c r="AC742">
        <v>227046</v>
      </c>
      <c r="AF742" s="1">
        <v>44055</v>
      </c>
      <c r="AG742">
        <v>72.05</v>
      </c>
      <c r="AJ742" s="156">
        <f t="shared" si="11"/>
        <v>0.18417765440666201</v>
      </c>
    </row>
    <row r="743" spans="26:36" x14ac:dyDescent="0.3">
      <c r="Z743" s="1">
        <v>44054</v>
      </c>
      <c r="AA743">
        <v>56.24</v>
      </c>
      <c r="AB743">
        <v>157957</v>
      </c>
      <c r="AC743">
        <v>219798</v>
      </c>
      <c r="AF743" s="1">
        <v>44054</v>
      </c>
      <c r="AG743">
        <v>68.14</v>
      </c>
      <c r="AJ743" s="156">
        <f t="shared" si="11"/>
        <v>0.17464044614029936</v>
      </c>
    </row>
    <row r="744" spans="26:36" x14ac:dyDescent="0.3">
      <c r="Z744" s="1">
        <v>44053</v>
      </c>
      <c r="AA744">
        <v>55.97</v>
      </c>
      <c r="AB744">
        <v>153612</v>
      </c>
      <c r="AC744">
        <v>219276</v>
      </c>
      <c r="AF744" s="1">
        <v>44053</v>
      </c>
      <c r="AG744">
        <v>67.78</v>
      </c>
      <c r="AJ744" s="156">
        <f t="shared" si="11"/>
        <v>0.17424018884626738</v>
      </c>
    </row>
    <row r="745" spans="26:36" x14ac:dyDescent="0.3">
      <c r="Z745" s="1">
        <v>44050</v>
      </c>
      <c r="AA745">
        <v>56.15</v>
      </c>
      <c r="AB745">
        <v>247134</v>
      </c>
      <c r="AC745">
        <v>216999</v>
      </c>
      <c r="AF745" s="1">
        <v>44050</v>
      </c>
      <c r="AG745">
        <v>68.41</v>
      </c>
      <c r="AJ745" s="156">
        <f t="shared" si="11"/>
        <v>0.17921356526823562</v>
      </c>
    </row>
    <row r="746" spans="26:36" x14ac:dyDescent="0.3">
      <c r="Z746" s="1">
        <v>44049</v>
      </c>
      <c r="AA746">
        <v>56.06</v>
      </c>
      <c r="AB746">
        <v>415582</v>
      </c>
      <c r="AC746">
        <v>207027</v>
      </c>
      <c r="AF746" s="1">
        <v>44049</v>
      </c>
      <c r="AG746">
        <v>68.489999999999995</v>
      </c>
      <c r="AJ746" s="156">
        <f t="shared" si="11"/>
        <v>0.18148634837202501</v>
      </c>
    </row>
    <row r="747" spans="26:36" x14ac:dyDescent="0.3">
      <c r="Z747" s="1">
        <v>44048</v>
      </c>
      <c r="AA747">
        <v>56.06</v>
      </c>
      <c r="AB747">
        <v>560929</v>
      </c>
      <c r="AC747">
        <v>191800</v>
      </c>
      <c r="AF747" s="1">
        <v>44048</v>
      </c>
      <c r="AG747">
        <v>68.489999999999995</v>
      </c>
      <c r="AJ747" s="156">
        <f t="shared" si="11"/>
        <v>0.18148634837202501</v>
      </c>
    </row>
    <row r="748" spans="26:36" x14ac:dyDescent="0.3">
      <c r="Z748" s="1">
        <v>44047</v>
      </c>
      <c r="AA748">
        <v>55.62</v>
      </c>
      <c r="AB748">
        <v>645008</v>
      </c>
      <c r="AC748">
        <v>163627</v>
      </c>
      <c r="AF748" s="1">
        <v>44047</v>
      </c>
      <c r="AG748">
        <v>68.319999999999993</v>
      </c>
      <c r="AJ748" s="156">
        <f t="shared" si="11"/>
        <v>0.18588992974238872</v>
      </c>
    </row>
    <row r="749" spans="26:36" x14ac:dyDescent="0.3">
      <c r="Z749" s="1">
        <v>44043</v>
      </c>
      <c r="AA749">
        <v>54.4</v>
      </c>
      <c r="AB749">
        <v>333590</v>
      </c>
      <c r="AC749">
        <v>143857</v>
      </c>
      <c r="AF749" s="1">
        <v>44043</v>
      </c>
      <c r="AG749">
        <v>66.72</v>
      </c>
      <c r="AJ749" s="156">
        <f t="shared" si="11"/>
        <v>0.18465227817745805</v>
      </c>
    </row>
    <row r="750" spans="26:36" x14ac:dyDescent="0.3">
      <c r="Z750" s="1">
        <v>44042</v>
      </c>
      <c r="AA750">
        <v>54.31</v>
      </c>
      <c r="AB750">
        <v>200636</v>
      </c>
      <c r="AC750">
        <v>146058</v>
      </c>
      <c r="AF750" s="1">
        <v>44042</v>
      </c>
      <c r="AG750">
        <v>64.400000000000006</v>
      </c>
      <c r="AJ750" s="156">
        <f t="shared" si="11"/>
        <v>0.15667701863354042</v>
      </c>
    </row>
    <row r="751" spans="26:36" x14ac:dyDescent="0.3">
      <c r="Z751" s="1">
        <v>44041</v>
      </c>
      <c r="AA751">
        <v>55.01</v>
      </c>
      <c r="AB751">
        <v>66612</v>
      </c>
      <c r="AC751">
        <v>179422</v>
      </c>
      <c r="AF751" s="1">
        <v>44041</v>
      </c>
      <c r="AG751">
        <v>65.38</v>
      </c>
      <c r="AJ751" s="156">
        <f t="shared" si="11"/>
        <v>0.15861119608442947</v>
      </c>
    </row>
    <row r="752" spans="26:36" x14ac:dyDescent="0.3">
      <c r="Z752" s="1">
        <v>44040</v>
      </c>
      <c r="AA752">
        <v>55.36</v>
      </c>
      <c r="AB752">
        <v>36796</v>
      </c>
      <c r="AC752">
        <v>178618</v>
      </c>
      <c r="AF752" s="1">
        <v>44040</v>
      </c>
      <c r="AG752">
        <v>65.83</v>
      </c>
      <c r="AJ752" s="156">
        <f t="shared" si="11"/>
        <v>0.15904602764696946</v>
      </c>
    </row>
    <row r="753" spans="26:36" x14ac:dyDescent="0.3">
      <c r="Z753" s="1">
        <v>44039</v>
      </c>
      <c r="AA753">
        <v>55.45</v>
      </c>
      <c r="AB753">
        <v>50055</v>
      </c>
      <c r="AC753">
        <v>185197</v>
      </c>
      <c r="AF753" s="1">
        <v>44039</v>
      </c>
      <c r="AG753">
        <v>66.540000000000006</v>
      </c>
      <c r="AJ753" s="156">
        <f t="shared" si="11"/>
        <v>0.16666666666666671</v>
      </c>
    </row>
    <row r="754" spans="26:36" x14ac:dyDescent="0.3">
      <c r="Z754" s="1">
        <v>44036</v>
      </c>
      <c r="AA754">
        <v>55.19</v>
      </c>
      <c r="AB754">
        <v>75683</v>
      </c>
      <c r="AC754">
        <v>188384</v>
      </c>
      <c r="AF754" s="1">
        <v>44036</v>
      </c>
      <c r="AG754">
        <v>66.27</v>
      </c>
      <c r="AJ754" s="156">
        <f t="shared" si="11"/>
        <v>0.16719480911422965</v>
      </c>
    </row>
    <row r="755" spans="26:36" x14ac:dyDescent="0.3">
      <c r="Z755" s="1">
        <v>44035</v>
      </c>
      <c r="AA755">
        <v>55.19</v>
      </c>
      <c r="AB755">
        <v>14219</v>
      </c>
      <c r="AC755">
        <v>197329</v>
      </c>
      <c r="AF755" s="1">
        <v>44035</v>
      </c>
      <c r="AG755">
        <v>66.180000000000007</v>
      </c>
      <c r="AJ755" s="156">
        <f t="shared" si="11"/>
        <v>0.16606225445754016</v>
      </c>
    </row>
    <row r="756" spans="26:36" x14ac:dyDescent="0.3">
      <c r="Z756" s="1">
        <v>44034</v>
      </c>
      <c r="AA756">
        <v>55.45</v>
      </c>
      <c r="AB756">
        <v>69703</v>
      </c>
      <c r="AC756">
        <v>208426</v>
      </c>
      <c r="AF756" s="1">
        <v>44034</v>
      </c>
      <c r="AG756">
        <v>66.27</v>
      </c>
      <c r="AJ756" s="156">
        <f t="shared" si="11"/>
        <v>0.16327146521804728</v>
      </c>
    </row>
    <row r="757" spans="26:36" x14ac:dyDescent="0.3">
      <c r="Z757" s="1">
        <v>44033</v>
      </c>
      <c r="AA757">
        <v>55.97</v>
      </c>
      <c r="AB757">
        <v>269459</v>
      </c>
      <c r="AC757">
        <v>210785</v>
      </c>
      <c r="AF757" s="1">
        <v>44033</v>
      </c>
      <c r="AG757">
        <v>66.45</v>
      </c>
      <c r="AJ757" s="156">
        <f t="shared" si="11"/>
        <v>0.15771256583897672</v>
      </c>
    </row>
    <row r="758" spans="26:36" x14ac:dyDescent="0.3">
      <c r="Z758" s="1">
        <v>44032</v>
      </c>
      <c r="AA758">
        <v>56.06</v>
      </c>
      <c r="AB758">
        <v>150120</v>
      </c>
      <c r="AC758">
        <v>208888</v>
      </c>
      <c r="AF758" s="1">
        <v>44032</v>
      </c>
      <c r="AG758">
        <v>66.63</v>
      </c>
      <c r="AJ758" s="156">
        <f t="shared" si="11"/>
        <v>0.15863725048776819</v>
      </c>
    </row>
    <row r="759" spans="26:36" x14ac:dyDescent="0.3">
      <c r="Z759" s="1">
        <v>44029</v>
      </c>
      <c r="AA759">
        <v>55.19</v>
      </c>
      <c r="AB759">
        <v>119452</v>
      </c>
      <c r="AC759">
        <v>207265</v>
      </c>
      <c r="AF759" s="1">
        <v>44029</v>
      </c>
      <c r="AG759">
        <v>65.83</v>
      </c>
      <c r="AJ759" s="156">
        <f t="shared" si="11"/>
        <v>0.16162843688288017</v>
      </c>
    </row>
    <row r="760" spans="26:36" x14ac:dyDescent="0.3">
      <c r="Z760" s="1">
        <v>44028</v>
      </c>
      <c r="AA760">
        <v>53.61</v>
      </c>
      <c r="AB760">
        <v>97557</v>
      </c>
      <c r="AC760">
        <v>202900</v>
      </c>
      <c r="AF760" s="1">
        <v>44028</v>
      </c>
      <c r="AG760">
        <v>65.83</v>
      </c>
      <c r="AJ760" s="156">
        <f t="shared" si="11"/>
        <v>0.18562965213428526</v>
      </c>
    </row>
    <row r="761" spans="26:36" x14ac:dyDescent="0.3">
      <c r="Z761" s="1">
        <v>44027</v>
      </c>
      <c r="AA761">
        <v>52.29</v>
      </c>
      <c r="AB761">
        <v>187174</v>
      </c>
      <c r="AC761">
        <v>200709</v>
      </c>
      <c r="AF761" s="1">
        <v>44027</v>
      </c>
      <c r="AG761">
        <v>64.58</v>
      </c>
      <c r="AJ761" s="156">
        <f t="shared" si="11"/>
        <v>0.19030659646949519</v>
      </c>
    </row>
    <row r="762" spans="26:36" x14ac:dyDescent="0.3">
      <c r="Z762" s="1">
        <v>44026</v>
      </c>
      <c r="AA762">
        <v>53.87</v>
      </c>
      <c r="AB762">
        <v>138340</v>
      </c>
      <c r="AC762">
        <v>194288</v>
      </c>
      <c r="AF762" s="1">
        <v>44026</v>
      </c>
      <c r="AG762">
        <v>65.03</v>
      </c>
      <c r="AJ762" s="156">
        <f t="shared" si="11"/>
        <v>0.17161310164539448</v>
      </c>
    </row>
    <row r="763" spans="26:36" x14ac:dyDescent="0.3">
      <c r="Z763" s="1">
        <v>44025</v>
      </c>
      <c r="AA763">
        <v>51.33</v>
      </c>
      <c r="AB763">
        <v>348452</v>
      </c>
      <c r="AC763">
        <v>238661</v>
      </c>
      <c r="AF763" s="1">
        <v>44025</v>
      </c>
      <c r="AG763">
        <v>62.98</v>
      </c>
      <c r="AJ763" s="156">
        <f t="shared" si="11"/>
        <v>0.18497935852651634</v>
      </c>
    </row>
    <row r="764" spans="26:36" x14ac:dyDescent="0.3">
      <c r="Z764" s="1">
        <v>44022</v>
      </c>
      <c r="AA764">
        <v>53.35</v>
      </c>
      <c r="AB764">
        <v>366617</v>
      </c>
      <c r="AC764">
        <v>256155</v>
      </c>
      <c r="AF764" s="1">
        <v>44022</v>
      </c>
      <c r="AG764">
        <v>65.739999999999995</v>
      </c>
      <c r="AJ764" s="156">
        <f t="shared" si="11"/>
        <v>0.18846972923638566</v>
      </c>
    </row>
    <row r="765" spans="26:36" x14ac:dyDescent="0.3">
      <c r="Z765" s="1">
        <v>44021</v>
      </c>
      <c r="AA765">
        <v>55.97</v>
      </c>
      <c r="AB765">
        <v>701095</v>
      </c>
      <c r="AC765">
        <v>253877</v>
      </c>
      <c r="AF765" s="1">
        <v>44021</v>
      </c>
      <c r="AG765">
        <v>68.14</v>
      </c>
      <c r="AJ765" s="156">
        <f t="shared" si="11"/>
        <v>0.17860287643087763</v>
      </c>
    </row>
    <row r="766" spans="26:36" x14ac:dyDescent="0.3">
      <c r="Z766" s="1">
        <v>44020</v>
      </c>
      <c r="AA766">
        <v>55.89</v>
      </c>
      <c r="AB766">
        <v>54545</v>
      </c>
      <c r="AC766">
        <v>236308</v>
      </c>
      <c r="AF766" s="1">
        <v>44020</v>
      </c>
      <c r="AG766">
        <v>68.14</v>
      </c>
      <c r="AJ766" s="156">
        <f t="shared" si="11"/>
        <v>0.17977692985030819</v>
      </c>
    </row>
    <row r="767" spans="26:36" x14ac:dyDescent="0.3">
      <c r="Z767" s="1">
        <v>44019</v>
      </c>
      <c r="AA767">
        <v>56.59</v>
      </c>
      <c r="AB767">
        <v>135485</v>
      </c>
      <c r="AC767">
        <v>258917</v>
      </c>
      <c r="AF767" s="1">
        <v>44019</v>
      </c>
      <c r="AG767">
        <v>68.05</v>
      </c>
      <c r="AJ767" s="156">
        <f t="shared" si="11"/>
        <v>0.16840558412931658</v>
      </c>
    </row>
    <row r="768" spans="26:36" x14ac:dyDescent="0.3">
      <c r="Z768" s="1">
        <v>44018</v>
      </c>
      <c r="AA768">
        <v>56.76</v>
      </c>
      <c r="AB768">
        <v>97865</v>
      </c>
      <c r="AC768">
        <v>264010</v>
      </c>
      <c r="AF768" s="1">
        <v>44018</v>
      </c>
      <c r="AG768">
        <v>67.430000000000007</v>
      </c>
      <c r="AJ768" s="156">
        <f t="shared" si="11"/>
        <v>0.15823817292006537</v>
      </c>
    </row>
    <row r="769" spans="26:36" x14ac:dyDescent="0.3">
      <c r="Z769" s="1">
        <v>44015</v>
      </c>
      <c r="AA769">
        <v>55.45</v>
      </c>
      <c r="AB769">
        <v>209859</v>
      </c>
      <c r="AC769">
        <v>275997</v>
      </c>
      <c r="AF769" s="1">
        <v>44015</v>
      </c>
      <c r="AG769">
        <v>68.05</v>
      </c>
      <c r="AJ769" s="156">
        <f t="shared" si="11"/>
        <v>0.18515797207935333</v>
      </c>
    </row>
    <row r="770" spans="26:36" x14ac:dyDescent="0.3">
      <c r="Z770" s="1">
        <v>44014</v>
      </c>
      <c r="AA770">
        <v>56.94</v>
      </c>
      <c r="AB770">
        <v>180664</v>
      </c>
      <c r="AC770">
        <v>333749</v>
      </c>
      <c r="AF770" s="1">
        <v>44014</v>
      </c>
      <c r="AG770">
        <v>68.58</v>
      </c>
      <c r="AJ770" s="156">
        <f t="shared" si="11"/>
        <v>0.16972878390201226</v>
      </c>
    </row>
    <row r="771" spans="26:36" x14ac:dyDescent="0.3">
      <c r="Z771" s="1">
        <v>44013</v>
      </c>
      <c r="AA771">
        <v>58.78</v>
      </c>
      <c r="AB771">
        <v>105091</v>
      </c>
      <c r="AC771">
        <v>614548</v>
      </c>
      <c r="AF771" s="1">
        <v>44013</v>
      </c>
      <c r="AG771">
        <v>69.38</v>
      </c>
      <c r="AJ771" s="156">
        <f t="shared" si="11"/>
        <v>0.15278178149322563</v>
      </c>
    </row>
    <row r="772" spans="26:36" x14ac:dyDescent="0.3">
      <c r="Z772" s="1">
        <v>44012</v>
      </c>
      <c r="AA772">
        <v>59.21</v>
      </c>
      <c r="AB772">
        <v>241001</v>
      </c>
      <c r="AC772">
        <v>615097</v>
      </c>
      <c r="AF772" s="1">
        <v>44012</v>
      </c>
      <c r="AG772">
        <v>70.099999999999994</v>
      </c>
      <c r="AJ772" s="156">
        <f t="shared" si="11"/>
        <v>0.15534950071326667</v>
      </c>
    </row>
    <row r="773" spans="26:36" x14ac:dyDescent="0.3">
      <c r="Z773" s="1">
        <v>44011</v>
      </c>
      <c r="AA773">
        <v>58.69</v>
      </c>
      <c r="AB773">
        <v>125776</v>
      </c>
      <c r="AC773">
        <v>625656</v>
      </c>
      <c r="AF773" s="1">
        <v>44011</v>
      </c>
      <c r="AG773">
        <v>68.489999999999995</v>
      </c>
      <c r="AJ773" s="156">
        <f t="shared" si="11"/>
        <v>0.14308658198277119</v>
      </c>
    </row>
    <row r="774" spans="26:36" x14ac:dyDescent="0.3">
      <c r="Z774" s="1">
        <v>44008</v>
      </c>
      <c r="AA774">
        <v>58.08</v>
      </c>
      <c r="AB774">
        <v>53983</v>
      </c>
      <c r="AC774">
        <v>625577</v>
      </c>
      <c r="AF774" s="1">
        <v>44008</v>
      </c>
      <c r="AG774">
        <v>68.23</v>
      </c>
      <c r="AJ774" s="156">
        <f t="shared" ref="AJ774:AJ837" si="12">(AG774-AA774)/AG774</f>
        <v>0.14876154184376381</v>
      </c>
    </row>
    <row r="775" spans="26:36" x14ac:dyDescent="0.3">
      <c r="Z775" s="1">
        <v>44007</v>
      </c>
      <c r="AA775">
        <v>57.46</v>
      </c>
      <c r="AB775">
        <v>64684</v>
      </c>
      <c r="AC775">
        <v>623532</v>
      </c>
      <c r="AF775" s="1">
        <v>44007</v>
      </c>
      <c r="AG775">
        <v>66.84</v>
      </c>
      <c r="AJ775" s="156">
        <f t="shared" si="12"/>
        <v>0.14033512866546982</v>
      </c>
    </row>
    <row r="776" spans="26:36" x14ac:dyDescent="0.3">
      <c r="Z776" s="1">
        <v>44006</v>
      </c>
      <c r="AA776">
        <v>57.04</v>
      </c>
      <c r="AB776">
        <v>90863</v>
      </c>
      <c r="AC776">
        <v>620767</v>
      </c>
      <c r="AF776" s="1">
        <v>44006</v>
      </c>
      <c r="AG776">
        <v>66.06</v>
      </c>
      <c r="AJ776" s="156">
        <f t="shared" si="12"/>
        <v>0.13654253708749625</v>
      </c>
    </row>
    <row r="777" spans="26:36" x14ac:dyDescent="0.3">
      <c r="Z777" s="1">
        <v>44005</v>
      </c>
      <c r="AA777">
        <v>57.98</v>
      </c>
      <c r="AB777">
        <v>803934</v>
      </c>
      <c r="AC777">
        <v>638947</v>
      </c>
      <c r="AF777" s="1">
        <v>44005</v>
      </c>
      <c r="AG777">
        <v>65.97</v>
      </c>
      <c r="AJ777" s="156">
        <f t="shared" si="12"/>
        <v>0.12111565863271187</v>
      </c>
    </row>
    <row r="778" spans="26:36" x14ac:dyDescent="0.3">
      <c r="Z778" s="1">
        <v>44004</v>
      </c>
      <c r="AA778">
        <v>54.82</v>
      </c>
      <c r="AB778">
        <v>610866</v>
      </c>
      <c r="AC778">
        <v>588993</v>
      </c>
      <c r="AF778" s="1">
        <v>44004</v>
      </c>
      <c r="AG778">
        <v>64.41</v>
      </c>
      <c r="AJ778" s="156">
        <f t="shared" si="12"/>
        <v>0.14888992392485634</v>
      </c>
    </row>
    <row r="779" spans="26:36" x14ac:dyDescent="0.3">
      <c r="Z779" s="1">
        <v>44001</v>
      </c>
      <c r="AA779">
        <v>52.08</v>
      </c>
      <c r="AB779">
        <v>332446</v>
      </c>
      <c r="AC779">
        <v>555139</v>
      </c>
      <c r="AF779" s="1">
        <v>44001</v>
      </c>
      <c r="AG779">
        <v>61.71</v>
      </c>
      <c r="AJ779" s="156">
        <f t="shared" si="12"/>
        <v>0.15605250364608658</v>
      </c>
    </row>
    <row r="780" spans="26:36" x14ac:dyDescent="0.3">
      <c r="Z780" s="1">
        <v>44000</v>
      </c>
      <c r="AA780">
        <v>50.38</v>
      </c>
      <c r="AB780">
        <v>437552</v>
      </c>
      <c r="AC780">
        <v>537867</v>
      </c>
      <c r="AF780" s="1">
        <v>44000</v>
      </c>
      <c r="AG780">
        <v>60.67</v>
      </c>
      <c r="AJ780" s="156">
        <f t="shared" si="12"/>
        <v>0.16960606560079114</v>
      </c>
    </row>
    <row r="781" spans="26:36" x14ac:dyDescent="0.3">
      <c r="Z781" s="1">
        <v>43999</v>
      </c>
      <c r="AA781">
        <v>50.97</v>
      </c>
      <c r="AB781">
        <v>393692</v>
      </c>
      <c r="AC781">
        <v>517016</v>
      </c>
      <c r="AF781" s="1">
        <v>43999</v>
      </c>
      <c r="AG781">
        <v>60.76</v>
      </c>
      <c r="AJ781" s="156">
        <f t="shared" si="12"/>
        <v>0.16112574061882817</v>
      </c>
    </row>
    <row r="782" spans="26:36" x14ac:dyDescent="0.3">
      <c r="Z782" s="1">
        <v>43998</v>
      </c>
      <c r="AA782">
        <v>48.67</v>
      </c>
      <c r="AB782">
        <v>211871</v>
      </c>
      <c r="AC782">
        <v>500991</v>
      </c>
      <c r="AF782" s="1">
        <v>43998</v>
      </c>
      <c r="AG782">
        <v>59.8</v>
      </c>
      <c r="AJ782" s="156">
        <f t="shared" si="12"/>
        <v>0.18612040133779256</v>
      </c>
    </row>
    <row r="783" spans="26:36" x14ac:dyDescent="0.3">
      <c r="Z783" s="1">
        <v>43997</v>
      </c>
      <c r="AA783">
        <v>47.99</v>
      </c>
      <c r="AB783">
        <v>277673</v>
      </c>
      <c r="AC783">
        <v>499727</v>
      </c>
      <c r="AF783" s="1">
        <v>43997</v>
      </c>
      <c r="AG783">
        <v>59.11</v>
      </c>
      <c r="AJ783" s="156">
        <f t="shared" si="12"/>
        <v>0.18812383691422768</v>
      </c>
    </row>
    <row r="784" spans="26:36" x14ac:dyDescent="0.3">
      <c r="Z784" s="1">
        <v>43994</v>
      </c>
      <c r="AA784">
        <v>48.07</v>
      </c>
      <c r="AB784">
        <v>1076142</v>
      </c>
      <c r="AC784">
        <v>516000</v>
      </c>
      <c r="AF784" s="1">
        <v>43994</v>
      </c>
      <c r="AG784">
        <v>59.8</v>
      </c>
      <c r="AJ784" s="156">
        <f t="shared" si="12"/>
        <v>0.19615384615384612</v>
      </c>
    </row>
    <row r="785" spans="26:36" x14ac:dyDescent="0.3">
      <c r="Z785" s="1">
        <v>43993</v>
      </c>
      <c r="AA785">
        <v>46.28</v>
      </c>
      <c r="AB785">
        <v>4392651</v>
      </c>
      <c r="AC785">
        <v>468399</v>
      </c>
      <c r="AF785" s="1">
        <v>43993</v>
      </c>
      <c r="AG785">
        <v>58.58</v>
      </c>
      <c r="AJ785" s="156">
        <f t="shared" si="12"/>
        <v>0.20996927278934785</v>
      </c>
    </row>
    <row r="786" spans="26:36" x14ac:dyDescent="0.3">
      <c r="Z786" s="1">
        <v>43992</v>
      </c>
      <c r="AA786">
        <v>46.45</v>
      </c>
      <c r="AB786">
        <v>113318</v>
      </c>
      <c r="AC786">
        <v>185973</v>
      </c>
      <c r="AF786" s="1">
        <v>43992</v>
      </c>
      <c r="AG786">
        <v>56.93</v>
      </c>
      <c r="AJ786" s="156">
        <f t="shared" si="12"/>
        <v>0.18408571930440887</v>
      </c>
    </row>
    <row r="787" spans="26:36" x14ac:dyDescent="0.3">
      <c r="Z787" s="1">
        <v>43991</v>
      </c>
      <c r="AA787">
        <v>46.28</v>
      </c>
      <c r="AB787">
        <v>399387</v>
      </c>
      <c r="AC787">
        <v>200324</v>
      </c>
      <c r="AF787" s="1">
        <v>43991</v>
      </c>
      <c r="AG787">
        <v>56.67</v>
      </c>
      <c r="AJ787" s="156">
        <f t="shared" si="12"/>
        <v>0.18334215634374448</v>
      </c>
    </row>
    <row r="788" spans="26:36" x14ac:dyDescent="0.3">
      <c r="Z788" s="1">
        <v>43990</v>
      </c>
      <c r="AA788">
        <v>45.68</v>
      </c>
      <c r="AB788">
        <v>124586</v>
      </c>
      <c r="AC788">
        <v>179395</v>
      </c>
      <c r="AF788" s="1">
        <v>43990</v>
      </c>
      <c r="AG788">
        <v>55.19</v>
      </c>
      <c r="AJ788" s="156">
        <f t="shared" si="12"/>
        <v>0.17231382496829134</v>
      </c>
    </row>
    <row r="789" spans="26:36" x14ac:dyDescent="0.3">
      <c r="Z789" s="1">
        <v>43986</v>
      </c>
      <c r="AA789">
        <v>46.02</v>
      </c>
      <c r="AB789">
        <v>23309</v>
      </c>
      <c r="AC789">
        <v>176469</v>
      </c>
      <c r="AF789" s="1">
        <v>43986</v>
      </c>
      <c r="AG789">
        <v>54.5</v>
      </c>
      <c r="AJ789" s="156">
        <f t="shared" si="12"/>
        <v>0.15559633027522929</v>
      </c>
    </row>
    <row r="790" spans="26:36" x14ac:dyDescent="0.3">
      <c r="Z790" s="1">
        <v>43985</v>
      </c>
      <c r="AA790">
        <v>45.59</v>
      </c>
      <c r="AB790">
        <v>23208</v>
      </c>
      <c r="AC790">
        <v>178678</v>
      </c>
      <c r="AF790" s="1">
        <v>43985</v>
      </c>
      <c r="AG790">
        <v>54.76</v>
      </c>
      <c r="AJ790" s="156">
        <f t="shared" si="12"/>
        <v>0.16745799853907953</v>
      </c>
    </row>
    <row r="791" spans="26:36" x14ac:dyDescent="0.3">
      <c r="Z791" s="1">
        <v>43984</v>
      </c>
      <c r="AA791">
        <v>44.83</v>
      </c>
      <c r="AB791">
        <v>363569</v>
      </c>
      <c r="AC791">
        <v>184870</v>
      </c>
      <c r="AF791" s="1">
        <v>43984</v>
      </c>
      <c r="AG791">
        <v>54.15</v>
      </c>
      <c r="AJ791" s="156">
        <f t="shared" si="12"/>
        <v>0.1721144967682364</v>
      </c>
    </row>
    <row r="792" spans="26:36" x14ac:dyDescent="0.3">
      <c r="Z792" s="1">
        <v>43983</v>
      </c>
      <c r="AA792">
        <v>45.08</v>
      </c>
      <c r="AB792">
        <v>54618</v>
      </c>
      <c r="AC792">
        <v>161036</v>
      </c>
      <c r="AF792" s="1">
        <v>43983</v>
      </c>
      <c r="AG792">
        <v>53.54</v>
      </c>
      <c r="AJ792" s="156">
        <f t="shared" si="12"/>
        <v>0.15801270078446022</v>
      </c>
    </row>
    <row r="793" spans="26:36" x14ac:dyDescent="0.3">
      <c r="Z793" s="1">
        <v>43980</v>
      </c>
      <c r="AA793">
        <v>45.77</v>
      </c>
      <c r="AB793">
        <v>103058</v>
      </c>
      <c r="AC793">
        <v>160467</v>
      </c>
      <c r="AF793" s="1">
        <v>43980</v>
      </c>
      <c r="AG793">
        <v>54.76</v>
      </c>
      <c r="AJ793" s="156">
        <f t="shared" si="12"/>
        <v>0.16417092768444111</v>
      </c>
    </row>
    <row r="794" spans="26:36" x14ac:dyDescent="0.3">
      <c r="Z794" s="1">
        <v>43979</v>
      </c>
      <c r="AA794">
        <v>46.19</v>
      </c>
      <c r="AB794">
        <v>73375</v>
      </c>
      <c r="AC794">
        <v>155960</v>
      </c>
      <c r="AF794" s="1">
        <v>43979</v>
      </c>
      <c r="AG794">
        <v>56.32</v>
      </c>
      <c r="AJ794" s="156">
        <f t="shared" si="12"/>
        <v>0.17986505681818185</v>
      </c>
    </row>
    <row r="795" spans="26:36" x14ac:dyDescent="0.3">
      <c r="Z795" s="1">
        <v>43978</v>
      </c>
      <c r="AA795">
        <v>46.36</v>
      </c>
      <c r="AB795">
        <v>124785</v>
      </c>
      <c r="AC795">
        <v>157590</v>
      </c>
      <c r="AF795" s="1">
        <v>43978</v>
      </c>
      <c r="AG795">
        <v>55.63</v>
      </c>
      <c r="AJ795" s="156">
        <f t="shared" si="12"/>
        <v>0.16663670681287079</v>
      </c>
    </row>
    <row r="796" spans="26:36" x14ac:dyDescent="0.3">
      <c r="Z796" s="1">
        <v>43977</v>
      </c>
      <c r="AA796">
        <v>46.19</v>
      </c>
      <c r="AB796">
        <v>153321</v>
      </c>
      <c r="AC796">
        <v>151222</v>
      </c>
      <c r="AF796" s="1">
        <v>43977</v>
      </c>
      <c r="AG796">
        <v>55.54</v>
      </c>
      <c r="AJ796" s="156">
        <f t="shared" si="12"/>
        <v>0.1683471371984156</v>
      </c>
    </row>
    <row r="797" spans="26:36" x14ac:dyDescent="0.3">
      <c r="Z797" s="1">
        <v>43973</v>
      </c>
      <c r="AA797">
        <v>48.92</v>
      </c>
      <c r="AB797">
        <v>192904</v>
      </c>
      <c r="AC797">
        <v>143054</v>
      </c>
      <c r="AF797" s="1">
        <v>43973</v>
      </c>
      <c r="AG797">
        <v>59.19</v>
      </c>
      <c r="AJ797" s="156">
        <f t="shared" si="12"/>
        <v>0.17350903868896767</v>
      </c>
    </row>
    <row r="798" spans="26:36" x14ac:dyDescent="0.3">
      <c r="Z798" s="1">
        <v>43972</v>
      </c>
      <c r="AA798">
        <v>50.97</v>
      </c>
      <c r="AB798">
        <v>521765</v>
      </c>
      <c r="AC798">
        <v>140647</v>
      </c>
      <c r="AF798" s="1">
        <v>43972</v>
      </c>
      <c r="AG798">
        <v>61.02</v>
      </c>
      <c r="AJ798" s="156">
        <f t="shared" si="12"/>
        <v>0.16470009832841698</v>
      </c>
    </row>
    <row r="799" spans="26:36" x14ac:dyDescent="0.3">
      <c r="Z799" s="1">
        <v>43971</v>
      </c>
      <c r="AA799">
        <v>45.42</v>
      </c>
      <c r="AB799">
        <v>362128</v>
      </c>
      <c r="AC799">
        <v>135355</v>
      </c>
      <c r="AF799" s="1">
        <v>43971</v>
      </c>
      <c r="AG799">
        <v>53.98</v>
      </c>
      <c r="AJ799" s="156">
        <f t="shared" si="12"/>
        <v>0.15857725083364202</v>
      </c>
    </row>
    <row r="800" spans="26:36" x14ac:dyDescent="0.3">
      <c r="Z800" s="1">
        <v>43970</v>
      </c>
      <c r="AA800">
        <v>43.97</v>
      </c>
      <c r="AB800">
        <v>156271</v>
      </c>
      <c r="AC800">
        <v>111545</v>
      </c>
      <c r="AF800" s="1">
        <v>43970</v>
      </c>
      <c r="AG800">
        <v>50.07</v>
      </c>
      <c r="AJ800" s="156">
        <f t="shared" si="12"/>
        <v>0.12182943878570004</v>
      </c>
    </row>
    <row r="801" spans="26:36" x14ac:dyDescent="0.3">
      <c r="Z801" s="1">
        <v>43969</v>
      </c>
      <c r="AA801">
        <v>42.69</v>
      </c>
      <c r="AB801">
        <v>328575</v>
      </c>
      <c r="AC801">
        <v>101368</v>
      </c>
      <c r="AF801" s="1">
        <v>43969</v>
      </c>
      <c r="AG801">
        <v>48.76</v>
      </c>
      <c r="AJ801" s="156">
        <f t="shared" si="12"/>
        <v>0.12448728465955702</v>
      </c>
    </row>
    <row r="802" spans="26:36" x14ac:dyDescent="0.3">
      <c r="Z802" s="1">
        <v>43966</v>
      </c>
      <c r="AA802">
        <v>42.61</v>
      </c>
      <c r="AB802">
        <v>85451</v>
      </c>
      <c r="AC802">
        <v>80075</v>
      </c>
      <c r="AF802" s="1">
        <v>43966</v>
      </c>
      <c r="AG802">
        <v>47.63</v>
      </c>
      <c r="AJ802" s="156">
        <f t="shared" si="12"/>
        <v>0.10539575897543571</v>
      </c>
    </row>
    <row r="803" spans="26:36" x14ac:dyDescent="0.3">
      <c r="Z803" s="1">
        <v>43965</v>
      </c>
      <c r="AA803">
        <v>42.44</v>
      </c>
      <c r="AB803">
        <v>80698</v>
      </c>
      <c r="AC803">
        <v>80878</v>
      </c>
      <c r="AF803" s="1">
        <v>43965</v>
      </c>
      <c r="AG803">
        <v>43.55</v>
      </c>
      <c r="AJ803" s="156">
        <f t="shared" si="12"/>
        <v>2.5487944890929953E-2</v>
      </c>
    </row>
    <row r="804" spans="26:36" x14ac:dyDescent="0.3">
      <c r="Z804" s="1">
        <v>43964</v>
      </c>
      <c r="AA804">
        <v>43.89</v>
      </c>
      <c r="AB804">
        <v>56450</v>
      </c>
      <c r="AC804">
        <v>78270</v>
      </c>
      <c r="AF804" s="1">
        <v>43964</v>
      </c>
      <c r="AG804">
        <v>48.15</v>
      </c>
      <c r="AJ804" s="156">
        <f t="shared" si="12"/>
        <v>8.8473520249221144E-2</v>
      </c>
    </row>
    <row r="805" spans="26:36" x14ac:dyDescent="0.3">
      <c r="Z805" s="1">
        <v>43963</v>
      </c>
      <c r="AA805">
        <v>42.61</v>
      </c>
      <c r="AB805">
        <v>116085</v>
      </c>
      <c r="AC805">
        <v>79092</v>
      </c>
      <c r="AF805" s="1">
        <v>43963</v>
      </c>
      <c r="AG805">
        <v>47.89</v>
      </c>
      <c r="AJ805" s="156">
        <f t="shared" si="12"/>
        <v>0.11025266235122157</v>
      </c>
    </row>
    <row r="806" spans="26:36" x14ac:dyDescent="0.3">
      <c r="Z806" s="1">
        <v>43962</v>
      </c>
      <c r="AA806">
        <v>46.96</v>
      </c>
      <c r="AB806">
        <v>6055</v>
      </c>
      <c r="AC806">
        <v>72211</v>
      </c>
      <c r="AF806" s="1">
        <v>43962</v>
      </c>
      <c r="AG806">
        <v>47.81</v>
      </c>
      <c r="AJ806" s="156">
        <f t="shared" si="12"/>
        <v>1.7778707383392624E-2</v>
      </c>
    </row>
    <row r="807" spans="26:36" x14ac:dyDescent="0.3">
      <c r="Z807" s="1">
        <v>43910</v>
      </c>
      <c r="AA807">
        <v>49.95</v>
      </c>
      <c r="AB807">
        <v>46088</v>
      </c>
      <c r="AC807">
        <v>73017</v>
      </c>
      <c r="AF807" s="1">
        <v>43910</v>
      </c>
      <c r="AG807">
        <v>52.24</v>
      </c>
      <c r="AJ807" s="156">
        <f t="shared" si="12"/>
        <v>4.3836140888208253E-2</v>
      </c>
    </row>
    <row r="808" spans="26:36" x14ac:dyDescent="0.3">
      <c r="Z808" s="1">
        <v>43903</v>
      </c>
      <c r="AA808">
        <v>56.35</v>
      </c>
      <c r="AB808">
        <v>35452</v>
      </c>
      <c r="AC808">
        <v>70085</v>
      </c>
      <c r="AF808" s="1">
        <v>43903</v>
      </c>
      <c r="AG808">
        <v>62.67</v>
      </c>
      <c r="AJ808" s="156">
        <f t="shared" si="12"/>
        <v>0.10084569969682464</v>
      </c>
    </row>
    <row r="809" spans="26:36" x14ac:dyDescent="0.3">
      <c r="Z809" s="1">
        <v>43902</v>
      </c>
      <c r="AA809">
        <v>57.21</v>
      </c>
      <c r="AB809">
        <v>97828</v>
      </c>
      <c r="AC809">
        <v>73381</v>
      </c>
      <c r="AF809" s="1">
        <v>43902</v>
      </c>
      <c r="AG809">
        <v>65.19</v>
      </c>
      <c r="AJ809" s="156">
        <f t="shared" si="12"/>
        <v>0.12241141279337317</v>
      </c>
    </row>
    <row r="810" spans="26:36" x14ac:dyDescent="0.3">
      <c r="Z810" s="1">
        <v>43901</v>
      </c>
      <c r="AA810">
        <v>59.77</v>
      </c>
      <c r="AB810">
        <v>29264</v>
      </c>
      <c r="AC810">
        <v>66981</v>
      </c>
      <c r="AF810" s="1">
        <v>43901</v>
      </c>
      <c r="AG810">
        <v>67.8</v>
      </c>
      <c r="AJ810" s="156">
        <f t="shared" si="12"/>
        <v>0.11843657817109136</v>
      </c>
    </row>
    <row r="811" spans="26:36" x14ac:dyDescent="0.3">
      <c r="Z811" s="1">
        <v>43900</v>
      </c>
      <c r="AA811">
        <v>58.57</v>
      </c>
      <c r="AB811">
        <v>30792</v>
      </c>
      <c r="AC811">
        <v>66631</v>
      </c>
      <c r="AF811" s="1">
        <v>43900</v>
      </c>
      <c r="AG811">
        <v>67.099999999999994</v>
      </c>
      <c r="AJ811" s="156">
        <f t="shared" si="12"/>
        <v>0.12712369597615492</v>
      </c>
    </row>
    <row r="812" spans="26:36" x14ac:dyDescent="0.3">
      <c r="Z812" s="1">
        <v>43896</v>
      </c>
      <c r="AA812">
        <v>59.26</v>
      </c>
      <c r="AB812">
        <v>156803</v>
      </c>
      <c r="AC812">
        <v>66620</v>
      </c>
      <c r="AF812" s="1">
        <v>43896</v>
      </c>
      <c r="AG812">
        <v>69.28</v>
      </c>
      <c r="AJ812" s="156">
        <f t="shared" si="12"/>
        <v>0.14463048498845271</v>
      </c>
    </row>
    <row r="813" spans="26:36" x14ac:dyDescent="0.3">
      <c r="Z813" s="1">
        <v>43895</v>
      </c>
      <c r="AA813">
        <v>60.62</v>
      </c>
      <c r="AB813">
        <v>442380</v>
      </c>
      <c r="AC813">
        <v>56716</v>
      </c>
      <c r="AF813" s="1">
        <v>43895</v>
      </c>
      <c r="AG813">
        <v>70.41</v>
      </c>
      <c r="AJ813" s="156">
        <f t="shared" si="12"/>
        <v>0.13904274960943047</v>
      </c>
    </row>
    <row r="814" spans="26:36" x14ac:dyDescent="0.3">
      <c r="Z814" s="1">
        <v>43894</v>
      </c>
      <c r="AA814">
        <v>64.12</v>
      </c>
      <c r="AB814">
        <v>4983</v>
      </c>
      <c r="AC814">
        <v>27774</v>
      </c>
      <c r="AF814" s="1">
        <v>43894</v>
      </c>
      <c r="AG814">
        <v>73.45</v>
      </c>
      <c r="AJ814" s="156">
        <f t="shared" si="12"/>
        <v>0.12702518720217831</v>
      </c>
    </row>
    <row r="815" spans="26:36" x14ac:dyDescent="0.3">
      <c r="Z815" s="1">
        <v>43893</v>
      </c>
      <c r="AA815">
        <v>64.89</v>
      </c>
      <c r="AB815">
        <v>3618</v>
      </c>
      <c r="AC815">
        <v>33519</v>
      </c>
      <c r="AF815" s="1">
        <v>43893</v>
      </c>
      <c r="AG815">
        <v>74.58</v>
      </c>
      <c r="AJ815" s="156">
        <f t="shared" si="12"/>
        <v>0.12992759452936442</v>
      </c>
    </row>
    <row r="816" spans="26:36" x14ac:dyDescent="0.3">
      <c r="Z816" s="1">
        <v>43892</v>
      </c>
      <c r="AA816">
        <v>64.040000000000006</v>
      </c>
      <c r="AB816">
        <v>9183</v>
      </c>
      <c r="AC816">
        <v>35749</v>
      </c>
      <c r="AF816" s="1">
        <v>43892</v>
      </c>
      <c r="AG816">
        <v>74.75</v>
      </c>
      <c r="AJ816" s="156">
        <f t="shared" si="12"/>
        <v>0.14327759197324405</v>
      </c>
    </row>
    <row r="817" spans="26:36" x14ac:dyDescent="0.3">
      <c r="Z817" s="1">
        <v>43889</v>
      </c>
      <c r="AA817">
        <v>62.33</v>
      </c>
      <c r="AB817">
        <v>97490</v>
      </c>
      <c r="AC817">
        <v>38696</v>
      </c>
      <c r="AF817" s="1">
        <v>43889</v>
      </c>
      <c r="AG817">
        <v>74.319999999999993</v>
      </c>
      <c r="AJ817" s="156">
        <f t="shared" si="12"/>
        <v>0.16132938643702902</v>
      </c>
    </row>
    <row r="818" spans="26:36" x14ac:dyDescent="0.3">
      <c r="Z818" s="1">
        <v>43888</v>
      </c>
      <c r="AA818">
        <v>63.18</v>
      </c>
      <c r="AB818">
        <v>41578</v>
      </c>
      <c r="AC818">
        <v>36980</v>
      </c>
      <c r="AF818" s="1">
        <v>43888</v>
      </c>
      <c r="AG818">
        <v>76.06</v>
      </c>
      <c r="AJ818" s="156">
        <f t="shared" si="12"/>
        <v>0.16933999474099398</v>
      </c>
    </row>
    <row r="819" spans="26:36" x14ac:dyDescent="0.3">
      <c r="Z819" s="1">
        <v>43887</v>
      </c>
      <c r="AA819">
        <v>64.040000000000006</v>
      </c>
      <c r="AB819">
        <v>68779</v>
      </c>
      <c r="AC819">
        <v>37564</v>
      </c>
      <c r="AF819" s="1">
        <v>43887</v>
      </c>
      <c r="AG819">
        <v>75.62</v>
      </c>
      <c r="AJ819" s="156">
        <f t="shared" si="12"/>
        <v>0.15313409151018245</v>
      </c>
    </row>
    <row r="820" spans="26:36" x14ac:dyDescent="0.3">
      <c r="Z820" s="1">
        <v>43886</v>
      </c>
      <c r="AA820">
        <v>66.09</v>
      </c>
      <c r="AB820">
        <v>12870</v>
      </c>
      <c r="AC820">
        <v>34836</v>
      </c>
      <c r="AF820" s="1">
        <v>43886</v>
      </c>
      <c r="AG820">
        <v>77.36</v>
      </c>
      <c r="AJ820" s="156">
        <f t="shared" si="12"/>
        <v>0.14568252326783862</v>
      </c>
    </row>
    <row r="821" spans="26:36" x14ac:dyDescent="0.3">
      <c r="Z821" s="1">
        <v>43885</v>
      </c>
      <c r="AA821">
        <v>67.37</v>
      </c>
      <c r="AB821">
        <v>18152</v>
      </c>
      <c r="AC821">
        <v>35215</v>
      </c>
      <c r="AF821" s="1">
        <v>43885</v>
      </c>
      <c r="AG821">
        <v>78.06</v>
      </c>
      <c r="AJ821" s="156">
        <f t="shared" si="12"/>
        <v>0.13694593902126567</v>
      </c>
    </row>
    <row r="822" spans="26:36" x14ac:dyDescent="0.3">
      <c r="Z822" s="1">
        <v>43881</v>
      </c>
      <c r="AA822">
        <v>66.86</v>
      </c>
      <c r="AB822">
        <v>2096</v>
      </c>
      <c r="AC822">
        <v>34169</v>
      </c>
      <c r="AF822" s="1">
        <v>43881</v>
      </c>
      <c r="AG822">
        <v>78.23</v>
      </c>
      <c r="AJ822" s="156">
        <f t="shared" si="12"/>
        <v>0.14534066215007035</v>
      </c>
    </row>
    <row r="823" spans="26:36" x14ac:dyDescent="0.3">
      <c r="Z823" s="1">
        <v>43880</v>
      </c>
      <c r="AA823">
        <v>66.680000000000007</v>
      </c>
      <c r="AB823">
        <v>84900</v>
      </c>
      <c r="AC823">
        <v>35166</v>
      </c>
      <c r="AF823" s="1">
        <v>43880</v>
      </c>
      <c r="AG823">
        <v>78.14</v>
      </c>
      <c r="AJ823" s="156">
        <f t="shared" si="12"/>
        <v>0.1466598413104683</v>
      </c>
    </row>
    <row r="824" spans="26:36" x14ac:dyDescent="0.3">
      <c r="Z824" s="1">
        <v>43879</v>
      </c>
      <c r="AA824">
        <v>67.03</v>
      </c>
      <c r="AB824">
        <v>1834</v>
      </c>
      <c r="AC824">
        <v>30245</v>
      </c>
      <c r="AF824" s="1">
        <v>43879</v>
      </c>
      <c r="AG824">
        <v>76.58</v>
      </c>
      <c r="AJ824" s="156">
        <f t="shared" si="12"/>
        <v>0.12470618960564113</v>
      </c>
    </row>
    <row r="825" spans="26:36" x14ac:dyDescent="0.3">
      <c r="Z825" s="1">
        <v>43878</v>
      </c>
      <c r="AA825">
        <v>65.83</v>
      </c>
      <c r="AB825">
        <v>24012</v>
      </c>
      <c r="AC825">
        <v>30307</v>
      </c>
      <c r="AF825" s="1">
        <v>43878</v>
      </c>
      <c r="AG825">
        <v>74.319999999999993</v>
      </c>
      <c r="AJ825" s="156">
        <f t="shared" si="12"/>
        <v>0.11423573735199133</v>
      </c>
    </row>
    <row r="826" spans="26:36" x14ac:dyDescent="0.3">
      <c r="Z826" s="1">
        <v>43875</v>
      </c>
      <c r="AA826">
        <v>65.92</v>
      </c>
      <c r="AB826">
        <v>30622</v>
      </c>
      <c r="AC826">
        <v>30821</v>
      </c>
      <c r="AF826" s="1">
        <v>43875</v>
      </c>
      <c r="AG826">
        <v>74.319999999999993</v>
      </c>
      <c r="AJ826" s="156">
        <f t="shared" si="12"/>
        <v>0.11302475780409031</v>
      </c>
    </row>
    <row r="827" spans="26:36" x14ac:dyDescent="0.3">
      <c r="Z827" s="1">
        <v>43874</v>
      </c>
      <c r="AA827">
        <v>66.94</v>
      </c>
      <c r="AB827">
        <v>8240</v>
      </c>
      <c r="AC827">
        <v>42135</v>
      </c>
      <c r="AF827" s="1">
        <v>43874</v>
      </c>
      <c r="AG827">
        <v>75.8</v>
      </c>
      <c r="AJ827" s="156">
        <f t="shared" si="12"/>
        <v>0.11688654353562004</v>
      </c>
    </row>
    <row r="828" spans="26:36" x14ac:dyDescent="0.3">
      <c r="Z828" s="1">
        <v>43873</v>
      </c>
      <c r="AA828">
        <v>67.97</v>
      </c>
      <c r="AB828">
        <v>8257</v>
      </c>
      <c r="AC828">
        <v>46012</v>
      </c>
      <c r="AF828" s="1">
        <v>43873</v>
      </c>
      <c r="AG828">
        <v>77.27</v>
      </c>
      <c r="AJ828" s="156">
        <f t="shared" si="12"/>
        <v>0.12035718907726152</v>
      </c>
    </row>
    <row r="829" spans="26:36" x14ac:dyDescent="0.3">
      <c r="Z829" s="1">
        <v>43872</v>
      </c>
      <c r="AA829">
        <v>70.010000000000005</v>
      </c>
      <c r="AB829">
        <v>91153</v>
      </c>
      <c r="AC829">
        <v>46627</v>
      </c>
      <c r="AF829" s="1">
        <v>43872</v>
      </c>
      <c r="AG829">
        <v>79.97</v>
      </c>
      <c r="AJ829" s="156">
        <f t="shared" si="12"/>
        <v>0.12454670501438031</v>
      </c>
    </row>
    <row r="830" spans="26:36" x14ac:dyDescent="0.3">
      <c r="Z830" s="1">
        <v>43871</v>
      </c>
      <c r="AA830">
        <v>69.930000000000007</v>
      </c>
      <c r="AB830">
        <v>37068</v>
      </c>
      <c r="AC830">
        <v>42449</v>
      </c>
      <c r="AF830" s="1">
        <v>43871</v>
      </c>
      <c r="AG830">
        <v>80.400000000000006</v>
      </c>
      <c r="AJ830" s="156">
        <f t="shared" si="12"/>
        <v>0.1302238805970149</v>
      </c>
    </row>
    <row r="831" spans="26:36" x14ac:dyDescent="0.3">
      <c r="Z831" s="1">
        <v>43868</v>
      </c>
      <c r="AA831">
        <v>70.099999999999994</v>
      </c>
      <c r="AB831">
        <v>53395</v>
      </c>
      <c r="AC831">
        <v>43899</v>
      </c>
      <c r="AF831" s="1">
        <v>43868</v>
      </c>
      <c r="AG831">
        <v>80.14</v>
      </c>
      <c r="AJ831" s="156">
        <f t="shared" si="12"/>
        <v>0.12528075867232352</v>
      </c>
    </row>
    <row r="832" spans="26:36" x14ac:dyDescent="0.3">
      <c r="Z832" s="1">
        <v>43867</v>
      </c>
      <c r="AA832">
        <v>70.010000000000005</v>
      </c>
      <c r="AB832">
        <v>71745</v>
      </c>
      <c r="AC832">
        <v>40387</v>
      </c>
      <c r="AF832" s="1">
        <v>43867</v>
      </c>
      <c r="AG832">
        <v>80.14</v>
      </c>
      <c r="AJ832" s="156">
        <f t="shared" si="12"/>
        <v>0.12640379336161711</v>
      </c>
    </row>
    <row r="833" spans="26:36" x14ac:dyDescent="0.3">
      <c r="Z833" s="1">
        <v>43866</v>
      </c>
      <c r="AA833">
        <v>70.099999999999994</v>
      </c>
      <c r="AB833">
        <v>50337</v>
      </c>
      <c r="AC833">
        <v>36641</v>
      </c>
      <c r="AF833" s="1">
        <v>43866</v>
      </c>
      <c r="AG833">
        <v>80.84</v>
      </c>
      <c r="AJ833" s="156">
        <f t="shared" si="12"/>
        <v>0.13285502226620496</v>
      </c>
    </row>
    <row r="834" spans="26:36" x14ac:dyDescent="0.3">
      <c r="Z834" s="1">
        <v>43864</v>
      </c>
      <c r="AA834">
        <v>70.7</v>
      </c>
      <c r="AB834">
        <v>27861</v>
      </c>
      <c r="AC834">
        <v>33667</v>
      </c>
      <c r="AF834" s="1">
        <v>43864</v>
      </c>
      <c r="AG834">
        <v>80.319999999999993</v>
      </c>
      <c r="AJ834" s="156">
        <f t="shared" si="12"/>
        <v>0.11977091633466125</v>
      </c>
    </row>
    <row r="835" spans="26:36" x14ac:dyDescent="0.3">
      <c r="Z835" s="1">
        <v>43861</v>
      </c>
      <c r="AA835">
        <v>70.010000000000005</v>
      </c>
      <c r="AB835">
        <v>18552</v>
      </c>
      <c r="AC835">
        <v>31923</v>
      </c>
      <c r="AF835" s="1">
        <v>43861</v>
      </c>
      <c r="AG835">
        <v>79.97</v>
      </c>
      <c r="AJ835" s="156">
        <f t="shared" si="12"/>
        <v>0.12454670501438031</v>
      </c>
    </row>
    <row r="836" spans="26:36" x14ac:dyDescent="0.3">
      <c r="Z836" s="1">
        <v>43860</v>
      </c>
      <c r="AA836">
        <v>70.010000000000005</v>
      </c>
      <c r="AB836">
        <v>2461</v>
      </c>
      <c r="AC836">
        <v>31827</v>
      </c>
      <c r="AF836" s="1">
        <v>43860</v>
      </c>
      <c r="AG836">
        <v>79.97</v>
      </c>
      <c r="AJ836" s="156">
        <f t="shared" si="12"/>
        <v>0.12454670501438031</v>
      </c>
    </row>
    <row r="837" spans="26:36" x14ac:dyDescent="0.3">
      <c r="Z837" s="1">
        <v>43859</v>
      </c>
      <c r="AA837">
        <v>69.16</v>
      </c>
      <c r="AB837">
        <v>17050</v>
      </c>
      <c r="AC837">
        <v>32799</v>
      </c>
      <c r="AF837" s="1">
        <v>43859</v>
      </c>
      <c r="AG837">
        <v>79.97</v>
      </c>
      <c r="AJ837" s="156">
        <f t="shared" si="12"/>
        <v>0.13517569088408157</v>
      </c>
    </row>
    <row r="838" spans="26:36" x14ac:dyDescent="0.3">
      <c r="Z838" s="1">
        <v>43858</v>
      </c>
      <c r="AA838">
        <v>69.16</v>
      </c>
      <c r="AB838">
        <v>11093</v>
      </c>
      <c r="AC838">
        <v>32434</v>
      </c>
      <c r="AF838" s="1">
        <v>43858</v>
      </c>
      <c r="AG838">
        <v>80.84</v>
      </c>
      <c r="AJ838" s="156">
        <f t="shared" ref="AJ838:AJ901" si="13">(AG838-AA838)/AG838</f>
        <v>0.14448292924294912</v>
      </c>
    </row>
    <row r="839" spans="26:36" x14ac:dyDescent="0.3">
      <c r="Z839" s="1">
        <v>43857</v>
      </c>
      <c r="AA839">
        <v>69.760000000000005</v>
      </c>
      <c r="AB839">
        <v>2757</v>
      </c>
      <c r="AC839">
        <v>33772</v>
      </c>
      <c r="AF839" s="1">
        <v>43857</v>
      </c>
      <c r="AG839">
        <v>80.84</v>
      </c>
      <c r="AJ839" s="156">
        <f t="shared" si="13"/>
        <v>0.13706086095992082</v>
      </c>
    </row>
    <row r="840" spans="26:36" x14ac:dyDescent="0.3">
      <c r="Z840" s="1">
        <v>43854</v>
      </c>
      <c r="AA840">
        <v>70.099999999999994</v>
      </c>
      <c r="AB840">
        <v>31731</v>
      </c>
      <c r="AC840">
        <v>33682</v>
      </c>
      <c r="AF840" s="1">
        <v>43854</v>
      </c>
      <c r="AG840">
        <v>81.27</v>
      </c>
      <c r="AJ840" s="156">
        <f t="shared" si="13"/>
        <v>0.13744309093146306</v>
      </c>
    </row>
    <row r="841" spans="26:36" x14ac:dyDescent="0.3">
      <c r="Z841" s="1">
        <v>43853</v>
      </c>
      <c r="AA841">
        <v>70.010000000000005</v>
      </c>
      <c r="AB841">
        <v>200320</v>
      </c>
      <c r="AC841">
        <v>34264</v>
      </c>
      <c r="AF841" s="1">
        <v>43853</v>
      </c>
      <c r="AG841">
        <v>81.27</v>
      </c>
      <c r="AJ841" s="156">
        <f t="shared" si="13"/>
        <v>0.1385505106435338</v>
      </c>
    </row>
    <row r="842" spans="26:36" x14ac:dyDescent="0.3">
      <c r="Z842" s="1">
        <v>43852</v>
      </c>
      <c r="AA842">
        <v>70.010000000000005</v>
      </c>
      <c r="AB842">
        <v>66400</v>
      </c>
      <c r="AC842">
        <v>21077</v>
      </c>
      <c r="AF842" s="1">
        <v>43852</v>
      </c>
      <c r="AG842">
        <v>79.97</v>
      </c>
      <c r="AJ842" s="156">
        <f t="shared" si="13"/>
        <v>0.12454670501438031</v>
      </c>
    </row>
    <row r="843" spans="26:36" x14ac:dyDescent="0.3">
      <c r="Z843" s="1">
        <v>43851</v>
      </c>
      <c r="AA843">
        <v>68.48</v>
      </c>
      <c r="AB843">
        <v>17481</v>
      </c>
      <c r="AC843">
        <v>17729</v>
      </c>
      <c r="AF843" s="1">
        <v>43851</v>
      </c>
      <c r="AG843">
        <v>79.97</v>
      </c>
      <c r="AJ843" s="156">
        <f t="shared" si="13"/>
        <v>0.14367887957984238</v>
      </c>
    </row>
    <row r="844" spans="26:36" x14ac:dyDescent="0.3">
      <c r="Z844" s="1">
        <v>43850</v>
      </c>
      <c r="AA844">
        <v>68.31</v>
      </c>
      <c r="AB844">
        <v>28478</v>
      </c>
      <c r="AC844">
        <v>16838</v>
      </c>
      <c r="AF844" s="1">
        <v>43850</v>
      </c>
      <c r="AG844">
        <v>78.23</v>
      </c>
      <c r="AJ844" s="156">
        <f t="shared" si="13"/>
        <v>0.12680557330947209</v>
      </c>
    </row>
    <row r="845" spans="26:36" x14ac:dyDescent="0.3">
      <c r="Z845" s="1">
        <v>43847</v>
      </c>
      <c r="AA845">
        <v>68.31</v>
      </c>
      <c r="AB845">
        <v>58823</v>
      </c>
      <c r="AC845">
        <v>16019</v>
      </c>
      <c r="AF845" s="1">
        <v>43847</v>
      </c>
      <c r="AG845">
        <v>78.14</v>
      </c>
      <c r="AJ845" s="156">
        <f t="shared" si="13"/>
        <v>0.12579984642948552</v>
      </c>
    </row>
    <row r="846" spans="26:36" x14ac:dyDescent="0.3">
      <c r="Z846" s="1">
        <v>43846</v>
      </c>
      <c r="AA846">
        <v>70.010000000000005</v>
      </c>
      <c r="AB846">
        <v>713</v>
      </c>
      <c r="AC846">
        <v>12341</v>
      </c>
      <c r="AF846" s="1">
        <v>43846</v>
      </c>
      <c r="AG846">
        <v>79.97</v>
      </c>
      <c r="AJ846" s="156">
        <f t="shared" si="13"/>
        <v>0.12454670501438031</v>
      </c>
    </row>
    <row r="847" spans="26:36" x14ac:dyDescent="0.3">
      <c r="Z847" s="1">
        <v>43844</v>
      </c>
      <c r="AA847">
        <v>70.010000000000005</v>
      </c>
      <c r="AB847">
        <v>15561</v>
      </c>
      <c r="AC847">
        <v>12960</v>
      </c>
      <c r="AF847" s="1">
        <v>43844</v>
      </c>
      <c r="AG847">
        <v>79.790000000000006</v>
      </c>
      <c r="AJ847" s="156">
        <f t="shared" si="13"/>
        <v>0.12257175084597068</v>
      </c>
    </row>
    <row r="848" spans="26:36" x14ac:dyDescent="0.3">
      <c r="Z848" s="1">
        <v>43843</v>
      </c>
      <c r="AA848">
        <v>70.87</v>
      </c>
      <c r="AB848">
        <v>5728</v>
      </c>
      <c r="AC848">
        <v>11939</v>
      </c>
      <c r="AF848" s="1">
        <v>43843</v>
      </c>
      <c r="AG848">
        <v>78.92</v>
      </c>
      <c r="AJ848" s="156">
        <f t="shared" si="13"/>
        <v>0.10200202736948805</v>
      </c>
    </row>
    <row r="849" spans="26:36" x14ac:dyDescent="0.3">
      <c r="Z849" s="1">
        <v>43839</v>
      </c>
      <c r="AA849">
        <v>70.010000000000005</v>
      </c>
      <c r="AB849">
        <v>1698</v>
      </c>
      <c r="AC849">
        <v>12337</v>
      </c>
      <c r="AF849" s="1">
        <v>43839</v>
      </c>
      <c r="AG849">
        <v>80.66</v>
      </c>
      <c r="AJ849" s="156">
        <f t="shared" si="13"/>
        <v>0.13203570543020074</v>
      </c>
    </row>
    <row r="850" spans="26:36" x14ac:dyDescent="0.3">
      <c r="Z850" s="1">
        <v>43838</v>
      </c>
      <c r="AA850">
        <v>69.59</v>
      </c>
      <c r="AB850">
        <v>17117</v>
      </c>
      <c r="AC850">
        <v>12270</v>
      </c>
      <c r="AF850" s="1">
        <v>43838</v>
      </c>
      <c r="AG850">
        <v>79.97</v>
      </c>
      <c r="AJ850" s="156">
        <f t="shared" si="13"/>
        <v>0.12979867450293855</v>
      </c>
    </row>
    <row r="851" spans="26:36" x14ac:dyDescent="0.3">
      <c r="Z851" s="1">
        <v>43837</v>
      </c>
      <c r="AA851">
        <v>70.010000000000005</v>
      </c>
      <c r="AB851">
        <v>17034</v>
      </c>
      <c r="AC851">
        <v>11166</v>
      </c>
      <c r="AF851" s="1">
        <v>43837</v>
      </c>
      <c r="AG851">
        <v>81.53</v>
      </c>
      <c r="AJ851" s="156">
        <f t="shared" si="13"/>
        <v>0.14129768183490735</v>
      </c>
    </row>
    <row r="852" spans="26:36" x14ac:dyDescent="0.3">
      <c r="Z852" s="1">
        <v>43836</v>
      </c>
      <c r="AA852">
        <v>70.7</v>
      </c>
      <c r="AB852">
        <v>11572</v>
      </c>
      <c r="AC852">
        <v>11486</v>
      </c>
      <c r="AF852" s="1">
        <v>43836</v>
      </c>
      <c r="AG852">
        <v>81.709999999999994</v>
      </c>
      <c r="AJ852" s="156">
        <f t="shared" si="13"/>
        <v>0.13474482927426254</v>
      </c>
    </row>
    <row r="853" spans="26:36" x14ac:dyDescent="0.3">
      <c r="Z853" s="1">
        <v>43833</v>
      </c>
      <c r="AA853">
        <v>70.95</v>
      </c>
      <c r="AB853">
        <v>31173</v>
      </c>
      <c r="AC853">
        <v>10769</v>
      </c>
      <c r="AF853" s="1">
        <v>43833</v>
      </c>
      <c r="AG853">
        <v>82.58</v>
      </c>
      <c r="AJ853" s="156">
        <f t="shared" si="13"/>
        <v>0.14083313150883986</v>
      </c>
    </row>
    <row r="854" spans="26:36" x14ac:dyDescent="0.3">
      <c r="Z854" s="1">
        <v>43832</v>
      </c>
      <c r="AA854">
        <v>73.430000000000007</v>
      </c>
      <c r="AB854">
        <v>1408</v>
      </c>
      <c r="AC854">
        <v>9198</v>
      </c>
      <c r="AF854" s="1">
        <v>43832</v>
      </c>
      <c r="AG854">
        <v>82.58</v>
      </c>
      <c r="AJ854" s="156">
        <f t="shared" si="13"/>
        <v>0.11080164688786621</v>
      </c>
    </row>
    <row r="855" spans="26:36" x14ac:dyDescent="0.3">
      <c r="Z855" s="1">
        <v>43830</v>
      </c>
      <c r="AA855">
        <v>70.87</v>
      </c>
      <c r="AB855">
        <v>40449</v>
      </c>
      <c r="AC855">
        <v>9682</v>
      </c>
      <c r="AF855" s="1">
        <v>43830</v>
      </c>
      <c r="AG855">
        <v>82.58</v>
      </c>
      <c r="AJ855" s="156">
        <f t="shared" si="13"/>
        <v>0.14180188907725835</v>
      </c>
    </row>
    <row r="856" spans="26:36" x14ac:dyDescent="0.3">
      <c r="Z856" s="1">
        <v>43829</v>
      </c>
      <c r="AA856">
        <v>71.47</v>
      </c>
      <c r="AB856">
        <v>2523</v>
      </c>
      <c r="AC856">
        <v>9655</v>
      </c>
      <c r="AF856" s="1">
        <v>43829</v>
      </c>
      <c r="AG856">
        <v>83.36</v>
      </c>
      <c r="AJ856" s="156">
        <f t="shared" si="13"/>
        <v>0.14263435700575816</v>
      </c>
    </row>
    <row r="857" spans="26:36" x14ac:dyDescent="0.3">
      <c r="Z857" s="1">
        <v>43826</v>
      </c>
      <c r="AA857">
        <v>72.150000000000006</v>
      </c>
      <c r="AB857">
        <v>16172</v>
      </c>
      <c r="AC857">
        <v>12042</v>
      </c>
      <c r="AF857" s="1">
        <v>43826</v>
      </c>
      <c r="AG857">
        <v>84.31</v>
      </c>
      <c r="AJ857" s="156">
        <f t="shared" si="13"/>
        <v>0.14422962875103779</v>
      </c>
    </row>
    <row r="858" spans="26:36" x14ac:dyDescent="0.3">
      <c r="Z858" s="1">
        <v>43825</v>
      </c>
      <c r="AA858">
        <v>72.150000000000006</v>
      </c>
      <c r="AB858">
        <v>4121</v>
      </c>
      <c r="AC858">
        <v>13351</v>
      </c>
      <c r="AF858" s="1">
        <v>43825</v>
      </c>
      <c r="AG858">
        <v>84.23</v>
      </c>
      <c r="AJ858" s="156">
        <f t="shared" si="13"/>
        <v>0.14341683485693932</v>
      </c>
    </row>
    <row r="859" spans="26:36" x14ac:dyDescent="0.3">
      <c r="Z859" s="1">
        <v>43823</v>
      </c>
      <c r="AA859">
        <v>71.72</v>
      </c>
      <c r="AB859">
        <v>16188</v>
      </c>
      <c r="AC859">
        <v>13187</v>
      </c>
      <c r="AF859" s="1">
        <v>43823</v>
      </c>
      <c r="AG859">
        <v>83.44</v>
      </c>
      <c r="AJ859" s="156">
        <f t="shared" si="13"/>
        <v>0.14046021093000957</v>
      </c>
    </row>
    <row r="860" spans="26:36" x14ac:dyDescent="0.3">
      <c r="Z860" s="1">
        <v>43822</v>
      </c>
      <c r="AA860">
        <v>71.81</v>
      </c>
      <c r="AB860">
        <v>3653</v>
      </c>
      <c r="AC860">
        <v>13714</v>
      </c>
      <c r="AF860" s="1">
        <v>43822</v>
      </c>
      <c r="AG860">
        <v>83.44</v>
      </c>
      <c r="AJ860" s="156">
        <f t="shared" si="13"/>
        <v>0.13938159156279956</v>
      </c>
    </row>
    <row r="861" spans="26:36" x14ac:dyDescent="0.3">
      <c r="Z861" s="1">
        <v>43819</v>
      </c>
      <c r="AA861">
        <v>72.58</v>
      </c>
      <c r="AB861">
        <v>10008</v>
      </c>
      <c r="AC861">
        <v>17124</v>
      </c>
      <c r="AF861" s="1">
        <v>43819</v>
      </c>
      <c r="AG861">
        <v>83.97</v>
      </c>
      <c r="AJ861" s="156">
        <f t="shared" si="13"/>
        <v>0.1356436822674765</v>
      </c>
    </row>
    <row r="862" spans="26:36" x14ac:dyDescent="0.3">
      <c r="Z862" s="1">
        <v>43818</v>
      </c>
      <c r="AA862">
        <v>71.81</v>
      </c>
      <c r="AB862">
        <v>242</v>
      </c>
      <c r="AC862">
        <v>49824</v>
      </c>
      <c r="AF862" s="1">
        <v>43818</v>
      </c>
      <c r="AG862">
        <v>84.31</v>
      </c>
      <c r="AJ862" s="156">
        <f t="shared" si="13"/>
        <v>0.14826236508124777</v>
      </c>
    </row>
    <row r="863" spans="26:36" x14ac:dyDescent="0.3">
      <c r="Z863" s="1">
        <v>43817</v>
      </c>
      <c r="AA863">
        <v>71.72</v>
      </c>
      <c r="AB863">
        <v>11704</v>
      </c>
      <c r="AC863">
        <v>50710</v>
      </c>
      <c r="AF863" s="1">
        <v>43817</v>
      </c>
      <c r="AG863">
        <v>84.31</v>
      </c>
      <c r="AJ863" s="156">
        <f t="shared" si="13"/>
        <v>0.14932985410983279</v>
      </c>
    </row>
    <row r="864" spans="26:36" x14ac:dyDescent="0.3">
      <c r="Z864" s="1">
        <v>43816</v>
      </c>
      <c r="AA864">
        <v>72.489999999999995</v>
      </c>
      <c r="AB864">
        <v>680</v>
      </c>
      <c r="AC864">
        <v>52074</v>
      </c>
      <c r="AF864" s="1">
        <v>43816</v>
      </c>
      <c r="AG864">
        <v>84.31</v>
      </c>
      <c r="AJ864" s="156">
        <f t="shared" si="13"/>
        <v>0.14019689242082797</v>
      </c>
    </row>
    <row r="865" spans="26:36" x14ac:dyDescent="0.3">
      <c r="Z865" s="1">
        <v>43815</v>
      </c>
      <c r="AA865">
        <v>72.58</v>
      </c>
      <c r="AB865">
        <v>570</v>
      </c>
      <c r="AC865">
        <v>53370</v>
      </c>
      <c r="AF865" s="1">
        <v>43815</v>
      </c>
      <c r="AG865">
        <v>83.88</v>
      </c>
      <c r="AJ865" s="156">
        <f t="shared" si="13"/>
        <v>0.13471626132570336</v>
      </c>
    </row>
    <row r="866" spans="26:36" x14ac:dyDescent="0.3">
      <c r="Z866" s="1">
        <v>43812</v>
      </c>
      <c r="AA866">
        <v>71.98</v>
      </c>
      <c r="AB866">
        <v>21823</v>
      </c>
      <c r="AC866">
        <v>53685</v>
      </c>
      <c r="AF866" s="1">
        <v>43812</v>
      </c>
      <c r="AG866">
        <v>83.88</v>
      </c>
      <c r="AJ866" s="156">
        <f t="shared" si="13"/>
        <v>0.14186933714830702</v>
      </c>
    </row>
    <row r="867" spans="26:36" x14ac:dyDescent="0.3">
      <c r="Z867" s="1">
        <v>43811</v>
      </c>
      <c r="AA867">
        <v>71.72</v>
      </c>
      <c r="AB867">
        <v>820</v>
      </c>
      <c r="AC867">
        <v>54871</v>
      </c>
      <c r="AF867" s="1">
        <v>43811</v>
      </c>
      <c r="AG867">
        <v>83.79</v>
      </c>
      <c r="AJ867" s="156">
        <f t="shared" si="13"/>
        <v>0.14405060269721931</v>
      </c>
    </row>
    <row r="868" spans="26:36" x14ac:dyDescent="0.3">
      <c r="Z868" s="1">
        <v>43809</v>
      </c>
      <c r="AA868">
        <v>71.72</v>
      </c>
      <c r="AB868">
        <v>7613</v>
      </c>
      <c r="AC868">
        <v>65078</v>
      </c>
      <c r="AF868" s="1">
        <v>43809</v>
      </c>
      <c r="AG868">
        <v>84.66</v>
      </c>
      <c r="AJ868" s="156">
        <f t="shared" si="13"/>
        <v>0.15284668084101108</v>
      </c>
    </row>
    <row r="869" spans="26:36" x14ac:dyDescent="0.3">
      <c r="Z869" s="1">
        <v>43808</v>
      </c>
      <c r="AA869">
        <v>72.06</v>
      </c>
      <c r="AB869">
        <v>8659</v>
      </c>
      <c r="AC869">
        <v>67835</v>
      </c>
      <c r="AF869" s="1">
        <v>43808</v>
      </c>
      <c r="AG869">
        <v>84.31</v>
      </c>
      <c r="AJ869" s="156">
        <f t="shared" si="13"/>
        <v>0.14529711777962281</v>
      </c>
    </row>
    <row r="870" spans="26:36" x14ac:dyDescent="0.3">
      <c r="Z870" s="1">
        <v>43805</v>
      </c>
      <c r="AA870">
        <v>72.58</v>
      </c>
      <c r="AB870">
        <v>40052</v>
      </c>
      <c r="AC870">
        <v>77787</v>
      </c>
      <c r="AF870" s="1">
        <v>43805</v>
      </c>
      <c r="AG870">
        <v>85.18</v>
      </c>
      <c r="AJ870" s="156">
        <f t="shared" si="13"/>
        <v>0.14792204742897402</v>
      </c>
    </row>
    <row r="871" spans="26:36" x14ac:dyDescent="0.3">
      <c r="Z871" s="1">
        <v>43804</v>
      </c>
      <c r="AA871">
        <v>72.23</v>
      </c>
      <c r="AB871">
        <v>38328</v>
      </c>
      <c r="AC871">
        <v>78407</v>
      </c>
      <c r="AF871" s="1">
        <v>43804</v>
      </c>
      <c r="AG871">
        <v>85.1</v>
      </c>
      <c r="AJ871" s="156">
        <f t="shared" si="13"/>
        <v>0.15123384253819025</v>
      </c>
    </row>
    <row r="872" spans="26:36" x14ac:dyDescent="0.3">
      <c r="Z872" s="1">
        <v>43803</v>
      </c>
      <c r="AA872">
        <v>73.430000000000007</v>
      </c>
      <c r="AB872">
        <v>35803</v>
      </c>
      <c r="AC872">
        <v>77088</v>
      </c>
      <c r="AF872" s="1">
        <v>43803</v>
      </c>
      <c r="AG872">
        <v>85.18</v>
      </c>
      <c r="AJ872" s="156">
        <f t="shared" si="13"/>
        <v>0.13794317915003521</v>
      </c>
    </row>
    <row r="873" spans="26:36" x14ac:dyDescent="0.3">
      <c r="Z873" s="1">
        <v>43802</v>
      </c>
      <c r="AA873">
        <v>73.260000000000005</v>
      </c>
      <c r="AB873">
        <v>1660</v>
      </c>
      <c r="AC873">
        <v>78531</v>
      </c>
      <c r="AF873" s="1">
        <v>43802</v>
      </c>
      <c r="AG873">
        <v>86.05</v>
      </c>
      <c r="AJ873" s="156">
        <f t="shared" si="13"/>
        <v>0.1486345148169668</v>
      </c>
    </row>
    <row r="874" spans="26:36" x14ac:dyDescent="0.3">
      <c r="Z874" s="1">
        <v>43801</v>
      </c>
      <c r="AA874">
        <v>73.69</v>
      </c>
      <c r="AB874">
        <v>24092</v>
      </c>
      <c r="AC874">
        <v>78499</v>
      </c>
      <c r="AF874" s="1">
        <v>43801</v>
      </c>
      <c r="AG874">
        <v>85.88</v>
      </c>
      <c r="AJ874" s="156">
        <f t="shared" si="13"/>
        <v>0.1419422449930135</v>
      </c>
    </row>
    <row r="875" spans="26:36" x14ac:dyDescent="0.3">
      <c r="Z875" s="1">
        <v>43798</v>
      </c>
      <c r="AA875">
        <v>74.8</v>
      </c>
      <c r="AB875">
        <v>54812</v>
      </c>
      <c r="AC875">
        <v>77238</v>
      </c>
      <c r="AF875" s="1">
        <v>43798</v>
      </c>
      <c r="AG875">
        <v>87.01</v>
      </c>
      <c r="AJ875" s="156">
        <f t="shared" si="13"/>
        <v>0.14032869785082183</v>
      </c>
    </row>
    <row r="876" spans="26:36" x14ac:dyDescent="0.3">
      <c r="Z876" s="1">
        <v>43797</v>
      </c>
      <c r="AA876">
        <v>74.97</v>
      </c>
      <c r="AB876">
        <v>500495</v>
      </c>
      <c r="AC876">
        <v>73973</v>
      </c>
      <c r="AF876" s="1">
        <v>43797</v>
      </c>
      <c r="AG876">
        <v>87.79</v>
      </c>
      <c r="AJ876" s="156">
        <f t="shared" si="13"/>
        <v>0.14603029957853977</v>
      </c>
    </row>
    <row r="877" spans="26:36" x14ac:dyDescent="0.3">
      <c r="Z877" s="1">
        <v>43796</v>
      </c>
      <c r="AA877">
        <v>73.86</v>
      </c>
      <c r="AB877">
        <v>13541</v>
      </c>
      <c r="AC877">
        <v>40855</v>
      </c>
      <c r="AF877" s="1">
        <v>43796</v>
      </c>
      <c r="AG877">
        <v>86.92</v>
      </c>
      <c r="AJ877" s="156">
        <f t="shared" si="13"/>
        <v>0.15025310630464797</v>
      </c>
    </row>
    <row r="878" spans="26:36" x14ac:dyDescent="0.3">
      <c r="Z878" s="1">
        <v>43795</v>
      </c>
      <c r="AA878">
        <v>73.430000000000007</v>
      </c>
      <c r="AB878">
        <v>32155</v>
      </c>
      <c r="AC878">
        <v>40288</v>
      </c>
      <c r="AF878" s="1">
        <v>43795</v>
      </c>
      <c r="AG878">
        <v>87.27</v>
      </c>
      <c r="AJ878" s="156">
        <f t="shared" si="13"/>
        <v>0.15858828921737125</v>
      </c>
    </row>
    <row r="879" spans="26:36" x14ac:dyDescent="0.3">
      <c r="Z879" s="1">
        <v>43794</v>
      </c>
      <c r="AA879">
        <v>73.86</v>
      </c>
      <c r="AB879">
        <v>20121</v>
      </c>
      <c r="AC879">
        <v>39126</v>
      </c>
      <c r="AF879" s="1">
        <v>43794</v>
      </c>
      <c r="AG879">
        <v>87.53</v>
      </c>
      <c r="AJ879" s="156">
        <f t="shared" si="13"/>
        <v>0.15617502570547243</v>
      </c>
    </row>
    <row r="880" spans="26:36" x14ac:dyDescent="0.3">
      <c r="Z880" s="1">
        <v>43791</v>
      </c>
      <c r="AA880">
        <v>74.63</v>
      </c>
      <c r="AB880">
        <v>5305</v>
      </c>
      <c r="AC880">
        <v>37803</v>
      </c>
      <c r="AF880" s="1">
        <v>43791</v>
      </c>
      <c r="AG880">
        <v>88.05</v>
      </c>
      <c r="AJ880" s="156">
        <f t="shared" si="13"/>
        <v>0.15241340147643387</v>
      </c>
    </row>
    <row r="881" spans="26:36" x14ac:dyDescent="0.3">
      <c r="Z881" s="1">
        <v>43790</v>
      </c>
      <c r="AA881">
        <v>73.86</v>
      </c>
      <c r="AB881">
        <v>39614</v>
      </c>
      <c r="AC881">
        <v>38207</v>
      </c>
      <c r="AF881" s="1">
        <v>43790</v>
      </c>
      <c r="AG881">
        <v>88.22</v>
      </c>
      <c r="AJ881" s="156">
        <f t="shared" si="13"/>
        <v>0.16277488097936976</v>
      </c>
    </row>
    <row r="882" spans="26:36" x14ac:dyDescent="0.3">
      <c r="Z882" s="1">
        <v>43789</v>
      </c>
      <c r="AA882">
        <v>74.540000000000006</v>
      </c>
      <c r="AB882">
        <v>153913</v>
      </c>
      <c r="AC882">
        <v>36176</v>
      </c>
      <c r="AF882" s="1">
        <v>43789</v>
      </c>
      <c r="AG882">
        <v>88.83</v>
      </c>
      <c r="AJ882" s="156">
        <f t="shared" si="13"/>
        <v>0.16086907576269269</v>
      </c>
    </row>
    <row r="883" spans="26:36" x14ac:dyDescent="0.3">
      <c r="Z883" s="1">
        <v>43788</v>
      </c>
      <c r="AA883">
        <v>74.28</v>
      </c>
      <c r="AB883">
        <v>48979</v>
      </c>
      <c r="AC883">
        <v>27366</v>
      </c>
      <c r="AF883" s="1">
        <v>43788</v>
      </c>
      <c r="AG883">
        <v>89.96</v>
      </c>
      <c r="AJ883" s="156">
        <f t="shared" si="13"/>
        <v>0.17429968875055574</v>
      </c>
    </row>
    <row r="884" spans="26:36" x14ac:dyDescent="0.3">
      <c r="Z884" s="1">
        <v>43787</v>
      </c>
      <c r="AA884">
        <v>73.430000000000007</v>
      </c>
      <c r="AB884">
        <v>157933</v>
      </c>
      <c r="AC884">
        <v>25320</v>
      </c>
      <c r="AF884" s="1">
        <v>43787</v>
      </c>
      <c r="AG884">
        <v>88.49</v>
      </c>
      <c r="AJ884" s="156">
        <f t="shared" si="13"/>
        <v>0.17018872188947892</v>
      </c>
    </row>
    <row r="885" spans="26:36" x14ac:dyDescent="0.3">
      <c r="Z885" s="1">
        <v>43784</v>
      </c>
      <c r="AA885">
        <v>73.17</v>
      </c>
      <c r="AB885">
        <v>49350</v>
      </c>
      <c r="AC885">
        <v>16413</v>
      </c>
      <c r="AF885" s="1">
        <v>43784</v>
      </c>
      <c r="AG885">
        <v>86.05</v>
      </c>
      <c r="AJ885" s="156">
        <f t="shared" si="13"/>
        <v>0.14968041836141774</v>
      </c>
    </row>
    <row r="886" spans="26:36" x14ac:dyDescent="0.3">
      <c r="Z886" s="1">
        <v>43783</v>
      </c>
      <c r="AA886">
        <v>72.58</v>
      </c>
      <c r="AB886">
        <v>18550</v>
      </c>
      <c r="AC886">
        <v>13672</v>
      </c>
      <c r="AF886" s="1">
        <v>43783</v>
      </c>
      <c r="AG886">
        <v>86.05</v>
      </c>
      <c r="AJ886" s="156">
        <f t="shared" si="13"/>
        <v>0.15653689715281813</v>
      </c>
    </row>
    <row r="887" spans="26:36" x14ac:dyDescent="0.3">
      <c r="Z887" s="1">
        <v>43782</v>
      </c>
      <c r="AA887">
        <v>72.58</v>
      </c>
      <c r="AB887">
        <v>57441</v>
      </c>
      <c r="AC887">
        <v>13107</v>
      </c>
      <c r="AF887" s="1">
        <v>43782</v>
      </c>
      <c r="AG887">
        <v>85.7</v>
      </c>
      <c r="AJ887" s="156">
        <f t="shared" si="13"/>
        <v>0.15309218203033845</v>
      </c>
    </row>
    <row r="888" spans="26:36" x14ac:dyDescent="0.3">
      <c r="Z888" s="1">
        <v>43777</v>
      </c>
      <c r="AA888">
        <v>73.77</v>
      </c>
      <c r="AB888">
        <v>1182</v>
      </c>
      <c r="AC888">
        <v>11148</v>
      </c>
      <c r="AF888" s="1">
        <v>43777</v>
      </c>
      <c r="AG888">
        <v>85.88</v>
      </c>
      <c r="AJ888" s="156">
        <f t="shared" si="13"/>
        <v>0.14101071262226361</v>
      </c>
    </row>
    <row r="889" spans="26:36" x14ac:dyDescent="0.3">
      <c r="Z889" s="1">
        <v>43776</v>
      </c>
      <c r="AA889">
        <v>72.92</v>
      </c>
      <c r="AB889">
        <v>5179</v>
      </c>
      <c r="AC889">
        <v>17812</v>
      </c>
      <c r="AF889" s="1">
        <v>43776</v>
      </c>
      <c r="AG889">
        <v>84.49</v>
      </c>
      <c r="AJ889" s="156">
        <f t="shared" si="13"/>
        <v>0.13693928275535558</v>
      </c>
    </row>
    <row r="890" spans="26:36" x14ac:dyDescent="0.3">
      <c r="Z890" s="1">
        <v>43775</v>
      </c>
      <c r="AA890">
        <v>73.599999999999994</v>
      </c>
      <c r="AB890">
        <v>5841</v>
      </c>
      <c r="AC890">
        <v>17967</v>
      </c>
      <c r="AF890" s="1">
        <v>43775</v>
      </c>
      <c r="AG890">
        <v>84.75</v>
      </c>
      <c r="AJ890" s="156">
        <f t="shared" si="13"/>
        <v>0.13156342182890862</v>
      </c>
    </row>
    <row r="891" spans="26:36" x14ac:dyDescent="0.3">
      <c r="Z891" s="1">
        <v>43774</v>
      </c>
      <c r="AA891">
        <v>74.2</v>
      </c>
      <c r="AB891">
        <v>3714</v>
      </c>
      <c r="AC891">
        <v>18890</v>
      </c>
      <c r="AF891" s="1">
        <v>43774</v>
      </c>
      <c r="AG891">
        <v>85.1</v>
      </c>
      <c r="AJ891" s="156">
        <f t="shared" si="13"/>
        <v>0.12808460634547583</v>
      </c>
    </row>
    <row r="892" spans="26:36" x14ac:dyDescent="0.3">
      <c r="Z892" s="1">
        <v>43773</v>
      </c>
      <c r="AA892">
        <v>74.8</v>
      </c>
      <c r="AB892">
        <v>5044</v>
      </c>
      <c r="AC892">
        <v>18947</v>
      </c>
      <c r="AF892" s="1">
        <v>43773</v>
      </c>
      <c r="AG892">
        <v>85.96</v>
      </c>
      <c r="AJ892" s="156">
        <f t="shared" si="13"/>
        <v>0.12982782689623076</v>
      </c>
    </row>
    <row r="893" spans="26:36" x14ac:dyDescent="0.3">
      <c r="Z893" s="1">
        <v>43770</v>
      </c>
      <c r="AA893">
        <v>74.03</v>
      </c>
      <c r="AB893">
        <v>14719</v>
      </c>
      <c r="AC893">
        <v>21702</v>
      </c>
      <c r="AF893" s="1">
        <v>43770</v>
      </c>
      <c r="AG893">
        <v>85.18</v>
      </c>
      <c r="AJ893" s="156">
        <f t="shared" si="13"/>
        <v>0.13089927212960795</v>
      </c>
    </row>
    <row r="894" spans="26:36" x14ac:dyDescent="0.3">
      <c r="Z894" s="1">
        <v>43769</v>
      </c>
      <c r="AA894">
        <v>73</v>
      </c>
      <c r="AB894">
        <v>283</v>
      </c>
      <c r="AC894">
        <v>23493</v>
      </c>
      <c r="AF894" s="1">
        <v>43769</v>
      </c>
      <c r="AG894">
        <v>84.23</v>
      </c>
      <c r="AJ894" s="156">
        <f t="shared" si="13"/>
        <v>0.1333254184969726</v>
      </c>
    </row>
    <row r="895" spans="26:36" x14ac:dyDescent="0.3">
      <c r="Z895" s="1">
        <v>43768</v>
      </c>
      <c r="AA895">
        <v>72.489999999999995</v>
      </c>
      <c r="AB895">
        <v>11364</v>
      </c>
      <c r="AC895">
        <v>30320</v>
      </c>
      <c r="AF895" s="1">
        <v>43768</v>
      </c>
      <c r="AG895">
        <v>84.31</v>
      </c>
      <c r="AJ895" s="156">
        <f t="shared" si="13"/>
        <v>0.14019689242082797</v>
      </c>
    </row>
    <row r="896" spans="26:36" x14ac:dyDescent="0.3">
      <c r="Z896" s="1">
        <v>43767</v>
      </c>
      <c r="AA896">
        <v>72.489999999999995</v>
      </c>
      <c r="AB896">
        <v>9150</v>
      </c>
      <c r="AC896">
        <v>39895</v>
      </c>
      <c r="AF896" s="1">
        <v>43767</v>
      </c>
      <c r="AG896">
        <v>85.01</v>
      </c>
      <c r="AJ896" s="156">
        <f t="shared" si="13"/>
        <v>0.14727679096576884</v>
      </c>
    </row>
    <row r="897" spans="26:36" x14ac:dyDescent="0.3">
      <c r="Z897" s="1">
        <v>43766</v>
      </c>
      <c r="AA897">
        <v>73.17</v>
      </c>
      <c r="AB897">
        <v>21758</v>
      </c>
      <c r="AC897">
        <v>40041</v>
      </c>
      <c r="AF897" s="1">
        <v>43766</v>
      </c>
      <c r="AG897">
        <v>85.18</v>
      </c>
      <c r="AJ897" s="156">
        <f t="shared" si="13"/>
        <v>0.1409955388588871</v>
      </c>
    </row>
    <row r="898" spans="26:36" x14ac:dyDescent="0.3">
      <c r="Z898" s="1">
        <v>43763</v>
      </c>
      <c r="AA898">
        <v>70.95</v>
      </c>
      <c r="AB898">
        <v>18287</v>
      </c>
      <c r="AC898">
        <v>40628</v>
      </c>
      <c r="AF898" s="1">
        <v>43763</v>
      </c>
      <c r="AG898">
        <v>85.62</v>
      </c>
      <c r="AJ898" s="156">
        <f t="shared" si="13"/>
        <v>0.17133847231955152</v>
      </c>
    </row>
    <row r="899" spans="26:36" x14ac:dyDescent="0.3">
      <c r="Z899" s="1">
        <v>43762</v>
      </c>
      <c r="AA899">
        <v>70.87</v>
      </c>
      <c r="AB899">
        <v>24335</v>
      </c>
      <c r="AC899">
        <v>39815</v>
      </c>
      <c r="AF899" s="1">
        <v>43762</v>
      </c>
      <c r="AG899">
        <v>85.27</v>
      </c>
      <c r="AJ899" s="156">
        <f t="shared" si="13"/>
        <v>0.16887533716430153</v>
      </c>
    </row>
    <row r="900" spans="26:36" x14ac:dyDescent="0.3">
      <c r="Z900" s="1">
        <v>43761</v>
      </c>
      <c r="AA900">
        <v>71.38</v>
      </c>
      <c r="AB900">
        <v>8237</v>
      </c>
      <c r="AC900">
        <v>40153</v>
      </c>
      <c r="AF900" s="1">
        <v>43761</v>
      </c>
      <c r="AG900">
        <v>86.05</v>
      </c>
      <c r="AJ900" s="156">
        <f t="shared" si="13"/>
        <v>0.17048227774549682</v>
      </c>
    </row>
    <row r="901" spans="26:36" x14ac:dyDescent="0.3">
      <c r="Z901" s="1">
        <v>43760</v>
      </c>
      <c r="AA901">
        <v>71.3</v>
      </c>
      <c r="AB901">
        <v>10077</v>
      </c>
      <c r="AC901">
        <v>40084</v>
      </c>
      <c r="AF901" s="1">
        <v>43760</v>
      </c>
      <c r="AG901">
        <v>86.05</v>
      </c>
      <c r="AJ901" s="156">
        <f t="shared" si="13"/>
        <v>0.17141196978500872</v>
      </c>
    </row>
    <row r="902" spans="26:36" x14ac:dyDescent="0.3">
      <c r="Z902" s="1">
        <v>43759</v>
      </c>
      <c r="AA902">
        <v>70.87</v>
      </c>
      <c r="AB902">
        <v>28045</v>
      </c>
      <c r="AC902">
        <v>39466</v>
      </c>
      <c r="AF902" s="1">
        <v>43759</v>
      </c>
      <c r="AG902">
        <v>86.05</v>
      </c>
      <c r="AJ902" s="156">
        <f t="shared" ref="AJ902:AJ965" si="14">(AG902-AA902)/AG902</f>
        <v>0.17640906449738517</v>
      </c>
    </row>
    <row r="903" spans="26:36" x14ac:dyDescent="0.3">
      <c r="Z903" s="1">
        <v>43756</v>
      </c>
      <c r="AA903">
        <v>70.87</v>
      </c>
      <c r="AB903">
        <v>101146</v>
      </c>
      <c r="AC903">
        <v>37644</v>
      </c>
      <c r="AF903" s="1">
        <v>43756</v>
      </c>
      <c r="AG903">
        <v>85.96</v>
      </c>
      <c r="AJ903" s="156">
        <f t="shared" si="14"/>
        <v>0.17554676593764532</v>
      </c>
    </row>
    <row r="904" spans="26:36" x14ac:dyDescent="0.3">
      <c r="Z904" s="1">
        <v>43755</v>
      </c>
      <c r="AA904">
        <v>71.72</v>
      </c>
      <c r="AB904">
        <v>7504</v>
      </c>
      <c r="AC904">
        <v>31812</v>
      </c>
      <c r="AF904" s="1">
        <v>43755</v>
      </c>
      <c r="AG904">
        <v>85.88</v>
      </c>
      <c r="AJ904" s="156">
        <f t="shared" si="14"/>
        <v>0.16488122962272936</v>
      </c>
    </row>
    <row r="905" spans="26:36" x14ac:dyDescent="0.3">
      <c r="Z905" s="1">
        <v>43754</v>
      </c>
      <c r="AA905">
        <v>72.150000000000006</v>
      </c>
      <c r="AB905">
        <v>19688</v>
      </c>
      <c r="AC905">
        <v>31351</v>
      </c>
      <c r="AF905" s="1">
        <v>43754</v>
      </c>
      <c r="AG905">
        <v>85.18</v>
      </c>
      <c r="AJ905" s="156">
        <f t="shared" si="14"/>
        <v>0.15297018079361352</v>
      </c>
    </row>
    <row r="906" spans="26:36" x14ac:dyDescent="0.3">
      <c r="Z906" s="1">
        <v>43753</v>
      </c>
      <c r="AA906">
        <v>72.41</v>
      </c>
      <c r="AB906">
        <v>4571</v>
      </c>
      <c r="AC906">
        <v>30725</v>
      </c>
      <c r="AF906" s="1">
        <v>43753</v>
      </c>
      <c r="AG906">
        <v>85.18</v>
      </c>
      <c r="AJ906" s="156">
        <f t="shared" si="14"/>
        <v>0.14991782108476179</v>
      </c>
    </row>
    <row r="907" spans="26:36" x14ac:dyDescent="0.3">
      <c r="Z907" s="1">
        <v>43752</v>
      </c>
      <c r="AA907">
        <v>72.58</v>
      </c>
      <c r="AB907">
        <v>46371</v>
      </c>
      <c r="AC907">
        <v>32022</v>
      </c>
      <c r="AF907" s="1">
        <v>43752</v>
      </c>
      <c r="AG907">
        <v>86.05</v>
      </c>
      <c r="AJ907" s="156">
        <f t="shared" si="14"/>
        <v>0.15653689715281813</v>
      </c>
    </row>
    <row r="908" spans="26:36" x14ac:dyDescent="0.3">
      <c r="Z908" s="1">
        <v>43749</v>
      </c>
      <c r="AA908">
        <v>72.58</v>
      </c>
      <c r="AB908">
        <v>41577</v>
      </c>
      <c r="AC908">
        <v>39162</v>
      </c>
      <c r="AF908" s="1">
        <v>43749</v>
      </c>
      <c r="AG908">
        <v>86.05</v>
      </c>
      <c r="AJ908" s="156">
        <f t="shared" si="14"/>
        <v>0.15653689715281813</v>
      </c>
    </row>
    <row r="909" spans="26:36" x14ac:dyDescent="0.3">
      <c r="Z909" s="1">
        <v>43748</v>
      </c>
      <c r="AA909">
        <v>72.58</v>
      </c>
      <c r="AB909">
        <v>102695</v>
      </c>
      <c r="AC909">
        <v>36483</v>
      </c>
      <c r="AF909" s="1">
        <v>43748</v>
      </c>
      <c r="AG909">
        <v>86.14</v>
      </c>
      <c r="AJ909" s="156">
        <f t="shared" si="14"/>
        <v>0.15741815648943583</v>
      </c>
    </row>
    <row r="910" spans="26:36" x14ac:dyDescent="0.3">
      <c r="Z910" s="1">
        <v>43747</v>
      </c>
      <c r="AA910">
        <v>71.47</v>
      </c>
      <c r="AB910">
        <v>154987</v>
      </c>
      <c r="AC910">
        <v>30135</v>
      </c>
      <c r="AF910" s="1">
        <v>43747</v>
      </c>
      <c r="AG910">
        <v>86.05</v>
      </c>
      <c r="AJ910" s="156">
        <f t="shared" si="14"/>
        <v>0.1694363742010459</v>
      </c>
    </row>
    <row r="911" spans="26:36" x14ac:dyDescent="0.3">
      <c r="Z911" s="1">
        <v>43746</v>
      </c>
      <c r="AA911">
        <v>71.209999999999994</v>
      </c>
      <c r="AB911">
        <v>11335</v>
      </c>
      <c r="AC911">
        <v>19927</v>
      </c>
      <c r="AF911" s="1">
        <v>43746</v>
      </c>
      <c r="AG911">
        <v>86.83</v>
      </c>
      <c r="AJ911" s="156">
        <f t="shared" si="14"/>
        <v>0.1798917424853162</v>
      </c>
    </row>
    <row r="912" spans="26:36" x14ac:dyDescent="0.3">
      <c r="Z912" s="1">
        <v>43745</v>
      </c>
      <c r="AA912">
        <v>71.3</v>
      </c>
      <c r="AB912">
        <v>30571</v>
      </c>
      <c r="AC912">
        <v>19196</v>
      </c>
      <c r="AF912" s="1">
        <v>43745</v>
      </c>
      <c r="AG912">
        <v>86.05</v>
      </c>
      <c r="AJ912" s="156">
        <f t="shared" si="14"/>
        <v>0.17141196978500872</v>
      </c>
    </row>
    <row r="913" spans="26:36" x14ac:dyDescent="0.3">
      <c r="Z913" s="1">
        <v>43742</v>
      </c>
      <c r="AA913">
        <v>70.87</v>
      </c>
      <c r="AB913">
        <v>6090</v>
      </c>
      <c r="AC913">
        <v>17175</v>
      </c>
      <c r="AF913" s="1">
        <v>43742</v>
      </c>
      <c r="AG913">
        <v>86.14</v>
      </c>
      <c r="AJ913" s="156">
        <f t="shared" si="14"/>
        <v>0.17726956117947523</v>
      </c>
    </row>
    <row r="914" spans="26:36" x14ac:dyDescent="0.3">
      <c r="Z914" s="1">
        <v>43741</v>
      </c>
      <c r="AA914">
        <v>70.87</v>
      </c>
      <c r="AB914">
        <v>29408</v>
      </c>
      <c r="AC914">
        <v>16867</v>
      </c>
      <c r="AF914" s="1">
        <v>43741</v>
      </c>
      <c r="AG914">
        <v>85.53</v>
      </c>
      <c r="AJ914" s="156">
        <f t="shared" si="14"/>
        <v>0.17140184730503913</v>
      </c>
    </row>
    <row r="915" spans="26:36" x14ac:dyDescent="0.3">
      <c r="Z915" s="1">
        <v>43740</v>
      </c>
      <c r="AA915">
        <v>71.72</v>
      </c>
      <c r="AB915">
        <v>7198</v>
      </c>
      <c r="AC915">
        <v>15174</v>
      </c>
      <c r="AF915" s="1">
        <v>43740</v>
      </c>
      <c r="AG915">
        <v>85.18</v>
      </c>
      <c r="AJ915" s="156">
        <f t="shared" si="14"/>
        <v>0.15801831415825318</v>
      </c>
    </row>
    <row r="916" spans="26:36" x14ac:dyDescent="0.3">
      <c r="Z916" s="1">
        <v>43739</v>
      </c>
      <c r="AA916">
        <v>72.58</v>
      </c>
      <c r="AB916">
        <v>803</v>
      </c>
      <c r="AC916">
        <v>17200</v>
      </c>
      <c r="AF916" s="1">
        <v>43739</v>
      </c>
      <c r="AG916">
        <v>85.18</v>
      </c>
      <c r="AJ916" s="156">
        <f t="shared" si="14"/>
        <v>0.14792204742897402</v>
      </c>
    </row>
    <row r="917" spans="26:36" x14ac:dyDescent="0.3">
      <c r="Z917" s="1">
        <v>43738</v>
      </c>
      <c r="AA917">
        <v>72.319999999999993</v>
      </c>
      <c r="AB917">
        <v>721</v>
      </c>
      <c r="AC917">
        <v>17237</v>
      </c>
      <c r="AF917" s="1">
        <v>43738</v>
      </c>
      <c r="AG917">
        <v>85.27</v>
      </c>
      <c r="AJ917" s="156">
        <f t="shared" si="14"/>
        <v>0.15187052890817407</v>
      </c>
    </row>
    <row r="918" spans="26:36" x14ac:dyDescent="0.3">
      <c r="Z918" s="1">
        <v>43735</v>
      </c>
      <c r="AA918">
        <v>72.58</v>
      </c>
      <c r="AB918">
        <v>13658</v>
      </c>
      <c r="AC918">
        <v>17970</v>
      </c>
      <c r="AF918" s="1">
        <v>43735</v>
      </c>
      <c r="AG918">
        <v>86.05</v>
      </c>
      <c r="AJ918" s="156">
        <f t="shared" si="14"/>
        <v>0.15653689715281813</v>
      </c>
    </row>
    <row r="919" spans="26:36" x14ac:dyDescent="0.3">
      <c r="Z919" s="1">
        <v>43734</v>
      </c>
      <c r="AA919">
        <v>73.430000000000007</v>
      </c>
      <c r="AB919">
        <v>589</v>
      </c>
      <c r="AC919">
        <v>17486</v>
      </c>
      <c r="AF919" s="1">
        <v>43734</v>
      </c>
      <c r="AG919">
        <v>85.96</v>
      </c>
      <c r="AJ919" s="156">
        <f t="shared" si="14"/>
        <v>0.14576547231270345</v>
      </c>
    </row>
    <row r="920" spans="26:36" x14ac:dyDescent="0.3">
      <c r="Z920" s="1">
        <v>43733</v>
      </c>
      <c r="AA920">
        <v>71.81</v>
      </c>
      <c r="AB920">
        <v>10305</v>
      </c>
      <c r="AC920">
        <v>17804</v>
      </c>
      <c r="AF920" s="1">
        <v>43733</v>
      </c>
      <c r="AG920">
        <v>85.18</v>
      </c>
      <c r="AJ920" s="156">
        <f t="shared" si="14"/>
        <v>0.15696172810518905</v>
      </c>
    </row>
    <row r="921" spans="26:36" x14ac:dyDescent="0.3">
      <c r="Z921" s="1">
        <v>43732</v>
      </c>
      <c r="AA921">
        <v>71.72</v>
      </c>
      <c r="AB921">
        <v>24026</v>
      </c>
      <c r="AC921">
        <v>17196</v>
      </c>
      <c r="AF921" s="1">
        <v>43732</v>
      </c>
      <c r="AG921">
        <v>85.27</v>
      </c>
      <c r="AJ921" s="156">
        <f t="shared" si="14"/>
        <v>0.15890700129001992</v>
      </c>
    </row>
    <row r="922" spans="26:36" x14ac:dyDescent="0.3">
      <c r="Z922" s="1">
        <v>43731</v>
      </c>
      <c r="AA922">
        <v>72.75</v>
      </c>
      <c r="AB922">
        <v>153462</v>
      </c>
      <c r="AC922">
        <v>18361</v>
      </c>
      <c r="AF922" s="1">
        <v>43731</v>
      </c>
      <c r="AG922">
        <v>86.4</v>
      </c>
      <c r="AJ922" s="156">
        <f t="shared" si="14"/>
        <v>0.15798611111111116</v>
      </c>
    </row>
    <row r="923" spans="26:36" x14ac:dyDescent="0.3">
      <c r="Z923" s="1">
        <v>43728</v>
      </c>
      <c r="AA923">
        <v>74.28</v>
      </c>
      <c r="AB923">
        <v>1390</v>
      </c>
      <c r="AC923">
        <v>8366</v>
      </c>
      <c r="AF923" s="1">
        <v>43728</v>
      </c>
      <c r="AG923">
        <v>86.92</v>
      </c>
      <c r="AJ923" s="156">
        <f t="shared" si="14"/>
        <v>0.14542107685227795</v>
      </c>
    </row>
    <row r="924" spans="26:36" x14ac:dyDescent="0.3">
      <c r="Z924" s="1">
        <v>43727</v>
      </c>
      <c r="AA924">
        <v>74.37</v>
      </c>
      <c r="AB924">
        <v>7478</v>
      </c>
      <c r="AC924">
        <v>14745</v>
      </c>
      <c r="AF924" s="1">
        <v>43727</v>
      </c>
      <c r="AG924">
        <v>86.92</v>
      </c>
      <c r="AJ924" s="156">
        <f t="shared" si="14"/>
        <v>0.14438564196962722</v>
      </c>
    </row>
    <row r="925" spans="26:36" x14ac:dyDescent="0.3">
      <c r="Z925" s="1">
        <v>43726</v>
      </c>
      <c r="AA925">
        <v>75.14</v>
      </c>
      <c r="AB925">
        <v>1875</v>
      </c>
      <c r="AC925">
        <v>20159</v>
      </c>
      <c r="AF925" s="1">
        <v>43726</v>
      </c>
      <c r="AG925">
        <v>88.57</v>
      </c>
      <c r="AJ925" s="156">
        <f t="shared" si="14"/>
        <v>0.15163147792706327</v>
      </c>
    </row>
    <row r="926" spans="26:36" x14ac:dyDescent="0.3">
      <c r="Z926" s="1">
        <v>43725</v>
      </c>
      <c r="AA926">
        <v>75.14</v>
      </c>
      <c r="AB926">
        <v>367</v>
      </c>
      <c r="AC926">
        <v>20630</v>
      </c>
      <c r="AF926" s="1">
        <v>43725</v>
      </c>
      <c r="AG926">
        <v>88.66</v>
      </c>
      <c r="AJ926" s="156">
        <f t="shared" si="14"/>
        <v>0.15249266862170083</v>
      </c>
    </row>
    <row r="927" spans="26:36" x14ac:dyDescent="0.3">
      <c r="Z927" s="1">
        <v>43724</v>
      </c>
      <c r="AA927">
        <v>75.989999999999995</v>
      </c>
      <c r="AB927">
        <v>260</v>
      </c>
      <c r="AC927">
        <v>20750</v>
      </c>
      <c r="AF927" s="1">
        <v>43724</v>
      </c>
      <c r="AG927">
        <v>89.53</v>
      </c>
      <c r="AJ927" s="156">
        <f t="shared" si="14"/>
        <v>0.15123422316541948</v>
      </c>
    </row>
    <row r="928" spans="26:36" x14ac:dyDescent="0.3">
      <c r="Z928" s="1">
        <v>43720</v>
      </c>
      <c r="AA928">
        <v>75.989999999999995</v>
      </c>
      <c r="AB928">
        <v>1469</v>
      </c>
      <c r="AC928">
        <v>20786</v>
      </c>
      <c r="AF928" s="1">
        <v>43720</v>
      </c>
      <c r="AG928">
        <v>89.96</v>
      </c>
      <c r="AJ928" s="156">
        <f t="shared" si="14"/>
        <v>0.15529124055135615</v>
      </c>
    </row>
    <row r="929" spans="26:36" x14ac:dyDescent="0.3">
      <c r="Z929" s="1">
        <v>43719</v>
      </c>
      <c r="AA929">
        <v>75.14</v>
      </c>
      <c r="AB929">
        <v>4005</v>
      </c>
      <c r="AC929">
        <v>21173</v>
      </c>
      <c r="AF929" s="1">
        <v>43719</v>
      </c>
      <c r="AG929">
        <v>89.09</v>
      </c>
      <c r="AJ929" s="156">
        <f t="shared" si="14"/>
        <v>0.15658323044112699</v>
      </c>
    </row>
    <row r="930" spans="26:36" x14ac:dyDescent="0.3">
      <c r="Z930" s="1">
        <v>43718</v>
      </c>
      <c r="AA930">
        <v>75.31</v>
      </c>
      <c r="AB930">
        <v>37596</v>
      </c>
      <c r="AC930">
        <v>27839</v>
      </c>
      <c r="AF930" s="1">
        <v>43718</v>
      </c>
      <c r="AG930">
        <v>88.92</v>
      </c>
      <c r="AJ930" s="156">
        <f t="shared" si="14"/>
        <v>0.15305892937471885</v>
      </c>
    </row>
    <row r="931" spans="26:36" x14ac:dyDescent="0.3">
      <c r="Z931" s="1">
        <v>43717</v>
      </c>
      <c r="AA931">
        <v>75.989999999999995</v>
      </c>
      <c r="AB931">
        <v>1353</v>
      </c>
      <c r="AC931">
        <v>25756</v>
      </c>
      <c r="AF931" s="1">
        <v>43717</v>
      </c>
      <c r="AG931">
        <v>89.18</v>
      </c>
      <c r="AJ931" s="156">
        <f t="shared" si="14"/>
        <v>0.14790311729087252</v>
      </c>
    </row>
    <row r="932" spans="26:36" x14ac:dyDescent="0.3">
      <c r="Z932" s="1">
        <v>43714</v>
      </c>
      <c r="AA932">
        <v>75.989999999999995</v>
      </c>
      <c r="AB932">
        <v>11713</v>
      </c>
      <c r="AC932">
        <v>26050</v>
      </c>
      <c r="AF932" s="1">
        <v>43714</v>
      </c>
      <c r="AG932">
        <v>90.14</v>
      </c>
      <c r="AJ932" s="156">
        <f t="shared" si="14"/>
        <v>0.15697803416907039</v>
      </c>
    </row>
    <row r="933" spans="26:36" x14ac:dyDescent="0.3">
      <c r="Z933" s="1">
        <v>43713</v>
      </c>
      <c r="AA933">
        <v>77.27</v>
      </c>
      <c r="AB933">
        <v>6408</v>
      </c>
      <c r="AC933">
        <v>25303</v>
      </c>
      <c r="AF933" s="1">
        <v>43713</v>
      </c>
      <c r="AG933">
        <v>92.14</v>
      </c>
      <c r="AJ933" s="156">
        <f t="shared" si="14"/>
        <v>0.16138484914260912</v>
      </c>
    </row>
    <row r="934" spans="26:36" x14ac:dyDescent="0.3">
      <c r="Z934" s="1">
        <v>43712</v>
      </c>
      <c r="AA934">
        <v>76.760000000000005</v>
      </c>
      <c r="AB934">
        <v>5346</v>
      </c>
      <c r="AC934">
        <v>25439</v>
      </c>
      <c r="AF934" s="1">
        <v>43712</v>
      </c>
      <c r="AG934">
        <v>92.57</v>
      </c>
      <c r="AJ934" s="156">
        <f t="shared" si="14"/>
        <v>0.17078967268013384</v>
      </c>
    </row>
    <row r="935" spans="26:36" x14ac:dyDescent="0.3">
      <c r="Z935" s="1">
        <v>43711</v>
      </c>
      <c r="AA935">
        <v>77.19</v>
      </c>
      <c r="AB935">
        <v>1190</v>
      </c>
      <c r="AC935">
        <v>25575</v>
      </c>
      <c r="AF935" s="1">
        <v>43711</v>
      </c>
      <c r="AG935">
        <v>93.01</v>
      </c>
      <c r="AJ935" s="156">
        <f t="shared" si="14"/>
        <v>0.17008923771637466</v>
      </c>
    </row>
    <row r="936" spans="26:36" x14ac:dyDescent="0.3">
      <c r="Z936" s="1">
        <v>43710</v>
      </c>
      <c r="AA936">
        <v>76.849999999999994</v>
      </c>
      <c r="AB936">
        <v>41498</v>
      </c>
      <c r="AC936">
        <v>31412</v>
      </c>
      <c r="AF936" s="1">
        <v>43710</v>
      </c>
      <c r="AG936">
        <v>93.53</v>
      </c>
      <c r="AJ936" s="156">
        <f t="shared" si="14"/>
        <v>0.17833850101571697</v>
      </c>
    </row>
    <row r="937" spans="26:36" x14ac:dyDescent="0.3">
      <c r="Z937" s="1">
        <v>43707</v>
      </c>
      <c r="AA937">
        <v>76.849999999999994</v>
      </c>
      <c r="AB937">
        <v>3542</v>
      </c>
      <c r="AC937">
        <v>28877</v>
      </c>
      <c r="AF937" s="1">
        <v>43707</v>
      </c>
      <c r="AG937">
        <v>93.61</v>
      </c>
      <c r="AJ937" s="156">
        <f t="shared" si="14"/>
        <v>0.17904070077983128</v>
      </c>
    </row>
    <row r="938" spans="26:36" x14ac:dyDescent="0.3">
      <c r="Z938" s="1">
        <v>43706</v>
      </c>
      <c r="AA938">
        <v>76.760000000000005</v>
      </c>
      <c r="AB938">
        <v>97075</v>
      </c>
      <c r="AC938">
        <v>29032</v>
      </c>
      <c r="AF938" s="1">
        <v>43706</v>
      </c>
      <c r="AG938">
        <v>93.87</v>
      </c>
      <c r="AJ938" s="156">
        <f t="shared" si="14"/>
        <v>0.18227335677000106</v>
      </c>
    </row>
    <row r="939" spans="26:36" x14ac:dyDescent="0.3">
      <c r="Z939" s="1">
        <v>43705</v>
      </c>
      <c r="AA939">
        <v>76.849999999999994</v>
      </c>
      <c r="AB939">
        <v>88688</v>
      </c>
      <c r="AC939">
        <v>22768</v>
      </c>
      <c r="AF939" s="1">
        <v>43705</v>
      </c>
      <c r="AG939">
        <v>93.01</v>
      </c>
      <c r="AJ939" s="156">
        <f t="shared" si="14"/>
        <v>0.17374475862810462</v>
      </c>
    </row>
    <row r="940" spans="26:36" x14ac:dyDescent="0.3">
      <c r="Z940" s="1">
        <v>43704</v>
      </c>
      <c r="AA940">
        <v>76.849999999999994</v>
      </c>
      <c r="AB940">
        <v>8942</v>
      </c>
      <c r="AC940">
        <v>17375</v>
      </c>
      <c r="AF940" s="1">
        <v>43704</v>
      </c>
      <c r="AG940">
        <v>93.01</v>
      </c>
      <c r="AJ940" s="156">
        <f t="shared" si="14"/>
        <v>0.17374475862810462</v>
      </c>
    </row>
    <row r="941" spans="26:36" x14ac:dyDescent="0.3">
      <c r="Z941" s="1">
        <v>43703</v>
      </c>
      <c r="AA941">
        <v>76.849999999999994</v>
      </c>
      <c r="AB941">
        <v>2171</v>
      </c>
      <c r="AC941">
        <v>17127</v>
      </c>
      <c r="AF941" s="1">
        <v>43703</v>
      </c>
      <c r="AG941">
        <v>92.14</v>
      </c>
      <c r="AJ941" s="156">
        <f t="shared" si="14"/>
        <v>0.16594313001953556</v>
      </c>
    </row>
    <row r="942" spans="26:36" x14ac:dyDescent="0.3">
      <c r="Z942" s="1">
        <v>43700</v>
      </c>
      <c r="AA942">
        <v>76.849999999999994</v>
      </c>
      <c r="AB942">
        <v>792</v>
      </c>
      <c r="AC942">
        <v>18663</v>
      </c>
      <c r="AF942" s="1">
        <v>43700</v>
      </c>
      <c r="AG942">
        <v>92.14</v>
      </c>
      <c r="AJ942" s="156">
        <f t="shared" si="14"/>
        <v>0.16594313001953556</v>
      </c>
    </row>
    <row r="943" spans="26:36" x14ac:dyDescent="0.3">
      <c r="Z943" s="1">
        <v>43699</v>
      </c>
      <c r="AA943">
        <v>76.760000000000005</v>
      </c>
      <c r="AB943">
        <v>7281</v>
      </c>
      <c r="AC943">
        <v>19514</v>
      </c>
      <c r="AF943" s="1">
        <v>43699</v>
      </c>
      <c r="AG943">
        <v>91.96</v>
      </c>
      <c r="AJ943" s="156">
        <f t="shared" si="14"/>
        <v>0.165289256198347</v>
      </c>
    </row>
    <row r="944" spans="26:36" x14ac:dyDescent="0.3">
      <c r="Z944" s="1">
        <v>43698</v>
      </c>
      <c r="AA944">
        <v>77.61</v>
      </c>
      <c r="AB944">
        <v>103983</v>
      </c>
      <c r="AC944">
        <v>39351</v>
      </c>
      <c r="AF944" s="1">
        <v>43698</v>
      </c>
      <c r="AG944">
        <v>93.01</v>
      </c>
      <c r="AJ944" s="156">
        <f t="shared" si="14"/>
        <v>0.16557359423717885</v>
      </c>
    </row>
    <row r="945" spans="26:36" x14ac:dyDescent="0.3">
      <c r="Z945" s="1">
        <v>43697</v>
      </c>
      <c r="AA945">
        <v>76.930000000000007</v>
      </c>
      <c r="AB945">
        <v>6361</v>
      </c>
      <c r="AC945">
        <v>37144</v>
      </c>
      <c r="AF945" s="1">
        <v>43697</v>
      </c>
      <c r="AG945">
        <v>92.22</v>
      </c>
      <c r="AJ945" s="156">
        <f t="shared" si="14"/>
        <v>0.16579917588375614</v>
      </c>
    </row>
    <row r="946" spans="26:36" x14ac:dyDescent="0.3">
      <c r="Z946" s="1">
        <v>43696</v>
      </c>
      <c r="AA946">
        <v>76.5</v>
      </c>
      <c r="AB946">
        <v>5758</v>
      </c>
      <c r="AC946">
        <v>42362</v>
      </c>
      <c r="AF946" s="1">
        <v>43696</v>
      </c>
      <c r="AG946">
        <v>91.35</v>
      </c>
      <c r="AJ946" s="156">
        <f t="shared" si="14"/>
        <v>0.16256157635467974</v>
      </c>
    </row>
    <row r="947" spans="26:36" x14ac:dyDescent="0.3">
      <c r="Z947" s="1">
        <v>43693</v>
      </c>
      <c r="AA947">
        <v>79.41</v>
      </c>
      <c r="AB947">
        <v>505</v>
      </c>
      <c r="AC947">
        <v>53746</v>
      </c>
      <c r="AF947" s="1">
        <v>43693</v>
      </c>
      <c r="AG947">
        <v>92.14</v>
      </c>
      <c r="AJ947" s="156">
        <f t="shared" si="14"/>
        <v>0.13815932276969833</v>
      </c>
    </row>
    <row r="948" spans="26:36" x14ac:dyDescent="0.3">
      <c r="Z948" s="1">
        <v>43692</v>
      </c>
      <c r="AA948">
        <v>76.5</v>
      </c>
      <c r="AB948">
        <v>8456</v>
      </c>
      <c r="AC948">
        <v>55623</v>
      </c>
      <c r="AF948" s="1">
        <v>43692</v>
      </c>
      <c r="AG948">
        <v>92.14</v>
      </c>
      <c r="AJ948" s="156">
        <f t="shared" si="14"/>
        <v>0.16974169741697417</v>
      </c>
    </row>
    <row r="949" spans="26:36" x14ac:dyDescent="0.3">
      <c r="Z949" s="1">
        <v>43690</v>
      </c>
      <c r="AA949">
        <v>77.099999999999994</v>
      </c>
      <c r="AB949">
        <v>7377</v>
      </c>
      <c r="AC949">
        <v>55097</v>
      </c>
      <c r="AF949" s="1">
        <v>43690</v>
      </c>
      <c r="AG949">
        <v>94.83</v>
      </c>
      <c r="AJ949" s="156">
        <f t="shared" si="14"/>
        <v>0.18696614995254671</v>
      </c>
    </row>
    <row r="950" spans="26:36" x14ac:dyDescent="0.3">
      <c r="Z950" s="1">
        <v>43686</v>
      </c>
      <c r="AA950">
        <v>76.849999999999994</v>
      </c>
      <c r="AB950">
        <v>88746</v>
      </c>
      <c r="AC950">
        <v>55326</v>
      </c>
      <c r="AF950" s="1">
        <v>43686</v>
      </c>
      <c r="AG950">
        <v>93.79</v>
      </c>
      <c r="AJ950" s="156">
        <f t="shared" si="14"/>
        <v>0.18061627039129982</v>
      </c>
    </row>
    <row r="951" spans="26:36" x14ac:dyDescent="0.3">
      <c r="Z951" s="1">
        <v>43685</v>
      </c>
      <c r="AA951">
        <v>76.760000000000005</v>
      </c>
      <c r="AB951">
        <v>3484</v>
      </c>
      <c r="AC951">
        <v>50525</v>
      </c>
      <c r="AF951" s="1">
        <v>43685</v>
      </c>
      <c r="AG951">
        <v>91.35</v>
      </c>
      <c r="AJ951" s="156">
        <f t="shared" si="14"/>
        <v>0.15971538040503547</v>
      </c>
    </row>
    <row r="952" spans="26:36" x14ac:dyDescent="0.3">
      <c r="Z952" s="1">
        <v>43684</v>
      </c>
      <c r="AA952">
        <v>76.59</v>
      </c>
      <c r="AB952">
        <v>5868</v>
      </c>
      <c r="AC952">
        <v>71400</v>
      </c>
      <c r="AF952" s="1">
        <v>43684</v>
      </c>
      <c r="AG952">
        <v>93.01</v>
      </c>
      <c r="AJ952" s="156">
        <f t="shared" si="14"/>
        <v>0.17654015697236858</v>
      </c>
    </row>
    <row r="953" spans="26:36" x14ac:dyDescent="0.3">
      <c r="Z953" s="1">
        <v>43683</v>
      </c>
      <c r="AA953">
        <v>75.989999999999995</v>
      </c>
      <c r="AB953">
        <v>3104</v>
      </c>
      <c r="AC953">
        <v>79348</v>
      </c>
      <c r="AF953" s="1">
        <v>43683</v>
      </c>
      <c r="AG953">
        <v>90.4</v>
      </c>
      <c r="AJ953" s="156">
        <f t="shared" si="14"/>
        <v>0.15940265486725674</v>
      </c>
    </row>
    <row r="954" spans="26:36" x14ac:dyDescent="0.3">
      <c r="Z954" s="1">
        <v>43682</v>
      </c>
      <c r="AA954">
        <v>76.08</v>
      </c>
      <c r="AB954">
        <v>7800</v>
      </c>
      <c r="AC954">
        <v>80029</v>
      </c>
      <c r="AF954" s="1">
        <v>43682</v>
      </c>
      <c r="AG954">
        <v>91.44</v>
      </c>
      <c r="AJ954" s="156">
        <f t="shared" si="14"/>
        <v>0.16797900262467191</v>
      </c>
    </row>
    <row r="955" spans="26:36" x14ac:dyDescent="0.3">
      <c r="Z955" s="1">
        <v>43679</v>
      </c>
      <c r="AA955">
        <v>76.16</v>
      </c>
      <c r="AB955">
        <v>5223</v>
      </c>
      <c r="AC955">
        <v>79576</v>
      </c>
      <c r="AF955" s="1">
        <v>43679</v>
      </c>
      <c r="AG955">
        <v>91.18</v>
      </c>
      <c r="AJ955" s="156">
        <f t="shared" si="14"/>
        <v>0.16472910726036422</v>
      </c>
    </row>
    <row r="956" spans="26:36" x14ac:dyDescent="0.3">
      <c r="Z956" s="1">
        <v>43678</v>
      </c>
      <c r="AA956">
        <v>76.5</v>
      </c>
      <c r="AB956">
        <v>25210</v>
      </c>
      <c r="AC956">
        <v>79428</v>
      </c>
      <c r="AF956" s="1">
        <v>43678</v>
      </c>
      <c r="AG956">
        <v>92.57</v>
      </c>
      <c r="AJ956" s="156">
        <f t="shared" si="14"/>
        <v>0.17359835799935178</v>
      </c>
    </row>
    <row r="957" spans="26:36" x14ac:dyDescent="0.3">
      <c r="Z957" s="1">
        <v>43677</v>
      </c>
      <c r="AA957">
        <v>77.78</v>
      </c>
      <c r="AB957">
        <v>13551</v>
      </c>
      <c r="AC957">
        <v>77786</v>
      </c>
      <c r="AF957" s="1">
        <v>43677</v>
      </c>
      <c r="AG957">
        <v>95.44</v>
      </c>
      <c r="AJ957" s="156">
        <f t="shared" si="14"/>
        <v>0.18503772003352889</v>
      </c>
    </row>
    <row r="958" spans="26:36" x14ac:dyDescent="0.3">
      <c r="Z958" s="1">
        <v>43676</v>
      </c>
      <c r="AA958">
        <v>79.41</v>
      </c>
      <c r="AB958">
        <v>304835</v>
      </c>
      <c r="AC958">
        <v>76941</v>
      </c>
      <c r="AF958" s="1">
        <v>43676</v>
      </c>
      <c r="AG958">
        <v>96.48</v>
      </c>
      <c r="AJ958" s="156">
        <f t="shared" si="14"/>
        <v>0.17692786069651747</v>
      </c>
    </row>
    <row r="959" spans="26:36" x14ac:dyDescent="0.3">
      <c r="Z959" s="1">
        <v>43675</v>
      </c>
      <c r="AA959">
        <v>80.430000000000007</v>
      </c>
      <c r="AB959">
        <v>70875</v>
      </c>
      <c r="AC959">
        <v>57475</v>
      </c>
      <c r="AF959" s="1">
        <v>43675</v>
      </c>
      <c r="AG959">
        <v>98.31</v>
      </c>
      <c r="AJ959" s="156">
        <f t="shared" si="14"/>
        <v>0.18187366493744272</v>
      </c>
    </row>
    <row r="960" spans="26:36" x14ac:dyDescent="0.3">
      <c r="Z960" s="1">
        <v>43672</v>
      </c>
      <c r="AA960">
        <v>78.55</v>
      </c>
      <c r="AB960">
        <v>84633</v>
      </c>
      <c r="AC960">
        <v>53132</v>
      </c>
      <c r="AF960" s="1">
        <v>43672</v>
      </c>
      <c r="AG960">
        <v>95.09</v>
      </c>
      <c r="AJ960" s="156">
        <f t="shared" si="14"/>
        <v>0.17394047744242302</v>
      </c>
    </row>
    <row r="961" spans="26:36" x14ac:dyDescent="0.3">
      <c r="Z961" s="1">
        <v>43671</v>
      </c>
      <c r="AA961">
        <v>78.3</v>
      </c>
      <c r="AB961">
        <v>176522</v>
      </c>
      <c r="AC961">
        <v>47770</v>
      </c>
      <c r="AF961" s="1">
        <v>43671</v>
      </c>
      <c r="AG961">
        <v>94.74</v>
      </c>
      <c r="AJ961" s="156">
        <f t="shared" si="14"/>
        <v>0.17352754908169726</v>
      </c>
    </row>
    <row r="962" spans="26:36" x14ac:dyDescent="0.3">
      <c r="Z962" s="1">
        <v>43670</v>
      </c>
      <c r="AA962">
        <v>75.989999999999995</v>
      </c>
      <c r="AB962">
        <v>28655</v>
      </c>
      <c r="AC962">
        <v>38068</v>
      </c>
      <c r="AF962" s="1">
        <v>43670</v>
      </c>
      <c r="AG962">
        <v>90.31</v>
      </c>
      <c r="AJ962" s="156">
        <f t="shared" si="14"/>
        <v>0.15856494297420007</v>
      </c>
    </row>
    <row r="963" spans="26:36" x14ac:dyDescent="0.3">
      <c r="Z963" s="1">
        <v>43669</v>
      </c>
      <c r="AA963">
        <v>74.709999999999994</v>
      </c>
      <c r="AB963">
        <v>574</v>
      </c>
      <c r="AC963">
        <v>38197</v>
      </c>
      <c r="AF963" s="1">
        <v>43669</v>
      </c>
      <c r="AG963">
        <v>88.14</v>
      </c>
      <c r="AJ963" s="156">
        <f t="shared" si="14"/>
        <v>0.1523712275924666</v>
      </c>
    </row>
    <row r="964" spans="26:36" x14ac:dyDescent="0.3">
      <c r="Z964" s="1">
        <v>43668</v>
      </c>
      <c r="AA964">
        <v>74.28</v>
      </c>
      <c r="AB964">
        <v>10817</v>
      </c>
      <c r="AC964">
        <v>38794</v>
      </c>
      <c r="AF964" s="1">
        <v>43668</v>
      </c>
      <c r="AG964">
        <v>87.27</v>
      </c>
      <c r="AJ964" s="156">
        <f t="shared" si="14"/>
        <v>0.14884840151254722</v>
      </c>
    </row>
    <row r="965" spans="26:36" x14ac:dyDescent="0.3">
      <c r="Z965" s="1">
        <v>43665</v>
      </c>
      <c r="AA965">
        <v>74.28</v>
      </c>
      <c r="AB965">
        <v>16727</v>
      </c>
      <c r="AC965">
        <v>38551</v>
      </c>
      <c r="AF965" s="1">
        <v>43665</v>
      </c>
      <c r="AG965">
        <v>88.05</v>
      </c>
      <c r="AJ965" s="156">
        <f t="shared" si="14"/>
        <v>0.15638841567291309</v>
      </c>
    </row>
    <row r="966" spans="26:36" x14ac:dyDescent="0.3">
      <c r="Z966" s="1">
        <v>43664</v>
      </c>
      <c r="AA966">
        <v>73.430000000000007</v>
      </c>
      <c r="AB966">
        <v>316608</v>
      </c>
      <c r="AC966">
        <v>37634</v>
      </c>
      <c r="AF966" s="1">
        <v>43664</v>
      </c>
      <c r="AG966">
        <v>85.62</v>
      </c>
      <c r="AJ966" s="156">
        <f t="shared" ref="AJ966:AJ1029" si="15">(AG966-AA966)/AG966</f>
        <v>0.14237327727166546</v>
      </c>
    </row>
    <row r="967" spans="26:36" x14ac:dyDescent="0.3">
      <c r="Z967" s="1">
        <v>43663</v>
      </c>
      <c r="AA967">
        <v>73.430000000000007</v>
      </c>
      <c r="AB967">
        <v>125079</v>
      </c>
      <c r="AC967">
        <v>16527</v>
      </c>
      <c r="AF967" s="1">
        <v>43663</v>
      </c>
      <c r="AG967">
        <v>84.4</v>
      </c>
      <c r="AJ967" s="156">
        <f t="shared" si="15"/>
        <v>0.12997630331753551</v>
      </c>
    </row>
    <row r="968" spans="26:36" x14ac:dyDescent="0.3">
      <c r="Z968" s="1">
        <v>43661</v>
      </c>
      <c r="AA968">
        <v>72.58</v>
      </c>
      <c r="AB968">
        <v>13325</v>
      </c>
      <c r="AC968">
        <v>8283</v>
      </c>
      <c r="AF968" s="1">
        <v>43661</v>
      </c>
      <c r="AG968">
        <v>81.88</v>
      </c>
      <c r="AJ968" s="156">
        <f t="shared" si="15"/>
        <v>0.11358085002442596</v>
      </c>
    </row>
    <row r="969" spans="26:36" x14ac:dyDescent="0.3">
      <c r="Z969" s="1">
        <v>43658</v>
      </c>
      <c r="AA969">
        <v>72.150000000000006</v>
      </c>
      <c r="AB969">
        <v>1004</v>
      </c>
      <c r="AC969">
        <v>7437</v>
      </c>
      <c r="AF969" s="1">
        <v>43658</v>
      </c>
      <c r="AG969">
        <v>81.62</v>
      </c>
      <c r="AJ969" s="156">
        <f t="shared" si="15"/>
        <v>0.11602548395001223</v>
      </c>
    </row>
    <row r="970" spans="26:36" x14ac:dyDescent="0.3">
      <c r="Z970" s="1">
        <v>43657</v>
      </c>
      <c r="AA970">
        <v>71.72</v>
      </c>
      <c r="AB970">
        <v>3001</v>
      </c>
      <c r="AC970">
        <v>15580</v>
      </c>
      <c r="AF970" s="1">
        <v>43657</v>
      </c>
      <c r="AG970">
        <v>82.05</v>
      </c>
      <c r="AJ970" s="156">
        <f t="shared" si="15"/>
        <v>0.12589884216940889</v>
      </c>
    </row>
    <row r="971" spans="26:36" x14ac:dyDescent="0.3">
      <c r="Z971" s="1">
        <v>43656</v>
      </c>
      <c r="AA971">
        <v>71.72</v>
      </c>
      <c r="AB971">
        <v>587</v>
      </c>
      <c r="AC971">
        <v>15384</v>
      </c>
      <c r="AF971" s="1">
        <v>43656</v>
      </c>
      <c r="AG971">
        <v>81.010000000000005</v>
      </c>
      <c r="AJ971" s="156">
        <f t="shared" si="15"/>
        <v>0.11467720034563642</v>
      </c>
    </row>
    <row r="972" spans="26:36" x14ac:dyDescent="0.3">
      <c r="Z972" s="1">
        <v>43655</v>
      </c>
      <c r="AA972">
        <v>71.55</v>
      </c>
      <c r="AB972">
        <v>880</v>
      </c>
      <c r="AC972">
        <v>16196</v>
      </c>
      <c r="AF972" s="1">
        <v>43655</v>
      </c>
      <c r="AG972">
        <v>82.23</v>
      </c>
      <c r="AJ972" s="156">
        <f t="shared" si="15"/>
        <v>0.12987960598321788</v>
      </c>
    </row>
    <row r="973" spans="26:36" x14ac:dyDescent="0.3">
      <c r="Z973" s="1">
        <v>43654</v>
      </c>
      <c r="AA973">
        <v>72.489999999999995</v>
      </c>
      <c r="AB973">
        <v>12835</v>
      </c>
      <c r="AC973">
        <v>16259</v>
      </c>
      <c r="AF973" s="1">
        <v>43654</v>
      </c>
      <c r="AG973">
        <v>83.01</v>
      </c>
      <c r="AJ973" s="156">
        <f t="shared" si="15"/>
        <v>0.12673171906999167</v>
      </c>
    </row>
    <row r="974" spans="26:36" x14ac:dyDescent="0.3">
      <c r="Z974" s="1">
        <v>43651</v>
      </c>
      <c r="AA974">
        <v>71.89</v>
      </c>
      <c r="AB974">
        <v>5739</v>
      </c>
      <c r="AC974">
        <v>15991</v>
      </c>
      <c r="AF974" s="1">
        <v>43651</v>
      </c>
      <c r="AG974">
        <v>84.23</v>
      </c>
      <c r="AJ974" s="156">
        <f t="shared" si="15"/>
        <v>0.14650362103763509</v>
      </c>
    </row>
    <row r="975" spans="26:36" x14ac:dyDescent="0.3">
      <c r="Z975" s="1">
        <v>43650</v>
      </c>
      <c r="AA975">
        <v>72.58</v>
      </c>
      <c r="AB975">
        <v>4196</v>
      </c>
      <c r="AC975">
        <v>15740</v>
      </c>
      <c r="AF975" s="1">
        <v>43650</v>
      </c>
      <c r="AG975">
        <v>83.1</v>
      </c>
      <c r="AJ975" s="156">
        <f t="shared" si="15"/>
        <v>0.12659446450060163</v>
      </c>
    </row>
    <row r="976" spans="26:36" x14ac:dyDescent="0.3">
      <c r="Z976" s="1">
        <v>43649</v>
      </c>
      <c r="AA976">
        <v>71.209999999999994</v>
      </c>
      <c r="AB976">
        <v>30994</v>
      </c>
      <c r="AC976">
        <v>15460</v>
      </c>
      <c r="AF976" s="1">
        <v>43649</v>
      </c>
      <c r="AG976">
        <v>82.31</v>
      </c>
      <c r="AJ976" s="156">
        <f t="shared" si="15"/>
        <v>0.13485603207386718</v>
      </c>
    </row>
    <row r="977" spans="26:36" x14ac:dyDescent="0.3">
      <c r="Z977" s="1">
        <v>43648</v>
      </c>
      <c r="AA977">
        <v>70.010000000000005</v>
      </c>
      <c r="AB977">
        <v>30591</v>
      </c>
      <c r="AC977">
        <v>13805</v>
      </c>
      <c r="AF977" s="1">
        <v>43648</v>
      </c>
      <c r="AG977">
        <v>81.97</v>
      </c>
      <c r="AJ977" s="156">
        <f t="shared" si="15"/>
        <v>0.14590703916066847</v>
      </c>
    </row>
    <row r="978" spans="26:36" x14ac:dyDescent="0.3">
      <c r="Z978" s="1">
        <v>43647</v>
      </c>
      <c r="AA978">
        <v>70.010000000000005</v>
      </c>
      <c r="AF978" s="1">
        <v>43647</v>
      </c>
      <c r="AG978">
        <v>80.84</v>
      </c>
      <c r="AJ978" s="156">
        <f t="shared" si="15"/>
        <v>0.13396833250865905</v>
      </c>
    </row>
    <row r="979" spans="26:36" x14ac:dyDescent="0.3">
      <c r="Z979" s="1">
        <v>43644</v>
      </c>
      <c r="AA979">
        <v>70.010000000000005</v>
      </c>
      <c r="AB979">
        <v>9526</v>
      </c>
      <c r="AC979">
        <v>12277</v>
      </c>
      <c r="AF979" s="1">
        <v>43644</v>
      </c>
      <c r="AG979">
        <v>79.88</v>
      </c>
      <c r="AJ979" s="156">
        <f t="shared" si="15"/>
        <v>0.12356034051076603</v>
      </c>
    </row>
    <row r="980" spans="26:36" x14ac:dyDescent="0.3">
      <c r="Z980" s="1">
        <v>43643</v>
      </c>
      <c r="AA980">
        <v>70.010000000000005</v>
      </c>
      <c r="AB980">
        <v>7171</v>
      </c>
      <c r="AC980">
        <v>12442</v>
      </c>
      <c r="AF980" s="1">
        <v>43643</v>
      </c>
      <c r="AG980">
        <v>79.97</v>
      </c>
      <c r="AJ980" s="156">
        <f t="shared" si="15"/>
        <v>0.12454670501438031</v>
      </c>
    </row>
    <row r="981" spans="26:36" x14ac:dyDescent="0.3">
      <c r="Z981" s="1">
        <v>43642</v>
      </c>
      <c r="AA981">
        <v>69.25</v>
      </c>
      <c r="AB981">
        <v>2977</v>
      </c>
      <c r="AC981">
        <v>12308</v>
      </c>
      <c r="AF981" s="1">
        <v>43642</v>
      </c>
      <c r="AG981">
        <v>79.53</v>
      </c>
      <c r="AJ981" s="156">
        <f t="shared" si="15"/>
        <v>0.12925939896894256</v>
      </c>
    </row>
    <row r="982" spans="26:36" x14ac:dyDescent="0.3">
      <c r="Z982" s="1">
        <v>43641</v>
      </c>
      <c r="AA982">
        <v>70.099999999999994</v>
      </c>
      <c r="AB982">
        <v>4</v>
      </c>
      <c r="AC982">
        <v>12430</v>
      </c>
      <c r="AF982" s="1">
        <v>43641</v>
      </c>
      <c r="AG982">
        <v>79.45</v>
      </c>
      <c r="AJ982" s="156">
        <f t="shared" si="15"/>
        <v>0.11768407803650105</v>
      </c>
    </row>
    <row r="983" spans="26:36" x14ac:dyDescent="0.3">
      <c r="Z983" s="1">
        <v>43640</v>
      </c>
      <c r="AA983">
        <v>70.099999999999994</v>
      </c>
      <c r="AB983">
        <v>1412</v>
      </c>
      <c r="AC983">
        <v>12472</v>
      </c>
      <c r="AF983" s="1">
        <v>43640</v>
      </c>
      <c r="AG983">
        <v>79.97</v>
      </c>
      <c r="AJ983" s="156">
        <f t="shared" si="15"/>
        <v>0.12342128298111797</v>
      </c>
    </row>
    <row r="984" spans="26:36" x14ac:dyDescent="0.3">
      <c r="Z984" s="1">
        <v>43637</v>
      </c>
      <c r="AA984">
        <v>71.12</v>
      </c>
      <c r="AB984">
        <v>632</v>
      </c>
      <c r="AC984">
        <v>12399</v>
      </c>
      <c r="AF984" s="1">
        <v>43637</v>
      </c>
      <c r="AG984">
        <v>80.489999999999995</v>
      </c>
      <c r="AJ984" s="156">
        <f t="shared" si="15"/>
        <v>0.11641197664306113</v>
      </c>
    </row>
    <row r="985" spans="26:36" x14ac:dyDescent="0.3">
      <c r="Z985" s="1">
        <v>43636</v>
      </c>
      <c r="AA985">
        <v>71.47</v>
      </c>
      <c r="AB985">
        <v>123161</v>
      </c>
      <c r="AC985">
        <v>12740</v>
      </c>
      <c r="AF985" s="1">
        <v>43636</v>
      </c>
      <c r="AG985">
        <v>81.27</v>
      </c>
      <c r="AJ985" s="156">
        <f t="shared" si="15"/>
        <v>0.12058570198105079</v>
      </c>
    </row>
    <row r="986" spans="26:36" x14ac:dyDescent="0.3">
      <c r="Z986" s="1">
        <v>43635</v>
      </c>
      <c r="AA986">
        <v>71.38</v>
      </c>
      <c r="AB986">
        <v>54</v>
      </c>
      <c r="AC986">
        <v>5347</v>
      </c>
      <c r="AF986" s="1">
        <v>43635</v>
      </c>
      <c r="AG986">
        <v>81.36</v>
      </c>
      <c r="AJ986" s="156">
        <f t="shared" si="15"/>
        <v>0.12266470009832847</v>
      </c>
    </row>
    <row r="987" spans="26:36" x14ac:dyDescent="0.3">
      <c r="Z987" s="1">
        <v>43634</v>
      </c>
      <c r="AA987">
        <v>71.38</v>
      </c>
      <c r="AB987">
        <v>12772</v>
      </c>
      <c r="AC987">
        <v>5720</v>
      </c>
      <c r="AF987" s="1">
        <v>43634</v>
      </c>
      <c r="AG987">
        <v>81.709999999999994</v>
      </c>
      <c r="AJ987" s="156">
        <f t="shared" si="15"/>
        <v>0.12642271447803205</v>
      </c>
    </row>
    <row r="988" spans="26:36" x14ac:dyDescent="0.3">
      <c r="Z988" s="1">
        <v>43633</v>
      </c>
      <c r="AA988">
        <v>71.12</v>
      </c>
      <c r="AB988">
        <v>1820</v>
      </c>
      <c r="AC988">
        <v>5080</v>
      </c>
      <c r="AF988" s="1">
        <v>43633</v>
      </c>
      <c r="AG988">
        <v>81.27</v>
      </c>
      <c r="AJ988" s="156">
        <f t="shared" si="15"/>
        <v>0.12489233419465967</v>
      </c>
    </row>
    <row r="989" spans="26:36" x14ac:dyDescent="0.3">
      <c r="Z989" s="1">
        <v>43630</v>
      </c>
      <c r="AA989">
        <v>71.72</v>
      </c>
      <c r="AB989">
        <v>8818</v>
      </c>
      <c r="AC989">
        <v>5134</v>
      </c>
      <c r="AF989" s="1">
        <v>43630</v>
      </c>
      <c r="AG989">
        <v>80.92</v>
      </c>
      <c r="AJ989" s="156">
        <f t="shared" si="15"/>
        <v>0.11369253583786459</v>
      </c>
    </row>
    <row r="990" spans="26:36" x14ac:dyDescent="0.3">
      <c r="Z990" s="1">
        <v>43629</v>
      </c>
      <c r="AA990">
        <v>69.67</v>
      </c>
      <c r="AB990">
        <v>1968</v>
      </c>
      <c r="AC990">
        <v>4554</v>
      </c>
      <c r="AF990" s="1">
        <v>43629</v>
      </c>
      <c r="AG990">
        <v>81.099999999999994</v>
      </c>
      <c r="AJ990" s="156">
        <f t="shared" si="15"/>
        <v>0.14093711467324282</v>
      </c>
    </row>
    <row r="991" spans="26:36" x14ac:dyDescent="0.3">
      <c r="Z991" s="1">
        <v>43628</v>
      </c>
      <c r="AA991">
        <v>69.33</v>
      </c>
      <c r="AB991">
        <v>6</v>
      </c>
      <c r="AC991">
        <v>4709</v>
      </c>
      <c r="AF991" s="1">
        <v>43628</v>
      </c>
      <c r="AG991">
        <v>82.31</v>
      </c>
      <c r="AJ991" s="156">
        <f t="shared" si="15"/>
        <v>0.15769651318187344</v>
      </c>
    </row>
    <row r="992" spans="26:36" x14ac:dyDescent="0.3">
      <c r="Z992" s="1">
        <v>43627</v>
      </c>
      <c r="AA992">
        <v>69.33</v>
      </c>
      <c r="AB992">
        <v>6156</v>
      </c>
      <c r="AC992">
        <v>5731</v>
      </c>
      <c r="AF992" s="1">
        <v>43627</v>
      </c>
      <c r="AG992">
        <v>81.53</v>
      </c>
      <c r="AJ992" s="156">
        <f t="shared" si="15"/>
        <v>0.1496381699987735</v>
      </c>
    </row>
    <row r="993" spans="26:36" x14ac:dyDescent="0.3">
      <c r="Z993" s="1">
        <v>43626</v>
      </c>
      <c r="AA993">
        <v>68.31</v>
      </c>
      <c r="AB993">
        <v>7676</v>
      </c>
      <c r="AC993">
        <v>5407</v>
      </c>
      <c r="AF993" s="1">
        <v>43626</v>
      </c>
      <c r="AG993">
        <v>80.14</v>
      </c>
      <c r="AJ993" s="156">
        <f t="shared" si="15"/>
        <v>0.14761667082605437</v>
      </c>
    </row>
    <row r="994" spans="26:36" x14ac:dyDescent="0.3">
      <c r="Z994" s="1">
        <v>43623</v>
      </c>
      <c r="AA994">
        <v>68.31</v>
      </c>
      <c r="AB994">
        <v>12001</v>
      </c>
      <c r="AC994">
        <v>5705</v>
      </c>
      <c r="AF994" s="1">
        <v>43623</v>
      </c>
      <c r="AG994">
        <v>79.53</v>
      </c>
      <c r="AJ994" s="156">
        <f t="shared" si="15"/>
        <v>0.14107883817427383</v>
      </c>
    </row>
    <row r="995" spans="26:36" x14ac:dyDescent="0.3">
      <c r="Z995" s="1">
        <v>43622</v>
      </c>
      <c r="AA995">
        <v>68.31</v>
      </c>
      <c r="AB995">
        <v>5170</v>
      </c>
      <c r="AC995">
        <v>6024</v>
      </c>
      <c r="AF995" s="1">
        <v>43622</v>
      </c>
      <c r="AG995">
        <v>78.23</v>
      </c>
      <c r="AJ995" s="156">
        <f t="shared" si="15"/>
        <v>0.12680557330947209</v>
      </c>
    </row>
    <row r="996" spans="26:36" x14ac:dyDescent="0.3">
      <c r="Z996" s="1">
        <v>43620</v>
      </c>
      <c r="AA996">
        <v>67.28</v>
      </c>
      <c r="AB996">
        <v>4804</v>
      </c>
      <c r="AC996">
        <v>6914</v>
      </c>
      <c r="AF996" s="1">
        <v>43620</v>
      </c>
      <c r="AG996">
        <v>78.23</v>
      </c>
      <c r="AJ996" s="156">
        <f t="shared" si="15"/>
        <v>0.13997187779624187</v>
      </c>
    </row>
    <row r="997" spans="26:36" x14ac:dyDescent="0.3">
      <c r="Z997" s="1">
        <v>43619</v>
      </c>
      <c r="AA997">
        <v>67.540000000000006</v>
      </c>
      <c r="AB997">
        <v>624</v>
      </c>
      <c r="AC997">
        <v>6788</v>
      </c>
      <c r="AF997" s="1">
        <v>43619</v>
      </c>
      <c r="AG997">
        <v>79.099999999999994</v>
      </c>
      <c r="AJ997" s="156">
        <f t="shared" si="15"/>
        <v>0.14614412136536017</v>
      </c>
    </row>
    <row r="998" spans="26:36" x14ac:dyDescent="0.3">
      <c r="Z998" s="1">
        <v>43616</v>
      </c>
      <c r="AA998">
        <v>67.97</v>
      </c>
      <c r="AB998">
        <v>328</v>
      </c>
      <c r="AC998">
        <v>6969</v>
      </c>
      <c r="AF998" s="1">
        <v>43616</v>
      </c>
      <c r="AG998">
        <v>79.62</v>
      </c>
      <c r="AJ998" s="156">
        <f t="shared" si="15"/>
        <v>0.14632002009545347</v>
      </c>
    </row>
    <row r="999" spans="26:36" x14ac:dyDescent="0.3">
      <c r="Z999" s="1">
        <v>43615</v>
      </c>
      <c r="AA999">
        <v>70.010000000000005</v>
      </c>
      <c r="AB999">
        <v>5739</v>
      </c>
      <c r="AC999">
        <v>7052</v>
      </c>
      <c r="AF999" s="1">
        <v>43615</v>
      </c>
      <c r="AG999">
        <v>80.319999999999993</v>
      </c>
      <c r="AJ999" s="156">
        <f t="shared" si="15"/>
        <v>0.12836155378486042</v>
      </c>
    </row>
    <row r="1000" spans="26:36" x14ac:dyDescent="0.3">
      <c r="Z1000" s="1">
        <v>43614</v>
      </c>
      <c r="AA1000">
        <v>69.42</v>
      </c>
      <c r="AB1000">
        <v>12275</v>
      </c>
      <c r="AC1000">
        <v>7004</v>
      </c>
      <c r="AF1000" s="1">
        <v>43614</v>
      </c>
      <c r="AG1000">
        <v>80.05</v>
      </c>
      <c r="AJ1000" s="156">
        <f t="shared" si="15"/>
        <v>0.13279200499687691</v>
      </c>
    </row>
    <row r="1001" spans="26:36" x14ac:dyDescent="0.3">
      <c r="Z1001" s="1">
        <v>43613</v>
      </c>
      <c r="AA1001">
        <v>67.45</v>
      </c>
      <c r="AB1001">
        <v>5640</v>
      </c>
      <c r="AC1001">
        <v>9116</v>
      </c>
      <c r="AF1001" s="1">
        <v>43613</v>
      </c>
      <c r="AG1001">
        <v>79.88</v>
      </c>
      <c r="AJ1001" s="156">
        <f t="shared" si="15"/>
        <v>0.1556084126189283</v>
      </c>
    </row>
    <row r="1002" spans="26:36" x14ac:dyDescent="0.3">
      <c r="Z1002" s="1">
        <v>43612</v>
      </c>
      <c r="AA1002">
        <v>67.88</v>
      </c>
      <c r="AB1002">
        <v>3180</v>
      </c>
      <c r="AC1002">
        <v>8742</v>
      </c>
      <c r="AF1002" s="1">
        <v>43612</v>
      </c>
      <c r="AG1002">
        <v>78.66</v>
      </c>
      <c r="AJ1002" s="156">
        <f t="shared" si="15"/>
        <v>0.13704551233155354</v>
      </c>
    </row>
    <row r="1003" spans="26:36" x14ac:dyDescent="0.3">
      <c r="Z1003" s="1">
        <v>43609</v>
      </c>
      <c r="AA1003">
        <v>68.05</v>
      </c>
      <c r="AB1003">
        <v>2620</v>
      </c>
      <c r="AC1003">
        <v>9970</v>
      </c>
      <c r="AF1003" s="1">
        <v>43609</v>
      </c>
      <c r="AG1003">
        <v>78.319999999999993</v>
      </c>
      <c r="AJ1003" s="156">
        <f t="shared" si="15"/>
        <v>0.13112870275791619</v>
      </c>
    </row>
    <row r="1004" spans="26:36" x14ac:dyDescent="0.3">
      <c r="Z1004" s="1">
        <v>43608</v>
      </c>
      <c r="AA1004">
        <v>68.22</v>
      </c>
      <c r="AB1004">
        <v>123</v>
      </c>
      <c r="AC1004">
        <v>15640</v>
      </c>
      <c r="AF1004" s="1">
        <v>43608</v>
      </c>
      <c r="AG1004">
        <v>78.66</v>
      </c>
      <c r="AJ1004" s="156">
        <f t="shared" si="15"/>
        <v>0.13272311212814644</v>
      </c>
    </row>
    <row r="1005" spans="26:36" x14ac:dyDescent="0.3">
      <c r="Z1005" s="1">
        <v>43607</v>
      </c>
      <c r="AA1005">
        <v>67.97</v>
      </c>
      <c r="AB1005">
        <v>4295</v>
      </c>
      <c r="AC1005">
        <v>19053</v>
      </c>
      <c r="AF1005" s="1">
        <v>43607</v>
      </c>
      <c r="AG1005">
        <v>78.23</v>
      </c>
      <c r="AJ1005" s="156">
        <f t="shared" si="15"/>
        <v>0.13115173207209516</v>
      </c>
    </row>
    <row r="1006" spans="26:36" x14ac:dyDescent="0.3">
      <c r="Z1006" s="1">
        <v>43606</v>
      </c>
      <c r="AA1006">
        <v>66.599999999999994</v>
      </c>
      <c r="AB1006">
        <v>15334</v>
      </c>
      <c r="AC1006">
        <v>18783</v>
      </c>
      <c r="AF1006" s="1">
        <v>43606</v>
      </c>
      <c r="AG1006">
        <v>78.23</v>
      </c>
      <c r="AJ1006" s="156">
        <f t="shared" si="15"/>
        <v>0.14866419532148803</v>
      </c>
    </row>
    <row r="1007" spans="26:36" x14ac:dyDescent="0.3">
      <c r="Z1007" s="1">
        <v>43602</v>
      </c>
      <c r="AA1007">
        <v>65.319999999999993</v>
      </c>
      <c r="AB1007">
        <v>1300</v>
      </c>
      <c r="AC1007">
        <v>18009</v>
      </c>
      <c r="AF1007" s="1">
        <v>43602</v>
      </c>
      <c r="AG1007">
        <v>77.36</v>
      </c>
      <c r="AJ1007" s="156">
        <f t="shared" si="15"/>
        <v>0.15563598759048611</v>
      </c>
    </row>
    <row r="1008" spans="26:36" x14ac:dyDescent="0.3">
      <c r="Z1008" s="1">
        <v>43601</v>
      </c>
      <c r="AA1008">
        <v>64.89</v>
      </c>
      <c r="AB1008">
        <v>12149</v>
      </c>
      <c r="AC1008">
        <v>18447</v>
      </c>
      <c r="AF1008" s="1">
        <v>43601</v>
      </c>
      <c r="AG1008">
        <v>77.27</v>
      </c>
      <c r="AJ1008" s="156">
        <f t="shared" si="15"/>
        <v>0.16021741943833306</v>
      </c>
    </row>
    <row r="1009" spans="26:36" x14ac:dyDescent="0.3">
      <c r="Z1009" s="1">
        <v>43600</v>
      </c>
      <c r="AA1009">
        <v>64.040000000000006</v>
      </c>
      <c r="AB1009">
        <v>16774</v>
      </c>
      <c r="AC1009">
        <v>18283</v>
      </c>
      <c r="AF1009" s="1">
        <v>43600</v>
      </c>
      <c r="AG1009">
        <v>77.790000000000006</v>
      </c>
      <c r="AJ1009" s="156">
        <f t="shared" si="15"/>
        <v>0.17675793803830825</v>
      </c>
    </row>
    <row r="1010" spans="26:36" x14ac:dyDescent="0.3">
      <c r="Z1010" s="1">
        <v>43599</v>
      </c>
      <c r="AA1010">
        <v>65.75</v>
      </c>
      <c r="AB1010">
        <v>18521</v>
      </c>
      <c r="AC1010">
        <v>17728</v>
      </c>
      <c r="AF1010" s="1">
        <v>43599</v>
      </c>
      <c r="AG1010">
        <v>78.14</v>
      </c>
      <c r="AJ1010" s="156">
        <f t="shared" si="15"/>
        <v>0.1585615561812132</v>
      </c>
    </row>
    <row r="1011" spans="26:36" x14ac:dyDescent="0.3">
      <c r="Z1011" s="1">
        <v>43598</v>
      </c>
      <c r="AA1011">
        <v>67.28</v>
      </c>
      <c r="AB1011">
        <v>2920</v>
      </c>
      <c r="AC1011">
        <v>16853</v>
      </c>
      <c r="AF1011" s="1">
        <v>43598</v>
      </c>
      <c r="AG1011">
        <v>78.23</v>
      </c>
      <c r="AJ1011" s="156">
        <f t="shared" si="15"/>
        <v>0.13997187779624187</v>
      </c>
    </row>
    <row r="1012" spans="26:36" x14ac:dyDescent="0.3">
      <c r="Z1012" s="1">
        <v>43595</v>
      </c>
      <c r="AA1012">
        <v>67.62</v>
      </c>
      <c r="AB1012">
        <v>3340</v>
      </c>
      <c r="AC1012">
        <v>17975</v>
      </c>
      <c r="AF1012" s="1">
        <v>43595</v>
      </c>
      <c r="AG1012">
        <v>78.23</v>
      </c>
      <c r="AJ1012" s="156">
        <f t="shared" si="15"/>
        <v>0.13562571903361881</v>
      </c>
    </row>
    <row r="1013" spans="26:36" x14ac:dyDescent="0.3">
      <c r="Z1013" s="1">
        <v>43594</v>
      </c>
      <c r="AA1013">
        <v>67.45</v>
      </c>
      <c r="AB1013">
        <v>1573</v>
      </c>
      <c r="AC1013">
        <v>18185</v>
      </c>
      <c r="AF1013" s="1">
        <v>43594</v>
      </c>
      <c r="AG1013">
        <v>78.23</v>
      </c>
      <c r="AJ1013" s="156">
        <f t="shared" si="15"/>
        <v>0.13779879841493034</v>
      </c>
    </row>
    <row r="1014" spans="26:36" x14ac:dyDescent="0.3">
      <c r="Z1014" s="1">
        <v>43593</v>
      </c>
      <c r="AA1014">
        <v>68.22</v>
      </c>
      <c r="AB1014">
        <v>5014</v>
      </c>
      <c r="AC1014">
        <v>18174</v>
      </c>
      <c r="AF1014" s="1">
        <v>43593</v>
      </c>
      <c r="AG1014">
        <v>78.92</v>
      </c>
      <c r="AJ1014" s="156">
        <f t="shared" si="15"/>
        <v>0.13558033451596557</v>
      </c>
    </row>
    <row r="1015" spans="26:36" x14ac:dyDescent="0.3">
      <c r="Z1015" s="1">
        <v>43592</v>
      </c>
      <c r="AA1015">
        <v>68.31</v>
      </c>
      <c r="AB1015">
        <v>43956</v>
      </c>
      <c r="AC1015">
        <v>29291</v>
      </c>
      <c r="AF1015" s="1">
        <v>43592</v>
      </c>
      <c r="AG1015">
        <v>79.53</v>
      </c>
      <c r="AJ1015" s="156">
        <f t="shared" si="15"/>
        <v>0.14107883817427383</v>
      </c>
    </row>
    <row r="1016" spans="26:36" x14ac:dyDescent="0.3">
      <c r="Z1016" s="1">
        <v>43591</v>
      </c>
      <c r="AA1016">
        <v>68.31</v>
      </c>
      <c r="AB1016">
        <v>26</v>
      </c>
      <c r="AC1016">
        <v>26716</v>
      </c>
      <c r="AF1016" s="1">
        <v>43591</v>
      </c>
      <c r="AG1016">
        <v>79.88</v>
      </c>
      <c r="AJ1016" s="156">
        <f t="shared" si="15"/>
        <v>0.14484226339509257</v>
      </c>
    </row>
    <row r="1017" spans="26:36" x14ac:dyDescent="0.3">
      <c r="Z1017" s="1">
        <v>43588</v>
      </c>
      <c r="AA1017">
        <v>68.31</v>
      </c>
      <c r="AB1017">
        <v>21611</v>
      </c>
      <c r="AC1017">
        <v>28288</v>
      </c>
      <c r="AF1017" s="1">
        <v>43588</v>
      </c>
      <c r="AG1017">
        <v>80.489999999999995</v>
      </c>
      <c r="AJ1017" s="156">
        <f t="shared" si="15"/>
        <v>0.15132314573238903</v>
      </c>
    </row>
    <row r="1018" spans="26:36" x14ac:dyDescent="0.3">
      <c r="Z1018" s="1">
        <v>43587</v>
      </c>
      <c r="AA1018">
        <v>68.31</v>
      </c>
      <c r="AB1018">
        <v>87658</v>
      </c>
      <c r="AC1018">
        <v>27747</v>
      </c>
      <c r="AF1018" s="1">
        <v>43587</v>
      </c>
      <c r="AG1018">
        <v>79.62</v>
      </c>
      <c r="AJ1018" s="156">
        <f t="shared" si="15"/>
        <v>0.1420497362471741</v>
      </c>
    </row>
    <row r="1019" spans="26:36" x14ac:dyDescent="0.3">
      <c r="Z1019" s="1">
        <v>43585</v>
      </c>
      <c r="AA1019">
        <v>68.31</v>
      </c>
      <c r="AB1019">
        <v>51324</v>
      </c>
      <c r="AC1019">
        <v>22062</v>
      </c>
      <c r="AF1019" s="1">
        <v>43585</v>
      </c>
      <c r="AG1019">
        <v>79.97</v>
      </c>
      <c r="AJ1019" s="156">
        <f t="shared" si="15"/>
        <v>0.14580467675378264</v>
      </c>
    </row>
    <row r="1020" spans="26:36" x14ac:dyDescent="0.3">
      <c r="Z1020" s="1">
        <v>43584</v>
      </c>
      <c r="AA1020">
        <v>68.48</v>
      </c>
      <c r="AB1020">
        <v>241</v>
      </c>
      <c r="AC1020">
        <v>19109</v>
      </c>
      <c r="AF1020" s="1">
        <v>43584</v>
      </c>
      <c r="AG1020">
        <v>79.45</v>
      </c>
      <c r="AJ1020" s="156">
        <f t="shared" si="15"/>
        <v>0.13807426054122088</v>
      </c>
    </row>
    <row r="1021" spans="26:36" x14ac:dyDescent="0.3">
      <c r="Z1021" s="1">
        <v>43581</v>
      </c>
      <c r="AA1021">
        <v>68.39</v>
      </c>
      <c r="AB1021">
        <v>3724</v>
      </c>
      <c r="AC1021">
        <v>19295</v>
      </c>
      <c r="AF1021" s="1">
        <v>43581</v>
      </c>
      <c r="AG1021">
        <v>79.88</v>
      </c>
      <c r="AJ1021" s="156">
        <f t="shared" si="15"/>
        <v>0.14384076114171251</v>
      </c>
    </row>
    <row r="1022" spans="26:36" x14ac:dyDescent="0.3">
      <c r="Z1022" s="1">
        <v>43580</v>
      </c>
      <c r="AA1022">
        <v>69.760000000000005</v>
      </c>
      <c r="AB1022">
        <v>7870</v>
      </c>
      <c r="AC1022">
        <v>19047</v>
      </c>
      <c r="AF1022" s="1">
        <v>43580</v>
      </c>
      <c r="AG1022">
        <v>80.75</v>
      </c>
      <c r="AJ1022" s="156">
        <f t="shared" si="15"/>
        <v>0.13609907120743028</v>
      </c>
    </row>
    <row r="1023" spans="26:36" x14ac:dyDescent="0.3">
      <c r="Z1023" s="1">
        <v>43579</v>
      </c>
      <c r="AA1023">
        <v>68.14</v>
      </c>
      <c r="AB1023">
        <v>9700</v>
      </c>
      <c r="AC1023">
        <v>18791</v>
      </c>
      <c r="AF1023" s="1">
        <v>43579</v>
      </c>
      <c r="AG1023">
        <v>80.84</v>
      </c>
      <c r="AJ1023" s="156">
        <f t="shared" si="15"/>
        <v>0.157100445324097</v>
      </c>
    </row>
    <row r="1024" spans="26:36" x14ac:dyDescent="0.3">
      <c r="Z1024" s="1">
        <v>43578</v>
      </c>
      <c r="AA1024">
        <v>68.05</v>
      </c>
      <c r="AB1024">
        <v>8444</v>
      </c>
      <c r="AC1024">
        <v>18584</v>
      </c>
      <c r="AF1024" s="1">
        <v>43578</v>
      </c>
      <c r="AG1024">
        <v>80.66</v>
      </c>
      <c r="AJ1024" s="156">
        <f t="shared" si="15"/>
        <v>0.1563352343168857</v>
      </c>
    </row>
    <row r="1025" spans="26:36" x14ac:dyDescent="0.3">
      <c r="Z1025" s="1">
        <v>43573</v>
      </c>
      <c r="AA1025">
        <v>69.59</v>
      </c>
      <c r="AB1025">
        <v>5390</v>
      </c>
      <c r="AC1025">
        <v>18270</v>
      </c>
      <c r="AF1025" s="1">
        <v>43573</v>
      </c>
      <c r="AG1025">
        <v>83.36</v>
      </c>
      <c r="AJ1025" s="156">
        <f t="shared" si="15"/>
        <v>0.16518714011516311</v>
      </c>
    </row>
    <row r="1026" spans="26:36" x14ac:dyDescent="0.3">
      <c r="Z1026" s="1">
        <v>43572</v>
      </c>
      <c r="AA1026">
        <v>69.59</v>
      </c>
      <c r="AB1026">
        <v>19748</v>
      </c>
      <c r="AC1026">
        <v>17918</v>
      </c>
      <c r="AF1026" s="1">
        <v>43572</v>
      </c>
      <c r="AG1026">
        <v>84.31</v>
      </c>
      <c r="AJ1026" s="156">
        <f t="shared" si="15"/>
        <v>0.17459376111967737</v>
      </c>
    </row>
    <row r="1027" spans="26:36" x14ac:dyDescent="0.3">
      <c r="Z1027" s="1">
        <v>43571</v>
      </c>
      <c r="AA1027">
        <v>69.59</v>
      </c>
      <c r="AB1027">
        <v>6498</v>
      </c>
      <c r="AC1027">
        <v>25708</v>
      </c>
      <c r="AF1027" s="1">
        <v>43571</v>
      </c>
      <c r="AG1027">
        <v>84.31</v>
      </c>
      <c r="AJ1027" s="156">
        <f t="shared" si="15"/>
        <v>0.17459376111967737</v>
      </c>
    </row>
    <row r="1028" spans="26:36" x14ac:dyDescent="0.3">
      <c r="Z1028" s="1">
        <v>43567</v>
      </c>
      <c r="AA1028">
        <v>70.010000000000005</v>
      </c>
      <c r="AB1028">
        <v>1412</v>
      </c>
      <c r="AC1028">
        <v>35073</v>
      </c>
      <c r="AF1028" s="1">
        <v>43567</v>
      </c>
      <c r="AG1028">
        <v>84.92</v>
      </c>
      <c r="AJ1028" s="156">
        <f t="shared" si="15"/>
        <v>0.17557701365991518</v>
      </c>
    </row>
    <row r="1029" spans="26:36" x14ac:dyDescent="0.3">
      <c r="Z1029" s="1">
        <v>43566</v>
      </c>
      <c r="AA1029">
        <v>69.33</v>
      </c>
      <c r="AB1029">
        <v>171761</v>
      </c>
      <c r="AC1029">
        <v>38551</v>
      </c>
      <c r="AF1029" s="1">
        <v>43566</v>
      </c>
      <c r="AG1029">
        <v>85.18</v>
      </c>
      <c r="AJ1029" s="156">
        <f t="shared" si="15"/>
        <v>0.18607654378962207</v>
      </c>
    </row>
    <row r="1030" spans="26:36" x14ac:dyDescent="0.3">
      <c r="Z1030" s="1">
        <v>43565</v>
      </c>
      <c r="AA1030">
        <v>71.38</v>
      </c>
      <c r="AB1030">
        <v>5328</v>
      </c>
      <c r="AC1030">
        <v>31289</v>
      </c>
      <c r="AF1030" s="1">
        <v>43565</v>
      </c>
      <c r="AG1030">
        <v>85.53</v>
      </c>
      <c r="AJ1030" s="156">
        <f t="shared" ref="AJ1030:AJ1093" si="16">(AG1030-AA1030)/AG1030</f>
        <v>0.16543902724190349</v>
      </c>
    </row>
    <row r="1031" spans="26:36" x14ac:dyDescent="0.3">
      <c r="Z1031" s="1">
        <v>43564</v>
      </c>
      <c r="AA1031">
        <v>72.489999999999995</v>
      </c>
      <c r="AB1031">
        <v>23616</v>
      </c>
      <c r="AC1031">
        <v>31244</v>
      </c>
      <c r="AF1031" s="1">
        <v>43564</v>
      </c>
      <c r="AG1031">
        <v>85.96</v>
      </c>
      <c r="AJ1031" s="156">
        <f t="shared" si="16"/>
        <v>0.15670079106561191</v>
      </c>
    </row>
    <row r="1032" spans="26:36" x14ac:dyDescent="0.3">
      <c r="Z1032" s="1">
        <v>43563</v>
      </c>
      <c r="AA1032">
        <v>71.3</v>
      </c>
      <c r="AB1032">
        <v>13486</v>
      </c>
      <c r="AC1032">
        <v>30328</v>
      </c>
      <c r="AF1032" s="1">
        <v>43563</v>
      </c>
      <c r="AG1032">
        <v>86.75</v>
      </c>
      <c r="AJ1032" s="156">
        <f t="shared" si="16"/>
        <v>0.17809798270893376</v>
      </c>
    </row>
    <row r="1033" spans="26:36" x14ac:dyDescent="0.3">
      <c r="Z1033" s="1">
        <v>43560</v>
      </c>
      <c r="AA1033">
        <v>72.489999999999995</v>
      </c>
      <c r="AB1033">
        <v>2381</v>
      </c>
      <c r="AC1033">
        <v>29520</v>
      </c>
      <c r="AF1033" s="1">
        <v>43560</v>
      </c>
      <c r="AG1033">
        <v>86.92</v>
      </c>
      <c r="AJ1033" s="156">
        <f t="shared" si="16"/>
        <v>0.16601472618499777</v>
      </c>
    </row>
    <row r="1034" spans="26:36" x14ac:dyDescent="0.3">
      <c r="Z1034" s="1">
        <v>43559</v>
      </c>
      <c r="AA1034">
        <v>72.319999999999993</v>
      </c>
      <c r="AB1034">
        <v>7031</v>
      </c>
      <c r="AC1034">
        <v>29571</v>
      </c>
      <c r="AF1034" s="1">
        <v>43559</v>
      </c>
      <c r="AG1034">
        <v>86.92</v>
      </c>
      <c r="AJ1034" s="156">
        <f t="shared" si="16"/>
        <v>0.16797054763000469</v>
      </c>
    </row>
    <row r="1035" spans="26:36" x14ac:dyDescent="0.3">
      <c r="Z1035" s="1">
        <v>43558</v>
      </c>
      <c r="AA1035">
        <v>72.66</v>
      </c>
      <c r="AB1035">
        <v>3033</v>
      </c>
      <c r="AC1035">
        <v>29223</v>
      </c>
      <c r="AF1035" s="1">
        <v>43558</v>
      </c>
      <c r="AG1035">
        <v>86.92</v>
      </c>
      <c r="AJ1035" s="156">
        <f t="shared" si="16"/>
        <v>0.16405890473999085</v>
      </c>
    </row>
    <row r="1036" spans="26:36" x14ac:dyDescent="0.3">
      <c r="Z1036" s="1">
        <v>43557</v>
      </c>
      <c r="AA1036">
        <v>72.06</v>
      </c>
      <c r="AB1036">
        <v>6</v>
      </c>
      <c r="AC1036">
        <v>29948</v>
      </c>
      <c r="AF1036" s="1">
        <v>43557</v>
      </c>
      <c r="AG1036">
        <v>86.57</v>
      </c>
      <c r="AJ1036" s="156">
        <f t="shared" si="16"/>
        <v>0.16761002656809509</v>
      </c>
    </row>
    <row r="1037" spans="26:36" x14ac:dyDescent="0.3">
      <c r="Z1037" s="1">
        <v>43556</v>
      </c>
      <c r="AA1037">
        <v>72.06</v>
      </c>
      <c r="AB1037">
        <v>4035</v>
      </c>
      <c r="AC1037">
        <v>30290</v>
      </c>
      <c r="AF1037" s="1">
        <v>43556</v>
      </c>
      <c r="AG1037">
        <v>86.75</v>
      </c>
      <c r="AJ1037" s="156">
        <f t="shared" si="16"/>
        <v>0.16933717579250718</v>
      </c>
    </row>
    <row r="1038" spans="26:36" x14ac:dyDescent="0.3">
      <c r="Z1038" s="1">
        <v>43553</v>
      </c>
      <c r="AA1038">
        <v>71.72</v>
      </c>
      <c r="AB1038">
        <v>6587</v>
      </c>
      <c r="AC1038">
        <v>30184</v>
      </c>
      <c r="AF1038" s="1">
        <v>43553</v>
      </c>
      <c r="AG1038">
        <v>85.79</v>
      </c>
      <c r="AJ1038" s="156">
        <f t="shared" si="16"/>
        <v>0.16400512880289086</v>
      </c>
    </row>
    <row r="1039" spans="26:36" x14ac:dyDescent="0.3">
      <c r="Z1039" s="1">
        <v>43552</v>
      </c>
      <c r="AA1039">
        <v>71.22</v>
      </c>
      <c r="AB1039">
        <v>3744</v>
      </c>
      <c r="AC1039">
        <v>29814</v>
      </c>
      <c r="AF1039" s="1">
        <v>43552</v>
      </c>
      <c r="AG1039">
        <v>84.26</v>
      </c>
      <c r="AJ1039" s="156">
        <f t="shared" si="16"/>
        <v>0.15475907904106345</v>
      </c>
    </row>
    <row r="1040" spans="26:36" x14ac:dyDescent="0.3">
      <c r="Z1040" s="1">
        <v>43551</v>
      </c>
      <c r="AA1040">
        <v>70.38</v>
      </c>
      <c r="AB1040">
        <v>109</v>
      </c>
      <c r="AC1040">
        <v>30007</v>
      </c>
      <c r="AF1040" s="1">
        <v>43551</v>
      </c>
      <c r="AG1040">
        <v>84.26</v>
      </c>
      <c r="AJ1040" s="156">
        <f t="shared" si="16"/>
        <v>0.16472822216947552</v>
      </c>
    </row>
    <row r="1041" spans="26:36" x14ac:dyDescent="0.3">
      <c r="Z1041" s="1">
        <v>43550</v>
      </c>
      <c r="AA1041">
        <v>70.38</v>
      </c>
      <c r="AB1041">
        <v>136599</v>
      </c>
      <c r="AC1041">
        <v>31311</v>
      </c>
      <c r="AF1041" s="1">
        <v>43550</v>
      </c>
      <c r="AG1041">
        <v>84.69</v>
      </c>
      <c r="AJ1041" s="156">
        <f t="shared" si="16"/>
        <v>0.16896918172157283</v>
      </c>
    </row>
    <row r="1042" spans="26:36" x14ac:dyDescent="0.3">
      <c r="Z1042" s="1">
        <v>43549</v>
      </c>
      <c r="AA1042">
        <v>71.22</v>
      </c>
      <c r="AB1042">
        <v>146962</v>
      </c>
      <c r="AC1042">
        <v>23114</v>
      </c>
      <c r="AF1042" s="1">
        <v>43549</v>
      </c>
      <c r="AG1042">
        <v>84.17</v>
      </c>
      <c r="AJ1042" s="156">
        <f t="shared" si="16"/>
        <v>0.15385529285968877</v>
      </c>
    </row>
    <row r="1043" spans="26:36" x14ac:dyDescent="0.3">
      <c r="Z1043" s="1">
        <v>43546</v>
      </c>
      <c r="AA1043">
        <v>71.22</v>
      </c>
      <c r="AB1043">
        <v>53590</v>
      </c>
      <c r="AC1043">
        <v>40253</v>
      </c>
      <c r="AF1043" s="1">
        <v>43546</v>
      </c>
      <c r="AG1043">
        <v>84.43</v>
      </c>
      <c r="AJ1043" s="156">
        <f t="shared" si="16"/>
        <v>0.15646097358758743</v>
      </c>
    </row>
    <row r="1044" spans="26:36" x14ac:dyDescent="0.3">
      <c r="Z1044" s="1">
        <v>43545</v>
      </c>
      <c r="AA1044">
        <v>71.64</v>
      </c>
      <c r="AB1044">
        <v>62829</v>
      </c>
      <c r="AC1044">
        <v>38299</v>
      </c>
      <c r="AF1044" s="1">
        <v>43545</v>
      </c>
      <c r="AG1044">
        <v>84.26</v>
      </c>
      <c r="AJ1044" s="156">
        <f t="shared" si="16"/>
        <v>0.14977450747685739</v>
      </c>
    </row>
    <row r="1045" spans="26:36" x14ac:dyDescent="0.3">
      <c r="Z1045" s="1">
        <v>43543</v>
      </c>
      <c r="AA1045">
        <v>72.14</v>
      </c>
      <c r="AB1045">
        <v>4646</v>
      </c>
      <c r="AC1045">
        <v>36705</v>
      </c>
      <c r="AF1045" s="1">
        <v>43543</v>
      </c>
      <c r="AG1045">
        <v>84.69</v>
      </c>
      <c r="AJ1045" s="156">
        <f t="shared" si="16"/>
        <v>0.14818750737985592</v>
      </c>
    </row>
    <row r="1046" spans="26:36" x14ac:dyDescent="0.3">
      <c r="Z1046" s="1">
        <v>43542</v>
      </c>
      <c r="AA1046">
        <v>72.47</v>
      </c>
      <c r="AB1046">
        <v>9881</v>
      </c>
      <c r="AC1046">
        <v>37364</v>
      </c>
      <c r="AF1046" s="1">
        <v>43542</v>
      </c>
      <c r="AG1046">
        <v>85.54</v>
      </c>
      <c r="AJ1046" s="156">
        <f t="shared" si="16"/>
        <v>0.15279401449614224</v>
      </c>
    </row>
    <row r="1047" spans="26:36" x14ac:dyDescent="0.3">
      <c r="Z1047" s="1">
        <v>43539</v>
      </c>
      <c r="AA1047">
        <v>72.89</v>
      </c>
      <c r="AB1047">
        <v>1374</v>
      </c>
      <c r="AC1047">
        <v>37121</v>
      </c>
      <c r="AF1047" s="1">
        <v>43539</v>
      </c>
      <c r="AG1047">
        <v>84.69</v>
      </c>
      <c r="AJ1047" s="156">
        <f t="shared" si="16"/>
        <v>0.13933168024560158</v>
      </c>
    </row>
    <row r="1048" spans="26:36" x14ac:dyDescent="0.3">
      <c r="Z1048" s="1">
        <v>43538</v>
      </c>
      <c r="AA1048">
        <v>73.23</v>
      </c>
      <c r="AB1048">
        <v>3137</v>
      </c>
      <c r="AC1048">
        <v>49391</v>
      </c>
      <c r="AF1048" s="1">
        <v>43538</v>
      </c>
      <c r="AG1048">
        <v>84.69</v>
      </c>
      <c r="AJ1048" s="156">
        <f t="shared" si="16"/>
        <v>0.13531703861140623</v>
      </c>
    </row>
    <row r="1049" spans="26:36" x14ac:dyDescent="0.3">
      <c r="Z1049" s="1">
        <v>43537</v>
      </c>
      <c r="AA1049">
        <v>73.48</v>
      </c>
      <c r="AB1049">
        <v>1809</v>
      </c>
      <c r="AC1049">
        <v>49241</v>
      </c>
      <c r="AF1049" s="1">
        <v>43537</v>
      </c>
      <c r="AG1049">
        <v>82.98</v>
      </c>
      <c r="AJ1049" s="156">
        <f t="shared" si="16"/>
        <v>0.11448541817305374</v>
      </c>
    </row>
    <row r="1050" spans="26:36" x14ac:dyDescent="0.3">
      <c r="Z1050" s="1">
        <v>43536</v>
      </c>
      <c r="AA1050">
        <v>73.73</v>
      </c>
      <c r="AB1050">
        <v>13912</v>
      </c>
      <c r="AC1050">
        <v>49138</v>
      </c>
      <c r="AF1050" s="1">
        <v>43536</v>
      </c>
      <c r="AG1050">
        <v>85.54</v>
      </c>
      <c r="AJ1050" s="156">
        <f t="shared" si="16"/>
        <v>0.1380640635959785</v>
      </c>
    </row>
    <row r="1051" spans="26:36" x14ac:dyDescent="0.3">
      <c r="Z1051" s="1">
        <v>43535</v>
      </c>
      <c r="AA1051">
        <v>73.900000000000006</v>
      </c>
      <c r="AB1051">
        <v>5137</v>
      </c>
      <c r="AC1051">
        <v>48333</v>
      </c>
      <c r="AF1051" s="1">
        <v>43535</v>
      </c>
      <c r="AG1051">
        <v>86.06</v>
      </c>
      <c r="AJ1051" s="156">
        <f t="shared" si="16"/>
        <v>0.14129676969556118</v>
      </c>
    </row>
    <row r="1052" spans="26:36" x14ac:dyDescent="0.3">
      <c r="Z1052" s="1">
        <v>43532</v>
      </c>
      <c r="AA1052">
        <v>74.400000000000006</v>
      </c>
      <c r="AB1052">
        <v>2448</v>
      </c>
      <c r="AC1052">
        <v>48117</v>
      </c>
      <c r="AF1052" s="1">
        <v>43532</v>
      </c>
      <c r="AG1052">
        <v>87.25</v>
      </c>
      <c r="AJ1052" s="156">
        <f t="shared" si="16"/>
        <v>0.14727793696275066</v>
      </c>
    </row>
    <row r="1053" spans="26:36" x14ac:dyDescent="0.3">
      <c r="Z1053" s="1">
        <v>43531</v>
      </c>
      <c r="AA1053">
        <v>74.569999999999993</v>
      </c>
      <c r="AB1053">
        <v>1030</v>
      </c>
      <c r="AC1053">
        <v>48058</v>
      </c>
      <c r="AF1053" s="1">
        <v>43531</v>
      </c>
      <c r="AG1053">
        <v>88.79</v>
      </c>
      <c r="AJ1053" s="156">
        <f t="shared" si="16"/>
        <v>0.16015317040207244</v>
      </c>
    </row>
    <row r="1054" spans="26:36" x14ac:dyDescent="0.3">
      <c r="Z1054" s="1">
        <v>43530</v>
      </c>
      <c r="AA1054">
        <v>74.650000000000006</v>
      </c>
      <c r="AB1054">
        <v>6636</v>
      </c>
      <c r="AC1054">
        <v>47996</v>
      </c>
      <c r="AF1054" s="1">
        <v>43530</v>
      </c>
      <c r="AG1054">
        <v>88.11</v>
      </c>
      <c r="AJ1054" s="156">
        <f t="shared" si="16"/>
        <v>0.15276359096583808</v>
      </c>
    </row>
    <row r="1055" spans="26:36" x14ac:dyDescent="0.3">
      <c r="Z1055" s="1">
        <v>43529</v>
      </c>
      <c r="AA1055">
        <v>74.739999999999995</v>
      </c>
      <c r="AB1055">
        <v>19679</v>
      </c>
      <c r="AC1055">
        <v>49026</v>
      </c>
      <c r="AF1055" s="1">
        <v>43529</v>
      </c>
      <c r="AG1055">
        <v>88.11</v>
      </c>
      <c r="AJ1055" s="156">
        <f t="shared" si="16"/>
        <v>0.15174214050618551</v>
      </c>
    </row>
    <row r="1056" spans="26:36" x14ac:dyDescent="0.3">
      <c r="Z1056" s="1">
        <v>43525</v>
      </c>
      <c r="AA1056">
        <v>74.989999999999995</v>
      </c>
      <c r="AB1056">
        <v>13645</v>
      </c>
      <c r="AC1056">
        <v>47810</v>
      </c>
      <c r="AF1056" s="1">
        <v>43525</v>
      </c>
      <c r="AG1056">
        <v>88.11</v>
      </c>
      <c r="AJ1056" s="156">
        <f t="shared" si="16"/>
        <v>0.14890477811826131</v>
      </c>
    </row>
    <row r="1057" spans="26:36" x14ac:dyDescent="0.3">
      <c r="Z1057" s="1">
        <v>43524</v>
      </c>
      <c r="AA1057">
        <v>77.42</v>
      </c>
      <c r="AB1057">
        <v>404041</v>
      </c>
      <c r="AC1057">
        <v>48238</v>
      </c>
      <c r="AF1057" s="1">
        <v>43524</v>
      </c>
      <c r="AG1057">
        <v>90.16</v>
      </c>
      <c r="AJ1057" s="156">
        <f t="shared" si="16"/>
        <v>0.14130434782608692</v>
      </c>
    </row>
    <row r="1058" spans="26:36" x14ac:dyDescent="0.3">
      <c r="Z1058" s="1">
        <v>43523</v>
      </c>
      <c r="AA1058">
        <v>75.41</v>
      </c>
      <c r="AB1058">
        <v>24280</v>
      </c>
      <c r="AC1058">
        <v>51176</v>
      </c>
      <c r="AF1058" s="1">
        <v>43523</v>
      </c>
      <c r="AG1058">
        <v>91.44</v>
      </c>
      <c r="AJ1058" s="156">
        <f t="shared" si="16"/>
        <v>0.17530621172353458</v>
      </c>
    </row>
    <row r="1059" spans="26:36" x14ac:dyDescent="0.3">
      <c r="Z1059" s="1">
        <v>43522</v>
      </c>
      <c r="AA1059">
        <v>75.41</v>
      </c>
      <c r="AB1059">
        <v>38921</v>
      </c>
      <c r="AC1059">
        <v>51160</v>
      </c>
      <c r="AF1059" s="1">
        <v>43522</v>
      </c>
      <c r="AG1059">
        <v>92.3</v>
      </c>
      <c r="AJ1059" s="156">
        <f t="shared" si="16"/>
        <v>0.18299024918743229</v>
      </c>
    </row>
    <row r="1060" spans="26:36" x14ac:dyDescent="0.3">
      <c r="Z1060" s="1">
        <v>43521</v>
      </c>
      <c r="AA1060">
        <v>75.41</v>
      </c>
      <c r="AB1060">
        <v>14536</v>
      </c>
      <c r="AC1060">
        <v>48901</v>
      </c>
      <c r="AF1060" s="1">
        <v>43521</v>
      </c>
      <c r="AG1060">
        <v>90.67</v>
      </c>
      <c r="AJ1060" s="156">
        <f t="shared" si="16"/>
        <v>0.16830263593250253</v>
      </c>
    </row>
    <row r="1061" spans="26:36" x14ac:dyDescent="0.3">
      <c r="Z1061" s="1">
        <v>43518</v>
      </c>
      <c r="AA1061">
        <v>75.41</v>
      </c>
      <c r="AB1061">
        <v>6230</v>
      </c>
      <c r="AC1061">
        <v>49134</v>
      </c>
      <c r="AF1061" s="1">
        <v>43518</v>
      </c>
      <c r="AG1061">
        <v>91.62</v>
      </c>
      <c r="AJ1061" s="156">
        <f t="shared" si="16"/>
        <v>0.17692643527614066</v>
      </c>
    </row>
    <row r="1062" spans="26:36" x14ac:dyDescent="0.3">
      <c r="Z1062" s="1">
        <v>43517</v>
      </c>
      <c r="AA1062">
        <v>75.489999999999995</v>
      </c>
      <c r="AB1062">
        <v>185424</v>
      </c>
      <c r="AC1062">
        <v>50260</v>
      </c>
      <c r="AF1062" s="1">
        <v>43517</v>
      </c>
      <c r="AG1062">
        <v>91.27</v>
      </c>
      <c r="AJ1062" s="156">
        <f t="shared" si="16"/>
        <v>0.17289361235893505</v>
      </c>
    </row>
    <row r="1063" spans="26:36" x14ac:dyDescent="0.3">
      <c r="Z1063" s="1">
        <v>43516</v>
      </c>
      <c r="AA1063">
        <v>76.75</v>
      </c>
      <c r="AB1063">
        <v>887</v>
      </c>
      <c r="AC1063">
        <v>38234</v>
      </c>
      <c r="AF1063" s="1">
        <v>43516</v>
      </c>
      <c r="AG1063">
        <v>92.47</v>
      </c>
      <c r="AJ1063" s="156">
        <f t="shared" si="16"/>
        <v>0.17000108143181572</v>
      </c>
    </row>
    <row r="1064" spans="26:36" x14ac:dyDescent="0.3">
      <c r="Z1064" s="1">
        <v>43514</v>
      </c>
      <c r="AA1064">
        <v>77.92</v>
      </c>
      <c r="AB1064">
        <v>264</v>
      </c>
      <c r="AC1064">
        <v>38549</v>
      </c>
      <c r="AF1064" s="1">
        <v>43514</v>
      </c>
      <c r="AG1064">
        <v>93.67</v>
      </c>
      <c r="AJ1064" s="156">
        <f t="shared" si="16"/>
        <v>0.1681434824383474</v>
      </c>
    </row>
    <row r="1065" spans="26:36" x14ac:dyDescent="0.3">
      <c r="Z1065" s="1">
        <v>43511</v>
      </c>
      <c r="AA1065">
        <v>78.34</v>
      </c>
      <c r="AB1065">
        <v>1832</v>
      </c>
      <c r="AC1065">
        <v>40749</v>
      </c>
      <c r="AF1065" s="1">
        <v>43511</v>
      </c>
      <c r="AG1065">
        <v>93.93</v>
      </c>
      <c r="AJ1065" s="156">
        <f t="shared" si="16"/>
        <v>0.1659746619823273</v>
      </c>
    </row>
    <row r="1066" spans="26:36" x14ac:dyDescent="0.3">
      <c r="Z1066" s="1">
        <v>43510</v>
      </c>
      <c r="AA1066">
        <v>78.59</v>
      </c>
      <c r="AB1066">
        <v>1906</v>
      </c>
      <c r="AC1066">
        <v>42611</v>
      </c>
      <c r="AF1066" s="1">
        <v>43510</v>
      </c>
      <c r="AG1066">
        <v>94.95</v>
      </c>
      <c r="AJ1066" s="156">
        <f t="shared" si="16"/>
        <v>0.1723012111637704</v>
      </c>
    </row>
    <row r="1067" spans="26:36" x14ac:dyDescent="0.3">
      <c r="Z1067" s="1">
        <v>43509</v>
      </c>
      <c r="AA1067">
        <v>78.760000000000005</v>
      </c>
      <c r="AB1067">
        <v>1552</v>
      </c>
      <c r="AC1067">
        <v>42609</v>
      </c>
      <c r="AF1067" s="1">
        <v>43509</v>
      </c>
      <c r="AG1067">
        <v>94.95</v>
      </c>
      <c r="AJ1067" s="156">
        <f t="shared" si="16"/>
        <v>0.1705107951553449</v>
      </c>
    </row>
    <row r="1068" spans="26:36" x14ac:dyDescent="0.3">
      <c r="Z1068" s="1">
        <v>43508</v>
      </c>
      <c r="AA1068">
        <v>80.180000000000007</v>
      </c>
      <c r="AB1068">
        <v>109</v>
      </c>
      <c r="AC1068">
        <v>43262</v>
      </c>
      <c r="AF1068" s="1">
        <v>43508</v>
      </c>
      <c r="AG1068">
        <v>95.04</v>
      </c>
      <c r="AJ1068" s="156">
        <f t="shared" si="16"/>
        <v>0.15635521885521883</v>
      </c>
    </row>
    <row r="1069" spans="26:36" x14ac:dyDescent="0.3">
      <c r="Z1069" s="1">
        <v>43507</v>
      </c>
      <c r="AA1069">
        <v>80.180000000000007</v>
      </c>
      <c r="AF1069" s="1">
        <v>43507</v>
      </c>
      <c r="AG1069">
        <v>95.29</v>
      </c>
      <c r="AJ1069" s="156">
        <f t="shared" si="16"/>
        <v>0.15856858012383249</v>
      </c>
    </row>
    <row r="1070" spans="26:36" x14ac:dyDescent="0.3">
      <c r="Z1070" s="1">
        <v>43504</v>
      </c>
      <c r="AA1070">
        <v>80.180000000000007</v>
      </c>
      <c r="AB1070">
        <v>22088</v>
      </c>
      <c r="AC1070">
        <v>43339</v>
      </c>
      <c r="AF1070" s="1">
        <v>43504</v>
      </c>
      <c r="AG1070">
        <v>95.29</v>
      </c>
      <c r="AJ1070" s="156">
        <f t="shared" si="16"/>
        <v>0.15856858012383249</v>
      </c>
    </row>
    <row r="1071" spans="26:36" x14ac:dyDescent="0.3">
      <c r="Z1071" s="1">
        <v>43503</v>
      </c>
      <c r="AA1071">
        <v>80.430000000000007</v>
      </c>
      <c r="AB1071">
        <v>1432</v>
      </c>
      <c r="AC1071">
        <v>42381</v>
      </c>
      <c r="AF1071" s="1">
        <v>43503</v>
      </c>
      <c r="AG1071">
        <v>95.64</v>
      </c>
      <c r="AJ1071" s="156">
        <f t="shared" si="16"/>
        <v>0.15903387703889579</v>
      </c>
    </row>
    <row r="1072" spans="26:36" x14ac:dyDescent="0.3">
      <c r="Z1072" s="1">
        <v>43502</v>
      </c>
      <c r="AA1072">
        <v>79.599999999999994</v>
      </c>
      <c r="AB1072">
        <v>20068</v>
      </c>
      <c r="AC1072">
        <v>42293</v>
      </c>
      <c r="AF1072" s="1">
        <v>43502</v>
      </c>
      <c r="AG1072">
        <v>96.06</v>
      </c>
      <c r="AJ1072" s="156">
        <f t="shared" si="16"/>
        <v>0.17135123880907774</v>
      </c>
    </row>
    <row r="1073" spans="26:36" x14ac:dyDescent="0.3">
      <c r="Z1073" s="1">
        <v>43501</v>
      </c>
      <c r="AA1073">
        <v>81.94</v>
      </c>
      <c r="AB1073">
        <v>448110</v>
      </c>
      <c r="AC1073">
        <v>41283</v>
      </c>
      <c r="AF1073" s="1">
        <v>43501</v>
      </c>
      <c r="AG1073">
        <v>97.52</v>
      </c>
      <c r="AJ1073" s="156">
        <f t="shared" si="16"/>
        <v>0.15976210008203445</v>
      </c>
    </row>
    <row r="1074" spans="26:36" x14ac:dyDescent="0.3">
      <c r="Z1074" s="1">
        <v>43497</v>
      </c>
      <c r="AA1074">
        <v>81.19</v>
      </c>
      <c r="AB1074">
        <v>24039</v>
      </c>
      <c r="AC1074">
        <v>12181</v>
      </c>
      <c r="AF1074" s="1">
        <v>43497</v>
      </c>
      <c r="AG1074">
        <v>97.52</v>
      </c>
      <c r="AJ1074" s="156">
        <f t="shared" si="16"/>
        <v>0.16745283018867924</v>
      </c>
    </row>
    <row r="1075" spans="26:36" x14ac:dyDescent="0.3">
      <c r="Z1075" s="1">
        <v>43496</v>
      </c>
      <c r="AA1075">
        <v>81.099999999999994</v>
      </c>
      <c r="AB1075">
        <v>5034</v>
      </c>
      <c r="AC1075">
        <v>11095</v>
      </c>
      <c r="AF1075" s="1">
        <v>43496</v>
      </c>
      <c r="AG1075">
        <v>97.52</v>
      </c>
      <c r="AJ1075" s="156">
        <f t="shared" si="16"/>
        <v>0.16837571780147664</v>
      </c>
    </row>
    <row r="1076" spans="26:36" x14ac:dyDescent="0.3">
      <c r="Z1076" s="1">
        <v>43495</v>
      </c>
      <c r="AA1076">
        <v>81.27</v>
      </c>
      <c r="AB1076">
        <v>18032</v>
      </c>
      <c r="AC1076">
        <v>11962</v>
      </c>
      <c r="AF1076" s="1">
        <v>43495</v>
      </c>
      <c r="AG1076">
        <v>97.52</v>
      </c>
      <c r="AJ1076" s="156">
        <f t="shared" si="16"/>
        <v>0.16663248564397048</v>
      </c>
    </row>
    <row r="1077" spans="26:36" x14ac:dyDescent="0.3">
      <c r="Z1077" s="1">
        <v>43494</v>
      </c>
      <c r="AA1077">
        <v>82.11</v>
      </c>
      <c r="AB1077">
        <v>23120</v>
      </c>
      <c r="AC1077">
        <v>11444</v>
      </c>
      <c r="AF1077" s="1">
        <v>43494</v>
      </c>
      <c r="AG1077">
        <v>97.69</v>
      </c>
      <c r="AJ1077" s="156">
        <f t="shared" si="16"/>
        <v>0.15948408230115671</v>
      </c>
    </row>
    <row r="1078" spans="26:36" x14ac:dyDescent="0.3">
      <c r="Z1078" s="1">
        <v>43493</v>
      </c>
      <c r="AA1078">
        <v>81.27</v>
      </c>
      <c r="AB1078">
        <v>5042</v>
      </c>
      <c r="AC1078">
        <v>9986</v>
      </c>
      <c r="AF1078" s="1">
        <v>43493</v>
      </c>
      <c r="AG1078">
        <v>97.6</v>
      </c>
      <c r="AJ1078" s="156">
        <f t="shared" si="16"/>
        <v>0.1673155737704918</v>
      </c>
    </row>
    <row r="1079" spans="26:36" x14ac:dyDescent="0.3">
      <c r="Z1079" s="1">
        <v>43490</v>
      </c>
      <c r="AA1079">
        <v>81.61</v>
      </c>
      <c r="AB1079">
        <v>5610</v>
      </c>
      <c r="AC1079">
        <v>10339</v>
      </c>
      <c r="AF1079" s="1">
        <v>43490</v>
      </c>
      <c r="AG1079">
        <v>97.09</v>
      </c>
      <c r="AJ1079" s="156">
        <f t="shared" si="16"/>
        <v>0.15943969512823158</v>
      </c>
    </row>
    <row r="1080" spans="26:36" x14ac:dyDescent="0.3">
      <c r="Z1080" s="1">
        <v>43489</v>
      </c>
      <c r="AA1080">
        <v>82.02</v>
      </c>
      <c r="AB1080">
        <v>33260</v>
      </c>
      <c r="AC1080">
        <v>10124</v>
      </c>
      <c r="AF1080" s="1">
        <v>43489</v>
      </c>
      <c r="AG1080">
        <v>96.66</v>
      </c>
      <c r="AJ1080" s="156">
        <f t="shared" si="16"/>
        <v>0.15145872129112353</v>
      </c>
    </row>
    <row r="1081" spans="26:36" x14ac:dyDescent="0.3">
      <c r="Z1081" s="1">
        <v>43488</v>
      </c>
      <c r="AA1081">
        <v>80.94</v>
      </c>
      <c r="AB1081">
        <v>29757</v>
      </c>
      <c r="AC1081">
        <v>7995</v>
      </c>
      <c r="AF1081" s="1">
        <v>43488</v>
      </c>
      <c r="AG1081">
        <v>96.75</v>
      </c>
      <c r="AJ1081" s="156">
        <f t="shared" si="16"/>
        <v>0.16341085271317832</v>
      </c>
    </row>
    <row r="1082" spans="26:36" x14ac:dyDescent="0.3">
      <c r="Z1082" s="1">
        <v>43487</v>
      </c>
      <c r="AA1082">
        <v>79.180000000000007</v>
      </c>
      <c r="AB1082">
        <v>1889</v>
      </c>
      <c r="AC1082">
        <v>6040</v>
      </c>
      <c r="AF1082" s="1">
        <v>43487</v>
      </c>
      <c r="AG1082">
        <v>97.35</v>
      </c>
      <c r="AJ1082" s="156">
        <f t="shared" si="16"/>
        <v>0.18664612223934246</v>
      </c>
    </row>
    <row r="1083" spans="26:36" x14ac:dyDescent="0.3">
      <c r="Z1083" s="1">
        <v>43486</v>
      </c>
      <c r="AA1083">
        <v>79.260000000000005</v>
      </c>
      <c r="AB1083">
        <v>11343</v>
      </c>
      <c r="AC1083">
        <v>5914</v>
      </c>
      <c r="AF1083" s="1">
        <v>43486</v>
      </c>
      <c r="AG1083">
        <v>97.52</v>
      </c>
      <c r="AJ1083" s="156">
        <f t="shared" si="16"/>
        <v>0.18724364232977841</v>
      </c>
    </row>
    <row r="1084" spans="26:36" x14ac:dyDescent="0.3">
      <c r="Z1084" s="1">
        <v>43483</v>
      </c>
      <c r="AA1084">
        <v>79.510000000000005</v>
      </c>
      <c r="AB1084">
        <v>1254</v>
      </c>
      <c r="AC1084">
        <v>5180</v>
      </c>
      <c r="AF1084" s="1">
        <v>43483</v>
      </c>
      <c r="AG1084">
        <v>97.95</v>
      </c>
      <c r="AJ1084" s="156">
        <f t="shared" si="16"/>
        <v>0.18825931597753953</v>
      </c>
    </row>
    <row r="1085" spans="26:36" x14ac:dyDescent="0.3">
      <c r="Z1085" s="1">
        <v>43482</v>
      </c>
      <c r="AA1085">
        <v>79.34</v>
      </c>
      <c r="AB1085">
        <v>7719</v>
      </c>
      <c r="AC1085">
        <v>5109</v>
      </c>
      <c r="AF1085" s="1">
        <v>43482</v>
      </c>
      <c r="AG1085">
        <v>98.2</v>
      </c>
      <c r="AJ1085" s="156">
        <f t="shared" si="16"/>
        <v>0.19205702647657841</v>
      </c>
    </row>
    <row r="1086" spans="26:36" x14ac:dyDescent="0.3">
      <c r="Z1086" s="1">
        <v>43481</v>
      </c>
      <c r="AA1086">
        <v>79.599999999999994</v>
      </c>
      <c r="AB1086">
        <v>119</v>
      </c>
      <c r="AC1086">
        <v>4625</v>
      </c>
      <c r="AF1086" s="1">
        <v>43481</v>
      </c>
      <c r="AG1086">
        <v>98.37</v>
      </c>
      <c r="AJ1086" s="156">
        <f t="shared" si="16"/>
        <v>0.19081020636372886</v>
      </c>
    </row>
    <row r="1087" spans="26:36" x14ac:dyDescent="0.3">
      <c r="Z1087" s="1">
        <v>43479</v>
      </c>
      <c r="AA1087">
        <v>79.599999999999994</v>
      </c>
      <c r="AB1087">
        <v>4922</v>
      </c>
      <c r="AC1087">
        <v>13209</v>
      </c>
      <c r="AF1087" s="1">
        <v>43479</v>
      </c>
      <c r="AG1087">
        <v>97.69</v>
      </c>
      <c r="AJ1087" s="156">
        <f t="shared" si="16"/>
        <v>0.18517760262053437</v>
      </c>
    </row>
    <row r="1088" spans="26:36" x14ac:dyDescent="0.3">
      <c r="Z1088" s="1">
        <v>43476</v>
      </c>
      <c r="AA1088">
        <v>79.010000000000005</v>
      </c>
      <c r="AB1088">
        <v>11571</v>
      </c>
      <c r="AC1088">
        <v>12991</v>
      </c>
      <c r="AF1088" s="1">
        <v>43476</v>
      </c>
      <c r="AG1088">
        <v>97.52</v>
      </c>
      <c r="AJ1088" s="156">
        <f t="shared" si="16"/>
        <v>0.18980721903199335</v>
      </c>
    </row>
    <row r="1089" spans="26:36" x14ac:dyDescent="0.3">
      <c r="Z1089" s="1">
        <v>43475</v>
      </c>
      <c r="AA1089">
        <v>79.180000000000007</v>
      </c>
      <c r="AB1089">
        <v>7759</v>
      </c>
      <c r="AC1089">
        <v>12480</v>
      </c>
      <c r="AF1089" s="1">
        <v>43475</v>
      </c>
      <c r="AG1089">
        <v>97.52</v>
      </c>
      <c r="AJ1089" s="156">
        <f t="shared" si="16"/>
        <v>0.18806398687448719</v>
      </c>
    </row>
    <row r="1090" spans="26:36" x14ac:dyDescent="0.3">
      <c r="Z1090" s="1">
        <v>43474</v>
      </c>
      <c r="AA1090">
        <v>78.760000000000005</v>
      </c>
      <c r="AB1090">
        <v>18026</v>
      </c>
      <c r="AC1090">
        <v>12647</v>
      </c>
      <c r="AF1090" s="1">
        <v>43474</v>
      </c>
      <c r="AG1090">
        <v>96.83</v>
      </c>
      <c r="AJ1090" s="156">
        <f t="shared" si="16"/>
        <v>0.1866157182691314</v>
      </c>
    </row>
    <row r="1091" spans="26:36" x14ac:dyDescent="0.3">
      <c r="Z1091" s="1">
        <v>43473</v>
      </c>
      <c r="AA1091">
        <v>79.180000000000007</v>
      </c>
      <c r="AB1091">
        <v>10262</v>
      </c>
      <c r="AC1091">
        <v>11845</v>
      </c>
      <c r="AF1091" s="1">
        <v>43473</v>
      </c>
      <c r="AG1091">
        <v>97.52</v>
      </c>
      <c r="AJ1091" s="156">
        <f t="shared" si="16"/>
        <v>0.18806398687448719</v>
      </c>
    </row>
    <row r="1092" spans="26:36" x14ac:dyDescent="0.3">
      <c r="Z1092" s="1">
        <v>43472</v>
      </c>
      <c r="AA1092">
        <v>79.599999999999994</v>
      </c>
      <c r="AB1092">
        <v>1253</v>
      </c>
      <c r="AC1092">
        <v>11224</v>
      </c>
      <c r="AF1092" s="1">
        <v>43472</v>
      </c>
      <c r="AG1092">
        <v>98.37</v>
      </c>
      <c r="AJ1092" s="156">
        <f t="shared" si="16"/>
        <v>0.19081020636372886</v>
      </c>
    </row>
    <row r="1093" spans="26:36" x14ac:dyDescent="0.3">
      <c r="Z1093" s="1">
        <v>43469</v>
      </c>
      <c r="AA1093">
        <v>79.599999999999994</v>
      </c>
      <c r="AB1093">
        <v>10342</v>
      </c>
      <c r="AC1093">
        <v>11198</v>
      </c>
      <c r="AF1093" s="1">
        <v>43469</v>
      </c>
      <c r="AG1093">
        <v>98.37</v>
      </c>
      <c r="AJ1093" s="156">
        <f t="shared" si="16"/>
        <v>0.19081020636372886</v>
      </c>
    </row>
    <row r="1094" spans="26:36" x14ac:dyDescent="0.3">
      <c r="Z1094" s="1">
        <v>43468</v>
      </c>
      <c r="AA1094">
        <v>79.680000000000007</v>
      </c>
      <c r="AF1094" s="1">
        <v>43468</v>
      </c>
      <c r="AG1094">
        <v>98.37</v>
      </c>
      <c r="AJ1094" s="156">
        <f t="shared" ref="AJ1094:AJ1101" si="17">(AG1094-AA1094)/AG1094</f>
        <v>0.18999695028972244</v>
      </c>
    </row>
    <row r="1095" spans="26:36" x14ac:dyDescent="0.3">
      <c r="Z1095" s="1">
        <v>43467</v>
      </c>
      <c r="AA1095">
        <v>79.680000000000007</v>
      </c>
      <c r="AB1095">
        <v>2387</v>
      </c>
      <c r="AC1095">
        <v>10637</v>
      </c>
      <c r="AF1095" s="1">
        <v>43467</v>
      </c>
      <c r="AG1095">
        <v>98.8</v>
      </c>
      <c r="AJ1095" s="156">
        <f t="shared" si="17"/>
        <v>0.19352226720647764</v>
      </c>
    </row>
    <row r="1096" spans="26:36" x14ac:dyDescent="0.3">
      <c r="Z1096" s="1">
        <v>43465</v>
      </c>
      <c r="AA1096">
        <v>79.599999999999994</v>
      </c>
      <c r="AB1096">
        <v>1327</v>
      </c>
      <c r="AC1096">
        <v>10492</v>
      </c>
      <c r="AF1096" s="1">
        <v>43465</v>
      </c>
      <c r="AG1096">
        <v>98.37</v>
      </c>
      <c r="AJ1096" s="156">
        <f t="shared" si="17"/>
        <v>0.19081020636372886</v>
      </c>
    </row>
    <row r="1097" spans="26:36" x14ac:dyDescent="0.3">
      <c r="Z1097" s="1">
        <v>43462</v>
      </c>
      <c r="AA1097">
        <v>80.94</v>
      </c>
      <c r="AB1097">
        <v>425</v>
      </c>
      <c r="AC1097">
        <v>10413</v>
      </c>
      <c r="AF1097" s="1">
        <v>43462</v>
      </c>
      <c r="AG1097">
        <v>98.37</v>
      </c>
      <c r="AJ1097" s="156">
        <f t="shared" si="17"/>
        <v>0.17718816712412327</v>
      </c>
    </row>
    <row r="1098" spans="26:36" x14ac:dyDescent="0.3">
      <c r="Z1098" s="1">
        <v>43461</v>
      </c>
      <c r="AA1098">
        <v>80.430000000000007</v>
      </c>
      <c r="AB1098">
        <v>6</v>
      </c>
      <c r="AC1098">
        <v>10406</v>
      </c>
      <c r="AF1098" s="1">
        <v>43461</v>
      </c>
      <c r="AG1098">
        <v>98.46</v>
      </c>
      <c r="AJ1098" s="156">
        <f t="shared" si="17"/>
        <v>0.1831200487507616</v>
      </c>
    </row>
    <row r="1099" spans="26:36" x14ac:dyDescent="0.3">
      <c r="Z1099" s="1">
        <v>43460</v>
      </c>
      <c r="AA1099">
        <v>80.430000000000007</v>
      </c>
      <c r="AB1099">
        <v>328</v>
      </c>
      <c r="AC1099">
        <v>10485</v>
      </c>
      <c r="AF1099" s="1">
        <v>43460</v>
      </c>
      <c r="AG1099">
        <v>98.37</v>
      </c>
      <c r="AJ1099" s="156">
        <f t="shared" si="17"/>
        <v>0.18237267459591336</v>
      </c>
    </row>
    <row r="1100" spans="26:36" x14ac:dyDescent="0.3">
      <c r="Z1100" s="1">
        <v>43458</v>
      </c>
      <c r="AA1100">
        <v>81.27</v>
      </c>
      <c r="AB1100">
        <v>186</v>
      </c>
      <c r="AC1100">
        <v>12627</v>
      </c>
      <c r="AF1100" s="1">
        <v>43458</v>
      </c>
      <c r="AG1100">
        <v>98.29</v>
      </c>
      <c r="AJ1100" s="156">
        <f t="shared" si="17"/>
        <v>0.17316105402380719</v>
      </c>
    </row>
    <row r="1101" spans="26:36" x14ac:dyDescent="0.3">
      <c r="Z1101" s="1">
        <v>43455</v>
      </c>
      <c r="AA1101">
        <v>79.680000000000007</v>
      </c>
      <c r="AB1101">
        <v>461</v>
      </c>
      <c r="AC1101">
        <v>12978</v>
      </c>
      <c r="AF1101" s="1">
        <v>43455</v>
      </c>
      <c r="AG1101">
        <v>98.8</v>
      </c>
      <c r="AJ1101" s="156">
        <f t="shared" si="17"/>
        <v>0.19352226720647764</v>
      </c>
    </row>
    <row r="1102" spans="26:36" x14ac:dyDescent="0.3">
      <c r="Z1102" s="1">
        <v>43454</v>
      </c>
      <c r="AA1102">
        <v>79.260000000000005</v>
      </c>
      <c r="AB1102">
        <v>128877</v>
      </c>
      <c r="AC1102">
        <v>13863</v>
      </c>
      <c r="AF1102" s="1">
        <v>43454</v>
      </c>
      <c r="AG1102">
        <v>99.23</v>
      </c>
      <c r="AJ1102" s="156">
        <f>(AG1102-AA1102)/AG1102</f>
        <v>0.2012496220900937</v>
      </c>
    </row>
    <row r="1103" spans="26:36" x14ac:dyDescent="0.3">
      <c r="Z1103" s="1">
        <v>43453</v>
      </c>
      <c r="AA1103">
        <v>80.180000000000007</v>
      </c>
      <c r="AB1103">
        <v>1653</v>
      </c>
      <c r="AC1103">
        <v>5360</v>
      </c>
      <c r="AF1103" s="1">
        <v>43453</v>
      </c>
      <c r="AG1103">
        <v>98.37</v>
      </c>
      <c r="AJ1103" s="156">
        <f t="shared" ref="AJ1103:AJ1122" si="18">(AG1103-AA1103)/AG1103</f>
        <v>0.18491409982718304</v>
      </c>
    </row>
    <row r="1104" spans="26:36" x14ac:dyDescent="0.3">
      <c r="Z1104" s="1">
        <v>43452</v>
      </c>
      <c r="AA1104">
        <v>81.27</v>
      </c>
      <c r="AB1104">
        <v>3902</v>
      </c>
      <c r="AC1104">
        <v>5290</v>
      </c>
      <c r="AF1104" s="1">
        <v>43452</v>
      </c>
      <c r="AG1104">
        <v>99.14</v>
      </c>
      <c r="AJ1104" s="156">
        <f t="shared" si="18"/>
        <v>0.18025015130119029</v>
      </c>
    </row>
    <row r="1105" spans="26:36" x14ac:dyDescent="0.3">
      <c r="Z1105" s="1">
        <v>43451</v>
      </c>
      <c r="AA1105">
        <v>81.27</v>
      </c>
      <c r="AB1105">
        <v>10266</v>
      </c>
      <c r="AC1105">
        <v>5200</v>
      </c>
      <c r="AF1105" s="1">
        <v>43451</v>
      </c>
      <c r="AG1105">
        <v>99.23</v>
      </c>
      <c r="AJ1105" s="156">
        <f t="shared" si="18"/>
        <v>0.1809936511135746</v>
      </c>
    </row>
    <row r="1106" spans="26:36" x14ac:dyDescent="0.3">
      <c r="Z1106" s="1">
        <v>43448</v>
      </c>
      <c r="AA1106">
        <v>80.430000000000007</v>
      </c>
      <c r="AB1106">
        <v>5994</v>
      </c>
      <c r="AC1106">
        <v>4602</v>
      </c>
      <c r="AF1106" s="1">
        <v>43448</v>
      </c>
      <c r="AG1106">
        <v>99.23</v>
      </c>
      <c r="AJ1106" s="156">
        <f t="shared" si="18"/>
        <v>0.18945883301420938</v>
      </c>
    </row>
    <row r="1107" spans="26:36" x14ac:dyDescent="0.3">
      <c r="Z1107" s="1">
        <v>43447</v>
      </c>
      <c r="AA1107">
        <v>80.430000000000007</v>
      </c>
      <c r="AB1107">
        <v>954</v>
      </c>
      <c r="AC1107">
        <v>4220</v>
      </c>
      <c r="AF1107" s="1">
        <v>43447</v>
      </c>
      <c r="AG1107">
        <v>99.23</v>
      </c>
      <c r="AJ1107" s="156">
        <f t="shared" si="18"/>
        <v>0.18945883301420938</v>
      </c>
    </row>
    <row r="1108" spans="26:36" x14ac:dyDescent="0.3">
      <c r="Z1108" s="1">
        <v>43446</v>
      </c>
      <c r="AA1108">
        <v>80.010000000000005</v>
      </c>
      <c r="AB1108">
        <v>861</v>
      </c>
      <c r="AC1108">
        <v>4236</v>
      </c>
      <c r="AF1108" s="1">
        <v>43446</v>
      </c>
      <c r="AG1108">
        <v>99.31</v>
      </c>
      <c r="AJ1108" s="156">
        <f t="shared" si="18"/>
        <v>0.19434095257275197</v>
      </c>
    </row>
    <row r="1109" spans="26:36" x14ac:dyDescent="0.3">
      <c r="Z1109" s="1">
        <v>43445</v>
      </c>
      <c r="AA1109">
        <v>80.430000000000007</v>
      </c>
      <c r="AB1109">
        <v>1935</v>
      </c>
      <c r="AC1109">
        <v>5593</v>
      </c>
      <c r="AF1109" s="1">
        <v>43445</v>
      </c>
      <c r="AG1109">
        <v>99.23</v>
      </c>
      <c r="AJ1109" s="156">
        <f t="shared" si="18"/>
        <v>0.18945883301420938</v>
      </c>
    </row>
    <row r="1110" spans="26:36" x14ac:dyDescent="0.3">
      <c r="Z1110" s="1">
        <v>43444</v>
      </c>
      <c r="AA1110">
        <v>82.7</v>
      </c>
      <c r="AB1110">
        <v>212</v>
      </c>
      <c r="AC1110">
        <v>5480</v>
      </c>
      <c r="AF1110" s="1">
        <v>43444</v>
      </c>
      <c r="AG1110">
        <v>100.77</v>
      </c>
      <c r="AJ1110" s="156">
        <f t="shared" si="18"/>
        <v>0.1793192418378485</v>
      </c>
    </row>
    <row r="1111" spans="26:36" x14ac:dyDescent="0.3">
      <c r="Z1111" s="1">
        <v>43441</v>
      </c>
      <c r="AA1111">
        <v>82.78</v>
      </c>
      <c r="AB1111">
        <v>129</v>
      </c>
      <c r="AC1111">
        <v>5627</v>
      </c>
      <c r="AF1111" s="1">
        <v>43441</v>
      </c>
      <c r="AG1111">
        <v>101.62</v>
      </c>
      <c r="AJ1111" s="156">
        <f t="shared" si="18"/>
        <v>0.18539657547726829</v>
      </c>
    </row>
    <row r="1112" spans="26:36" x14ac:dyDescent="0.3">
      <c r="Z1112" s="1">
        <v>43440</v>
      </c>
      <c r="AA1112">
        <v>79.680000000000007</v>
      </c>
      <c r="AB1112">
        <v>326</v>
      </c>
      <c r="AC1112">
        <v>5655</v>
      </c>
      <c r="AF1112" s="1">
        <v>43440</v>
      </c>
      <c r="AG1112">
        <v>101.62</v>
      </c>
      <c r="AJ1112" s="156">
        <f t="shared" si="18"/>
        <v>0.21590238142098009</v>
      </c>
    </row>
    <row r="1113" spans="26:36" x14ac:dyDescent="0.3">
      <c r="Z1113" s="1">
        <v>43439</v>
      </c>
      <c r="AA1113">
        <v>79.680000000000007</v>
      </c>
      <c r="AB1113">
        <v>1194</v>
      </c>
      <c r="AC1113">
        <v>5681</v>
      </c>
      <c r="AF1113" s="1">
        <v>43439</v>
      </c>
      <c r="AG1113">
        <v>102.22</v>
      </c>
      <c r="AJ1113" s="156">
        <f t="shared" si="18"/>
        <v>0.22050479358246911</v>
      </c>
    </row>
    <row r="1114" spans="26:36" x14ac:dyDescent="0.3">
      <c r="Z1114" s="1">
        <v>43438</v>
      </c>
      <c r="AA1114">
        <v>79.599999999999994</v>
      </c>
      <c r="AB1114">
        <v>32451</v>
      </c>
      <c r="AC1114">
        <v>5868</v>
      </c>
      <c r="AF1114" s="1">
        <v>43438</v>
      </c>
      <c r="AG1114">
        <v>100.51</v>
      </c>
      <c r="AJ1114" s="156">
        <f t="shared" si="18"/>
        <v>0.20803900109441856</v>
      </c>
    </row>
    <row r="1115" spans="26:36" x14ac:dyDescent="0.3">
      <c r="Z1115" s="1">
        <v>43437</v>
      </c>
      <c r="AA1115">
        <v>81.52</v>
      </c>
      <c r="AB1115">
        <v>5452</v>
      </c>
      <c r="AC1115">
        <v>3872</v>
      </c>
      <c r="AF1115" s="1">
        <v>43437</v>
      </c>
      <c r="AG1115">
        <v>102.05</v>
      </c>
      <c r="AJ1115" s="156">
        <f t="shared" si="18"/>
        <v>0.20117589416952475</v>
      </c>
    </row>
    <row r="1116" spans="26:36" x14ac:dyDescent="0.3">
      <c r="Z1116" s="1">
        <v>43434</v>
      </c>
      <c r="AA1116">
        <v>80.430000000000007</v>
      </c>
      <c r="AB1116">
        <v>13745</v>
      </c>
      <c r="AC1116">
        <v>3876</v>
      </c>
      <c r="AF1116" s="1">
        <v>43434</v>
      </c>
      <c r="AG1116">
        <v>100.6</v>
      </c>
      <c r="AJ1116" s="156">
        <f t="shared" si="18"/>
        <v>0.20049701789264401</v>
      </c>
    </row>
    <row r="1117" spans="26:36" x14ac:dyDescent="0.3">
      <c r="Z1117" s="1">
        <v>43433</v>
      </c>
      <c r="AA1117">
        <v>79.599999999999994</v>
      </c>
      <c r="AB1117">
        <v>1325</v>
      </c>
      <c r="AC1117">
        <v>3151</v>
      </c>
      <c r="AF1117" s="1">
        <v>43433</v>
      </c>
      <c r="AG1117">
        <v>99.74</v>
      </c>
      <c r="AJ1117" s="156">
        <f t="shared" si="18"/>
        <v>0.2019250050130339</v>
      </c>
    </row>
    <row r="1118" spans="26:36" x14ac:dyDescent="0.3">
      <c r="Z1118" s="1">
        <v>43432</v>
      </c>
      <c r="AA1118">
        <v>77.92</v>
      </c>
      <c r="AB1118">
        <v>602</v>
      </c>
      <c r="AC1118">
        <v>20739</v>
      </c>
      <c r="AF1118" s="1">
        <v>43432</v>
      </c>
      <c r="AG1118">
        <v>99.14</v>
      </c>
      <c r="AJ1118" s="156">
        <f t="shared" si="18"/>
        <v>0.21404075045390356</v>
      </c>
    </row>
    <row r="1119" spans="26:36" x14ac:dyDescent="0.3">
      <c r="Z1119" s="1">
        <v>43431</v>
      </c>
      <c r="AA1119">
        <v>77.08</v>
      </c>
      <c r="AB1119">
        <v>2554</v>
      </c>
      <c r="AC1119">
        <v>35810</v>
      </c>
      <c r="AF1119" s="1">
        <v>43431</v>
      </c>
      <c r="AG1119">
        <v>98.54</v>
      </c>
      <c r="AJ1119" s="156">
        <f t="shared" si="18"/>
        <v>0.21777958189567695</v>
      </c>
    </row>
    <row r="1120" spans="26:36" x14ac:dyDescent="0.3">
      <c r="Z1120" s="1">
        <v>43430</v>
      </c>
      <c r="AA1120">
        <v>76.83</v>
      </c>
      <c r="AB1120">
        <v>1293</v>
      </c>
      <c r="AC1120">
        <v>36164</v>
      </c>
      <c r="AF1120" s="1">
        <v>43430</v>
      </c>
      <c r="AG1120">
        <v>96.66</v>
      </c>
      <c r="AJ1120" s="156">
        <f t="shared" si="18"/>
        <v>0.20515207945375541</v>
      </c>
    </row>
    <row r="1121" spans="26:36" x14ac:dyDescent="0.3">
      <c r="Z1121" s="1">
        <v>43427</v>
      </c>
      <c r="AA1121">
        <v>78.92</v>
      </c>
      <c r="AB1121">
        <v>263</v>
      </c>
      <c r="AC1121">
        <v>49052</v>
      </c>
      <c r="AF1121" s="1">
        <v>43427</v>
      </c>
      <c r="AG1121">
        <v>96.23</v>
      </c>
      <c r="AJ1121" s="156">
        <f t="shared" si="18"/>
        <v>0.17988153382521044</v>
      </c>
    </row>
    <row r="1122" spans="26:36" x14ac:dyDescent="0.3">
      <c r="Z1122" s="1">
        <v>43425</v>
      </c>
      <c r="AA1122">
        <v>78.760000000000005</v>
      </c>
      <c r="AB1122">
        <v>1194</v>
      </c>
      <c r="AC1122">
        <v>50402</v>
      </c>
      <c r="AF1122" s="1">
        <v>43425</v>
      </c>
      <c r="AG1122">
        <v>96.49</v>
      </c>
      <c r="AJ1122" s="156">
        <f t="shared" si="18"/>
        <v>0.18374961135868992</v>
      </c>
    </row>
    <row r="1123" spans="26:36" x14ac:dyDescent="0.3">
      <c r="Z1123" s="1">
        <v>43423</v>
      </c>
      <c r="AA1123">
        <v>78.760000000000005</v>
      </c>
      <c r="AB1123">
        <v>21214</v>
      </c>
      <c r="AC1123">
        <v>57511</v>
      </c>
      <c r="AF1123" s="1">
        <v>43423</v>
      </c>
      <c r="AG1123">
        <v>96.66</v>
      </c>
      <c r="AJ1123" s="156">
        <f>(AG1123-AA1123)/AG1123</f>
        <v>0.18518518518518509</v>
      </c>
    </row>
    <row r="1124" spans="26:36" x14ac:dyDescent="0.3">
      <c r="Z1124" s="1">
        <v>43420</v>
      </c>
      <c r="AA1124">
        <v>78.84</v>
      </c>
      <c r="AB1124">
        <v>239</v>
      </c>
      <c r="AC1124">
        <v>56222</v>
      </c>
      <c r="AF1124" s="1">
        <v>43420</v>
      </c>
      <c r="AG1124">
        <v>97.6</v>
      </c>
      <c r="AJ1124" s="156">
        <f t="shared" ref="AJ1124:AJ1175" si="19">(AG1124-AA1124)/AG1124</f>
        <v>0.19221311475409827</v>
      </c>
    </row>
    <row r="1125" spans="26:36" x14ac:dyDescent="0.3">
      <c r="Z1125" s="1">
        <v>43419</v>
      </c>
      <c r="AA1125">
        <v>78.760000000000005</v>
      </c>
      <c r="AF1125" s="1">
        <v>43419</v>
      </c>
      <c r="AG1125">
        <v>97.52</v>
      </c>
      <c r="AJ1125" s="156">
        <f t="shared" si="19"/>
        <v>0.19237079573420829</v>
      </c>
    </row>
    <row r="1126" spans="26:36" x14ac:dyDescent="0.3">
      <c r="Z1126" s="1">
        <v>43418</v>
      </c>
      <c r="AA1126">
        <v>78.760000000000005</v>
      </c>
      <c r="AB1126">
        <v>2430</v>
      </c>
      <c r="AC1126">
        <v>56241</v>
      </c>
      <c r="AF1126" s="1">
        <v>43418</v>
      </c>
      <c r="AG1126">
        <v>97.26</v>
      </c>
      <c r="AJ1126" s="156">
        <f t="shared" si="19"/>
        <v>0.19021180341353072</v>
      </c>
    </row>
    <row r="1127" spans="26:36" x14ac:dyDescent="0.3">
      <c r="Z1127" s="1">
        <v>43417</v>
      </c>
      <c r="AA1127">
        <v>78.84</v>
      </c>
      <c r="AB1127">
        <v>537</v>
      </c>
      <c r="AC1127">
        <v>56091</v>
      </c>
      <c r="AF1127" s="1">
        <v>43417</v>
      </c>
      <c r="AG1127">
        <v>98.37</v>
      </c>
      <c r="AJ1127" s="156">
        <f t="shared" si="19"/>
        <v>0.19853613906678866</v>
      </c>
    </row>
    <row r="1128" spans="26:36" x14ac:dyDescent="0.3">
      <c r="Z1128" s="1">
        <v>43416</v>
      </c>
      <c r="AA1128">
        <v>77.75</v>
      </c>
      <c r="AB1128">
        <v>724</v>
      </c>
      <c r="AC1128">
        <v>56071</v>
      </c>
      <c r="AF1128" s="1">
        <v>43416</v>
      </c>
      <c r="AG1128">
        <v>98.37</v>
      </c>
      <c r="AJ1128" s="156">
        <f t="shared" si="19"/>
        <v>0.20961675307512456</v>
      </c>
    </row>
    <row r="1129" spans="26:36" x14ac:dyDescent="0.3">
      <c r="Z1129" s="1">
        <v>43413</v>
      </c>
      <c r="AA1129">
        <v>79.680000000000007</v>
      </c>
      <c r="AB1129">
        <v>3992</v>
      </c>
      <c r="AC1129">
        <v>56528</v>
      </c>
      <c r="AF1129" s="1">
        <v>43413</v>
      </c>
      <c r="AG1129">
        <v>98.97</v>
      </c>
      <c r="AJ1129" s="156">
        <f t="shared" si="19"/>
        <v>0.19490754774173985</v>
      </c>
    </row>
    <row r="1130" spans="26:36" x14ac:dyDescent="0.3">
      <c r="Z1130" s="1">
        <v>43412</v>
      </c>
      <c r="AA1130">
        <v>80.27</v>
      </c>
      <c r="AB1130">
        <v>2510</v>
      </c>
      <c r="AC1130">
        <v>56482</v>
      </c>
      <c r="AF1130" s="1">
        <v>43412</v>
      </c>
      <c r="AG1130">
        <v>99.14</v>
      </c>
      <c r="AJ1130" s="156">
        <f t="shared" si="19"/>
        <v>0.1903368973169256</v>
      </c>
    </row>
    <row r="1131" spans="26:36" x14ac:dyDescent="0.3">
      <c r="Z1131" s="1">
        <v>43411</v>
      </c>
      <c r="AA1131">
        <v>80.430000000000007</v>
      </c>
      <c r="AB1131">
        <v>5524</v>
      </c>
      <c r="AC1131">
        <v>56657</v>
      </c>
      <c r="AF1131" s="1">
        <v>43411</v>
      </c>
      <c r="AG1131">
        <v>101.03</v>
      </c>
      <c r="AJ1131" s="156">
        <f t="shared" si="19"/>
        <v>0.20389983173314852</v>
      </c>
    </row>
    <row r="1132" spans="26:36" x14ac:dyDescent="0.3">
      <c r="Z1132" s="1">
        <v>43409</v>
      </c>
      <c r="AA1132">
        <v>83.37</v>
      </c>
      <c r="AB1132">
        <v>2869</v>
      </c>
      <c r="AC1132">
        <v>57702</v>
      </c>
      <c r="AF1132" s="1">
        <v>43409</v>
      </c>
      <c r="AG1132">
        <v>106.41</v>
      </c>
      <c r="AJ1132" s="156">
        <f t="shared" si="19"/>
        <v>0.21652100366506902</v>
      </c>
    </row>
    <row r="1133" spans="26:36" x14ac:dyDescent="0.3">
      <c r="Z1133" s="1">
        <v>43406</v>
      </c>
      <c r="AA1133">
        <v>83.78</v>
      </c>
      <c r="AB1133">
        <v>265147</v>
      </c>
      <c r="AC1133">
        <v>58504</v>
      </c>
      <c r="AF1133" s="1">
        <v>43406</v>
      </c>
      <c r="AG1133">
        <v>105.99</v>
      </c>
      <c r="AJ1133" s="156">
        <f t="shared" si="19"/>
        <v>0.20954807057269548</v>
      </c>
    </row>
    <row r="1134" spans="26:36" x14ac:dyDescent="0.3">
      <c r="Z1134" s="1">
        <v>43405</v>
      </c>
      <c r="AA1134">
        <v>83.78</v>
      </c>
      <c r="AB1134">
        <v>226658</v>
      </c>
      <c r="AC1134">
        <v>41981</v>
      </c>
      <c r="AF1134" s="1">
        <v>43405</v>
      </c>
      <c r="AG1134">
        <v>104.19</v>
      </c>
      <c r="AJ1134" s="156">
        <f t="shared" si="19"/>
        <v>0.19589212016508301</v>
      </c>
    </row>
    <row r="1135" spans="26:36" x14ac:dyDescent="0.3">
      <c r="Z1135" s="1">
        <v>43404</v>
      </c>
      <c r="AA1135">
        <v>80.27</v>
      </c>
      <c r="AB1135">
        <v>7870</v>
      </c>
      <c r="AC1135">
        <v>27457</v>
      </c>
      <c r="AF1135" s="1">
        <v>43404</v>
      </c>
      <c r="AG1135">
        <v>100.85</v>
      </c>
      <c r="AJ1135" s="156">
        <f t="shared" si="19"/>
        <v>0.20406544372830937</v>
      </c>
    </row>
    <row r="1136" spans="26:36" x14ac:dyDescent="0.3">
      <c r="Z1136" s="1">
        <v>43403</v>
      </c>
      <c r="AA1136">
        <v>78.17</v>
      </c>
      <c r="AB1136">
        <v>194616</v>
      </c>
      <c r="AC1136">
        <v>27152</v>
      </c>
      <c r="AF1136" s="1">
        <v>43403</v>
      </c>
      <c r="AG1136">
        <v>97.52</v>
      </c>
      <c r="AJ1136" s="156">
        <f t="shared" si="19"/>
        <v>0.19842083675143554</v>
      </c>
    </row>
    <row r="1137" spans="26:36" x14ac:dyDescent="0.3">
      <c r="Z1137" s="1">
        <v>43402</v>
      </c>
      <c r="AA1137">
        <v>78.92</v>
      </c>
      <c r="AB1137">
        <v>20506</v>
      </c>
      <c r="AC1137">
        <v>14228</v>
      </c>
      <c r="AF1137" s="1">
        <v>43402</v>
      </c>
      <c r="AG1137">
        <v>97.52</v>
      </c>
      <c r="AJ1137" s="156">
        <f t="shared" si="19"/>
        <v>0.19073010664479076</v>
      </c>
    </row>
    <row r="1138" spans="26:36" x14ac:dyDescent="0.3">
      <c r="Z1138" s="1">
        <v>43399</v>
      </c>
      <c r="AA1138">
        <v>73.98</v>
      </c>
      <c r="AB1138">
        <v>107828</v>
      </c>
      <c r="AC1138">
        <v>13269</v>
      </c>
      <c r="AF1138" s="1">
        <v>43399</v>
      </c>
      <c r="AG1138">
        <v>94.35</v>
      </c>
      <c r="AJ1138" s="156">
        <f t="shared" si="19"/>
        <v>0.21589825119236875</v>
      </c>
    </row>
    <row r="1139" spans="26:36" x14ac:dyDescent="0.3">
      <c r="Z1139" s="1">
        <v>43398</v>
      </c>
      <c r="AA1139">
        <v>74.069999999999993</v>
      </c>
      <c r="AB1139">
        <v>1879</v>
      </c>
      <c r="AC1139">
        <v>6109</v>
      </c>
      <c r="AF1139" s="1">
        <v>43398</v>
      </c>
      <c r="AG1139">
        <v>92.21</v>
      </c>
      <c r="AJ1139" s="156">
        <f t="shared" si="19"/>
        <v>0.19672486715106824</v>
      </c>
    </row>
    <row r="1140" spans="26:36" x14ac:dyDescent="0.3">
      <c r="Z1140" s="1">
        <v>43396</v>
      </c>
      <c r="AA1140">
        <v>75.319999999999993</v>
      </c>
      <c r="AB1140">
        <v>531</v>
      </c>
      <c r="AC1140">
        <v>12969</v>
      </c>
      <c r="AF1140" s="1">
        <v>43396</v>
      </c>
      <c r="AG1140">
        <v>92.81</v>
      </c>
      <c r="AJ1140" s="156">
        <f t="shared" si="19"/>
        <v>0.18844952052580549</v>
      </c>
    </row>
    <row r="1141" spans="26:36" x14ac:dyDescent="0.3">
      <c r="Z1141" s="1">
        <v>43395</v>
      </c>
      <c r="AA1141">
        <v>75.319999999999993</v>
      </c>
      <c r="AB1141">
        <v>169</v>
      </c>
      <c r="AC1141">
        <v>12958</v>
      </c>
      <c r="AF1141" s="1">
        <v>43395</v>
      </c>
      <c r="AG1141">
        <v>93.16</v>
      </c>
      <c r="AJ1141" s="156">
        <f t="shared" si="19"/>
        <v>0.19149849720910267</v>
      </c>
    </row>
    <row r="1142" spans="26:36" x14ac:dyDescent="0.3">
      <c r="Z1142" s="1">
        <v>43392</v>
      </c>
      <c r="AA1142">
        <v>74.23</v>
      </c>
      <c r="AB1142">
        <v>247</v>
      </c>
      <c r="AC1142">
        <v>13272</v>
      </c>
      <c r="AF1142" s="1">
        <v>43392</v>
      </c>
      <c r="AG1142">
        <v>92.81</v>
      </c>
      <c r="AJ1142" s="156">
        <f t="shared" si="19"/>
        <v>0.20019394461803683</v>
      </c>
    </row>
    <row r="1143" spans="26:36" x14ac:dyDescent="0.3">
      <c r="Z1143" s="1">
        <v>43391</v>
      </c>
      <c r="AA1143">
        <v>74.569999999999993</v>
      </c>
      <c r="AB1143">
        <v>7573</v>
      </c>
      <c r="AC1143">
        <v>13657</v>
      </c>
      <c r="AF1143" s="1">
        <v>43391</v>
      </c>
      <c r="AG1143">
        <v>94.7</v>
      </c>
      <c r="AJ1143" s="156">
        <f t="shared" si="19"/>
        <v>0.21256599788806768</v>
      </c>
    </row>
    <row r="1144" spans="26:36" x14ac:dyDescent="0.3">
      <c r="Z1144" s="1">
        <v>43390</v>
      </c>
      <c r="AA1144">
        <v>75.41</v>
      </c>
      <c r="AB1144">
        <v>3300</v>
      </c>
      <c r="AC1144">
        <v>19014</v>
      </c>
      <c r="AF1144" s="1">
        <v>43390</v>
      </c>
      <c r="AG1144">
        <v>94.1</v>
      </c>
      <c r="AJ1144" s="156">
        <f t="shared" si="19"/>
        <v>0.1986184909670563</v>
      </c>
    </row>
    <row r="1145" spans="26:36" x14ac:dyDescent="0.3">
      <c r="Z1145" s="1">
        <v>43389</v>
      </c>
      <c r="AA1145">
        <v>74.900000000000006</v>
      </c>
      <c r="AB1145">
        <v>5144</v>
      </c>
      <c r="AC1145">
        <v>23984</v>
      </c>
      <c r="AF1145" s="1">
        <v>43389</v>
      </c>
      <c r="AG1145">
        <v>94.1</v>
      </c>
      <c r="AJ1145" s="156">
        <f t="shared" si="19"/>
        <v>0.20403825717321988</v>
      </c>
    </row>
    <row r="1146" spans="26:36" x14ac:dyDescent="0.3">
      <c r="Z1146" s="1">
        <v>43388</v>
      </c>
      <c r="AA1146">
        <v>75.989999999999995</v>
      </c>
      <c r="AB1146">
        <v>21190</v>
      </c>
      <c r="AC1146">
        <v>25272</v>
      </c>
      <c r="AF1146" s="1">
        <v>43388</v>
      </c>
      <c r="AG1146">
        <v>94.18</v>
      </c>
      <c r="AJ1146" s="156">
        <f t="shared" si="19"/>
        <v>0.19314079422382682</v>
      </c>
    </row>
    <row r="1147" spans="26:36" x14ac:dyDescent="0.3">
      <c r="Z1147" s="1">
        <v>43385</v>
      </c>
      <c r="AA1147">
        <v>74.989999999999995</v>
      </c>
      <c r="AB1147">
        <v>14895</v>
      </c>
      <c r="AC1147">
        <v>24950</v>
      </c>
      <c r="AF1147" s="1">
        <v>43385</v>
      </c>
      <c r="AG1147">
        <v>95.47</v>
      </c>
      <c r="AJ1147" s="156">
        <f t="shared" si="19"/>
        <v>0.21451764952341054</v>
      </c>
    </row>
    <row r="1148" spans="26:36" x14ac:dyDescent="0.3">
      <c r="Z1148" s="1">
        <v>43384</v>
      </c>
      <c r="AA1148">
        <v>75.41</v>
      </c>
      <c r="AB1148">
        <v>17308</v>
      </c>
      <c r="AC1148">
        <v>24074</v>
      </c>
      <c r="AF1148" s="1">
        <v>43384</v>
      </c>
      <c r="AG1148">
        <v>96.23</v>
      </c>
      <c r="AJ1148" s="156">
        <f t="shared" si="19"/>
        <v>0.21635664553673498</v>
      </c>
    </row>
    <row r="1149" spans="26:36" x14ac:dyDescent="0.3">
      <c r="Z1149" s="1">
        <v>43383</v>
      </c>
      <c r="AA1149">
        <v>75.66</v>
      </c>
      <c r="AB1149">
        <v>8795</v>
      </c>
      <c r="AC1149">
        <v>23181</v>
      </c>
      <c r="AF1149" s="1">
        <v>43383</v>
      </c>
      <c r="AG1149">
        <v>96.32</v>
      </c>
      <c r="AJ1149" s="156">
        <f t="shared" si="19"/>
        <v>0.21449335548172754</v>
      </c>
    </row>
    <row r="1150" spans="26:36" x14ac:dyDescent="0.3">
      <c r="Z1150" s="1">
        <v>43382</v>
      </c>
      <c r="AA1150">
        <v>76.16</v>
      </c>
      <c r="AB1150">
        <v>3300</v>
      </c>
      <c r="AC1150">
        <v>26931</v>
      </c>
      <c r="AF1150" s="1">
        <v>43382</v>
      </c>
      <c r="AG1150">
        <v>96.66</v>
      </c>
      <c r="AJ1150" s="156">
        <f t="shared" si="19"/>
        <v>0.21208359197186014</v>
      </c>
    </row>
    <row r="1151" spans="26:36" x14ac:dyDescent="0.3">
      <c r="Z1151" s="1">
        <v>43381</v>
      </c>
      <c r="AA1151">
        <v>78.42</v>
      </c>
      <c r="AB1151">
        <v>758</v>
      </c>
      <c r="AC1151">
        <v>26736</v>
      </c>
      <c r="AF1151" s="1">
        <v>43381</v>
      </c>
      <c r="AG1151">
        <v>97.52</v>
      </c>
      <c r="AJ1151" s="156">
        <f t="shared" si="19"/>
        <v>0.19585726004922063</v>
      </c>
    </row>
    <row r="1152" spans="26:36" x14ac:dyDescent="0.3">
      <c r="Z1152" s="1">
        <v>43378</v>
      </c>
      <c r="AA1152">
        <v>78.760000000000005</v>
      </c>
      <c r="AB1152">
        <v>6117</v>
      </c>
      <c r="AC1152">
        <v>26873</v>
      </c>
      <c r="AF1152" s="1">
        <v>43378</v>
      </c>
      <c r="AG1152">
        <v>97.09</v>
      </c>
      <c r="AJ1152" s="156">
        <f t="shared" si="19"/>
        <v>0.18879390256463074</v>
      </c>
    </row>
    <row r="1153" spans="26:36" x14ac:dyDescent="0.3">
      <c r="Z1153" s="1">
        <v>43377</v>
      </c>
      <c r="AA1153">
        <v>75.41</v>
      </c>
      <c r="AB1153">
        <v>424</v>
      </c>
      <c r="AC1153">
        <v>26689</v>
      </c>
      <c r="AF1153" s="1">
        <v>43377</v>
      </c>
      <c r="AG1153">
        <v>96.23</v>
      </c>
      <c r="AJ1153" s="156">
        <f t="shared" si="19"/>
        <v>0.21635664553673498</v>
      </c>
    </row>
    <row r="1154" spans="26:36" x14ac:dyDescent="0.3">
      <c r="Z1154" s="1">
        <v>43376</v>
      </c>
      <c r="AA1154">
        <v>74.569999999999993</v>
      </c>
      <c r="AB1154">
        <v>104789</v>
      </c>
      <c r="AC1154">
        <v>42615</v>
      </c>
      <c r="AF1154" s="1">
        <v>43376</v>
      </c>
      <c r="AG1154">
        <v>95.38</v>
      </c>
      <c r="AJ1154" s="156">
        <f t="shared" si="19"/>
        <v>0.21817991193122252</v>
      </c>
    </row>
    <row r="1155" spans="26:36" x14ac:dyDescent="0.3">
      <c r="Z1155" s="1">
        <v>43375</v>
      </c>
      <c r="AA1155">
        <v>74.650000000000006</v>
      </c>
      <c r="AB1155">
        <v>368</v>
      </c>
      <c r="AC1155">
        <v>35911</v>
      </c>
      <c r="AF1155" s="1">
        <v>43375</v>
      </c>
      <c r="AG1155">
        <v>95.81</v>
      </c>
      <c r="AJ1155" s="156">
        <f t="shared" si="19"/>
        <v>0.22085377309257903</v>
      </c>
    </row>
    <row r="1156" spans="26:36" x14ac:dyDescent="0.3">
      <c r="Z1156" s="1">
        <v>43374</v>
      </c>
      <c r="AA1156">
        <v>74.150000000000006</v>
      </c>
      <c r="AB1156">
        <v>4878</v>
      </c>
      <c r="AC1156">
        <v>35928</v>
      </c>
      <c r="AF1156" s="1">
        <v>43374</v>
      </c>
      <c r="AG1156">
        <v>96.23</v>
      </c>
      <c r="AJ1156" s="156">
        <f t="shared" si="19"/>
        <v>0.22945027538189752</v>
      </c>
    </row>
    <row r="1157" spans="26:36" x14ac:dyDescent="0.3">
      <c r="Z1157" s="1">
        <v>43371</v>
      </c>
      <c r="AA1157">
        <v>74.650000000000006</v>
      </c>
      <c r="AB1157">
        <v>6023</v>
      </c>
      <c r="AC1157">
        <v>35825</v>
      </c>
      <c r="AF1157" s="1">
        <v>43371</v>
      </c>
      <c r="AG1157">
        <v>96.66</v>
      </c>
      <c r="AJ1157" s="156">
        <f t="shared" si="19"/>
        <v>0.22770535899027511</v>
      </c>
    </row>
    <row r="1158" spans="26:36" x14ac:dyDescent="0.3">
      <c r="Z1158" s="1">
        <v>43370</v>
      </c>
      <c r="AA1158">
        <v>75.319999999999993</v>
      </c>
      <c r="AB1158">
        <v>87914</v>
      </c>
      <c r="AC1158">
        <v>35524</v>
      </c>
      <c r="AF1158" s="1">
        <v>43370</v>
      </c>
      <c r="AG1158">
        <v>96.75</v>
      </c>
      <c r="AJ1158" s="156">
        <f t="shared" si="19"/>
        <v>0.221498708010336</v>
      </c>
    </row>
    <row r="1159" spans="26:36" x14ac:dyDescent="0.3">
      <c r="Z1159" s="1">
        <v>43369</v>
      </c>
      <c r="AA1159">
        <v>75.319999999999993</v>
      </c>
      <c r="AB1159">
        <v>77861</v>
      </c>
      <c r="AC1159">
        <v>30135</v>
      </c>
      <c r="AF1159" s="1">
        <v>43369</v>
      </c>
      <c r="AG1159">
        <v>97.52</v>
      </c>
      <c r="AJ1159" s="156">
        <f t="shared" si="19"/>
        <v>0.22764561115668586</v>
      </c>
    </row>
    <row r="1160" spans="26:36" x14ac:dyDescent="0.3">
      <c r="Z1160" s="1">
        <v>43368</v>
      </c>
      <c r="AA1160">
        <v>75.41</v>
      </c>
      <c r="AB1160">
        <v>24453</v>
      </c>
      <c r="AC1160">
        <v>25070</v>
      </c>
      <c r="AF1160" s="1">
        <v>43368</v>
      </c>
      <c r="AG1160">
        <v>97.52</v>
      </c>
      <c r="AJ1160" s="156">
        <f t="shared" si="19"/>
        <v>0.22672272354388845</v>
      </c>
    </row>
    <row r="1161" spans="26:36" x14ac:dyDescent="0.3">
      <c r="Z1161" s="1">
        <v>43364</v>
      </c>
      <c r="AA1161">
        <v>77.08</v>
      </c>
      <c r="AB1161">
        <v>16367</v>
      </c>
      <c r="AC1161">
        <v>23525</v>
      </c>
      <c r="AF1161" s="1">
        <v>43364</v>
      </c>
      <c r="AG1161">
        <v>97.6</v>
      </c>
      <c r="AJ1161" s="156">
        <f t="shared" si="19"/>
        <v>0.21024590163934423</v>
      </c>
    </row>
    <row r="1162" spans="26:36" x14ac:dyDescent="0.3">
      <c r="Z1162" s="1">
        <v>43363</v>
      </c>
      <c r="AA1162">
        <v>76.75</v>
      </c>
      <c r="AB1162">
        <v>1758</v>
      </c>
      <c r="AC1162">
        <v>22604</v>
      </c>
      <c r="AF1162" s="1">
        <v>43363</v>
      </c>
      <c r="AG1162">
        <v>98.63</v>
      </c>
      <c r="AJ1162" s="156">
        <f t="shared" si="19"/>
        <v>0.22183919699888469</v>
      </c>
    </row>
    <row r="1163" spans="26:36" x14ac:dyDescent="0.3">
      <c r="Z1163" s="1">
        <v>43362</v>
      </c>
      <c r="AA1163">
        <v>77</v>
      </c>
      <c r="AB1163">
        <v>3908</v>
      </c>
      <c r="AC1163">
        <v>23555</v>
      </c>
      <c r="AF1163" s="1">
        <v>43362</v>
      </c>
      <c r="AG1163">
        <v>99.57</v>
      </c>
      <c r="AJ1163" s="156">
        <f t="shared" si="19"/>
        <v>0.22667470121522543</v>
      </c>
    </row>
    <row r="1164" spans="26:36" x14ac:dyDescent="0.3">
      <c r="Z1164" s="1">
        <v>43361</v>
      </c>
      <c r="AA1164">
        <v>77.08</v>
      </c>
      <c r="AB1164">
        <v>65042</v>
      </c>
      <c r="AC1164">
        <v>23385</v>
      </c>
      <c r="AF1164" s="1">
        <v>43361</v>
      </c>
      <c r="AG1164">
        <v>99.66</v>
      </c>
      <c r="AJ1164" s="156">
        <f t="shared" si="19"/>
        <v>0.22657033915312061</v>
      </c>
    </row>
    <row r="1165" spans="26:36" x14ac:dyDescent="0.3">
      <c r="Z1165" s="1">
        <v>43360</v>
      </c>
      <c r="AA1165">
        <v>78.760000000000005</v>
      </c>
      <c r="AB1165">
        <v>376</v>
      </c>
      <c r="AC1165">
        <v>20384</v>
      </c>
      <c r="AF1165" s="1">
        <v>43360</v>
      </c>
      <c r="AG1165">
        <v>102.22</v>
      </c>
      <c r="AJ1165" s="156">
        <f t="shared" si="19"/>
        <v>0.22950498923889645</v>
      </c>
    </row>
    <row r="1166" spans="26:36" x14ac:dyDescent="0.3">
      <c r="Z1166" s="1">
        <v>43357</v>
      </c>
      <c r="AA1166">
        <v>78.59</v>
      </c>
      <c r="AB1166">
        <v>2811</v>
      </c>
      <c r="AC1166">
        <v>20636</v>
      </c>
      <c r="AF1166" s="1">
        <v>43357</v>
      </c>
      <c r="AG1166">
        <v>102.48</v>
      </c>
      <c r="AJ1166" s="156">
        <f t="shared" si="19"/>
        <v>0.23311865729898518</v>
      </c>
    </row>
    <row r="1167" spans="26:36" x14ac:dyDescent="0.3">
      <c r="Z1167" s="1">
        <v>43356</v>
      </c>
      <c r="AA1167">
        <v>78.760000000000005</v>
      </c>
      <c r="AB1167">
        <v>3367</v>
      </c>
      <c r="AC1167">
        <v>20581</v>
      </c>
      <c r="AF1167" s="1">
        <v>43356</v>
      </c>
      <c r="AG1167">
        <v>103.51</v>
      </c>
      <c r="AJ1167" s="156">
        <f t="shared" si="19"/>
        <v>0.23910733262486716</v>
      </c>
    </row>
    <row r="1168" spans="26:36" x14ac:dyDescent="0.3">
      <c r="Z1168" s="1">
        <v>43355</v>
      </c>
      <c r="AA1168">
        <v>79.010000000000005</v>
      </c>
      <c r="AB1168">
        <v>239307</v>
      </c>
      <c r="AC1168">
        <v>20646</v>
      </c>
      <c r="AF1168" s="1">
        <v>43355</v>
      </c>
      <c r="AG1168">
        <v>104.36</v>
      </c>
      <c r="AJ1168" s="156">
        <f t="shared" si="19"/>
        <v>0.24290916059793019</v>
      </c>
    </row>
    <row r="1169" spans="26:36" x14ac:dyDescent="0.3">
      <c r="Z1169" s="1">
        <v>43354</v>
      </c>
      <c r="AA1169">
        <v>79.510000000000005</v>
      </c>
      <c r="AB1169">
        <v>4238</v>
      </c>
      <c r="AC1169">
        <v>4957</v>
      </c>
      <c r="AF1169" s="1">
        <v>43354</v>
      </c>
      <c r="AG1169">
        <v>105.22</v>
      </c>
      <c r="AJ1169" s="156">
        <f t="shared" si="19"/>
        <v>0.24434518152442497</v>
      </c>
    </row>
    <row r="1170" spans="26:36" x14ac:dyDescent="0.3">
      <c r="Z1170" s="1">
        <v>43353</v>
      </c>
      <c r="AA1170">
        <v>78.760000000000005</v>
      </c>
      <c r="AB1170">
        <v>624</v>
      </c>
      <c r="AC1170">
        <v>7948</v>
      </c>
      <c r="AF1170" s="1">
        <v>43353</v>
      </c>
      <c r="AG1170">
        <v>105.22</v>
      </c>
      <c r="AJ1170" s="156">
        <f t="shared" si="19"/>
        <v>0.25147310397262873</v>
      </c>
    </row>
    <row r="1171" spans="26:36" x14ac:dyDescent="0.3">
      <c r="Z1171" s="1">
        <v>43350</v>
      </c>
      <c r="AA1171">
        <v>79.599999999999994</v>
      </c>
      <c r="AB1171">
        <v>3332</v>
      </c>
      <c r="AC1171">
        <v>10621</v>
      </c>
      <c r="AF1171" s="1">
        <v>43350</v>
      </c>
      <c r="AG1171">
        <v>105.99</v>
      </c>
      <c r="AJ1171" s="156">
        <f t="shared" si="19"/>
        <v>0.24898575337295972</v>
      </c>
    </row>
    <row r="1172" spans="26:36" x14ac:dyDescent="0.3">
      <c r="Z1172" s="1">
        <v>43349</v>
      </c>
      <c r="AA1172">
        <v>79.680000000000007</v>
      </c>
      <c r="AB1172">
        <v>1505</v>
      </c>
      <c r="AC1172">
        <v>18573</v>
      </c>
      <c r="AF1172" s="1">
        <v>43349</v>
      </c>
      <c r="AG1172">
        <v>105.82</v>
      </c>
      <c r="AJ1172" s="156">
        <f t="shared" si="19"/>
        <v>0.24702324702324691</v>
      </c>
    </row>
    <row r="1173" spans="26:36" x14ac:dyDescent="0.3">
      <c r="Z1173" s="1">
        <v>43348</v>
      </c>
      <c r="AA1173">
        <v>79.680000000000007</v>
      </c>
      <c r="AB1173">
        <v>7082</v>
      </c>
      <c r="AC1173">
        <v>18627</v>
      </c>
      <c r="AF1173" s="1">
        <v>43348</v>
      </c>
      <c r="AG1173">
        <v>105.82</v>
      </c>
      <c r="AJ1173" s="156">
        <f t="shared" si="19"/>
        <v>0.24702324702324691</v>
      </c>
    </row>
    <row r="1174" spans="26:36" x14ac:dyDescent="0.3">
      <c r="Z1174" s="1">
        <v>43347</v>
      </c>
      <c r="AA1174">
        <v>78.59</v>
      </c>
      <c r="AB1174">
        <v>1881</v>
      </c>
      <c r="AC1174">
        <v>18435</v>
      </c>
      <c r="AF1174" s="1">
        <v>43347</v>
      </c>
      <c r="AG1174">
        <v>105.64</v>
      </c>
      <c r="AJ1174" s="156">
        <f t="shared" si="19"/>
        <v>0.25605831124574024</v>
      </c>
    </row>
    <row r="1175" spans="26:36" x14ac:dyDescent="0.3">
      <c r="Z1175" s="1">
        <v>43346</v>
      </c>
      <c r="AA1175">
        <v>78.84</v>
      </c>
      <c r="AB1175">
        <v>1278</v>
      </c>
      <c r="AC1175">
        <v>18406</v>
      </c>
      <c r="AF1175" s="1">
        <v>43346</v>
      </c>
      <c r="AG1175">
        <v>106.07</v>
      </c>
      <c r="AJ1175" s="156">
        <f t="shared" si="19"/>
        <v>0.25671726218534924</v>
      </c>
    </row>
    <row r="1176" spans="26:36" x14ac:dyDescent="0.3">
      <c r="Z1176" s="1">
        <v>43343</v>
      </c>
      <c r="AA1176">
        <v>79.760000000000005</v>
      </c>
      <c r="AB1176">
        <v>2552</v>
      </c>
      <c r="AC1176">
        <v>18419</v>
      </c>
    </row>
    <row r="1177" spans="26:36" x14ac:dyDescent="0.3">
      <c r="Z1177" s="1">
        <v>43342</v>
      </c>
      <c r="AA1177">
        <v>79.760000000000005</v>
      </c>
      <c r="AB1177">
        <v>16027</v>
      </c>
    </row>
    <row r="1178" spans="26:36" x14ac:dyDescent="0.3">
      <c r="Z1178" s="1">
        <v>43341</v>
      </c>
      <c r="AA1178">
        <v>78.760000000000005</v>
      </c>
      <c r="AB1178">
        <v>1355</v>
      </c>
    </row>
    <row r="1179" spans="26:36" x14ac:dyDescent="0.3">
      <c r="Z1179" s="1">
        <v>43340</v>
      </c>
      <c r="AA1179">
        <v>78.84</v>
      </c>
      <c r="AB1179">
        <v>20024</v>
      </c>
    </row>
    <row r="1180" spans="26:36" x14ac:dyDescent="0.3">
      <c r="Z1180" s="1">
        <v>43339</v>
      </c>
      <c r="AA1180">
        <v>78.92</v>
      </c>
      <c r="AB1180">
        <v>4156</v>
      </c>
    </row>
    <row r="1181" spans="26:36" x14ac:dyDescent="0.3">
      <c r="Z1181" s="1">
        <v>43336</v>
      </c>
      <c r="AA1181">
        <v>79.599999999999994</v>
      </c>
      <c r="AB1181">
        <v>1991</v>
      </c>
    </row>
    <row r="1182" spans="26:36" x14ac:dyDescent="0.3">
      <c r="Z1182" s="1">
        <v>43335</v>
      </c>
      <c r="AA1182">
        <v>79.34</v>
      </c>
      <c r="AB1182">
        <v>4339</v>
      </c>
    </row>
    <row r="1183" spans="26:36" x14ac:dyDescent="0.3">
      <c r="Z1183" s="1">
        <v>43333</v>
      </c>
      <c r="AA1183">
        <v>79.260000000000005</v>
      </c>
      <c r="AB1183">
        <v>3964</v>
      </c>
    </row>
    <row r="1184" spans="26:36" x14ac:dyDescent="0.3">
      <c r="Z1184" s="1">
        <v>43332</v>
      </c>
      <c r="AA1184">
        <v>79.930000000000007</v>
      </c>
      <c r="AB1184">
        <v>49108</v>
      </c>
    </row>
    <row r="1185" spans="26:28" x14ac:dyDescent="0.3">
      <c r="Z1185" s="1">
        <v>43329</v>
      </c>
      <c r="AA1185">
        <v>79.680000000000007</v>
      </c>
      <c r="AB1185">
        <v>40725</v>
      </c>
    </row>
    <row r="1186" spans="26:28" x14ac:dyDescent="0.3">
      <c r="Z1186" s="1">
        <v>43328</v>
      </c>
      <c r="AA1186">
        <v>79.680000000000007</v>
      </c>
      <c r="AB1186">
        <v>122611</v>
      </c>
    </row>
    <row r="1187" spans="26:28" x14ac:dyDescent="0.3">
      <c r="Z1187" s="1">
        <v>43327</v>
      </c>
      <c r="AA1187">
        <v>79.510000000000005</v>
      </c>
      <c r="AB1187">
        <v>2306</v>
      </c>
    </row>
    <row r="1188" spans="26:28" x14ac:dyDescent="0.3">
      <c r="Z1188" s="1">
        <v>43326</v>
      </c>
      <c r="AA1188">
        <v>80.010000000000005</v>
      </c>
      <c r="AB1188">
        <v>4204</v>
      </c>
    </row>
    <row r="1189" spans="26:28" x14ac:dyDescent="0.3">
      <c r="Z1189" s="1">
        <v>43325</v>
      </c>
      <c r="AA1189">
        <v>80.680000000000007</v>
      </c>
      <c r="AB1189">
        <v>1456</v>
      </c>
    </row>
    <row r="1190" spans="26:28" x14ac:dyDescent="0.3">
      <c r="Z1190" s="1">
        <v>43322</v>
      </c>
      <c r="AA1190">
        <v>81.27</v>
      </c>
      <c r="AB1190">
        <v>1462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9F2F-37EB-4F45-B5CE-D0359FA0014B}">
  <dimension ref="B1:L32"/>
  <sheetViews>
    <sheetView workbookViewId="0">
      <selection activeCell="C26" sqref="C26"/>
    </sheetView>
  </sheetViews>
  <sheetFormatPr defaultRowHeight="14.4" x14ac:dyDescent="0.3"/>
  <cols>
    <col min="2" max="2" width="47.44140625" bestFit="1" customWidth="1"/>
    <col min="3" max="4" width="9.88671875" bestFit="1" customWidth="1"/>
    <col min="5" max="5" width="11.88671875" customWidth="1"/>
    <col min="6" max="6" width="12.109375" customWidth="1"/>
    <col min="7" max="8" width="9.88671875" bestFit="1" customWidth="1"/>
    <col min="9" max="9" width="10.5546875" bestFit="1" customWidth="1"/>
    <col min="10" max="10" width="9.88671875" bestFit="1" customWidth="1"/>
    <col min="12" max="12" width="10.88671875" bestFit="1" customWidth="1"/>
  </cols>
  <sheetData>
    <row r="1" spans="2:12" x14ac:dyDescent="0.3">
      <c r="C1" t="s">
        <v>404</v>
      </c>
    </row>
    <row r="2" spans="2:12" x14ac:dyDescent="0.3">
      <c r="C2" s="97">
        <v>45192</v>
      </c>
      <c r="D2" s="98">
        <v>45078</v>
      </c>
      <c r="E2" s="98">
        <v>44986</v>
      </c>
      <c r="F2" s="98">
        <v>44896</v>
      </c>
      <c r="G2" s="98">
        <v>44805</v>
      </c>
      <c r="H2" s="98">
        <v>44713</v>
      </c>
      <c r="I2" s="98">
        <v>44621</v>
      </c>
      <c r="J2" s="98">
        <v>44531</v>
      </c>
    </row>
    <row r="3" spans="2:12" x14ac:dyDescent="0.3">
      <c r="B3" t="s">
        <v>7</v>
      </c>
      <c r="C3" s="38">
        <v>88294597</v>
      </c>
      <c r="D3" s="38">
        <v>83519041</v>
      </c>
      <c r="E3" s="38">
        <v>84149226</v>
      </c>
      <c r="F3" s="38">
        <v>84813856</v>
      </c>
      <c r="G3" s="38">
        <v>76055638</v>
      </c>
      <c r="H3" s="38">
        <v>64944217</v>
      </c>
      <c r="I3" s="38">
        <v>54573233</v>
      </c>
      <c r="J3" s="38">
        <v>43625180</v>
      </c>
      <c r="L3" s="38">
        <f>E3+D3+C3+C3</f>
        <v>344257461</v>
      </c>
    </row>
    <row r="4" spans="2:12" x14ac:dyDescent="0.3">
      <c r="B4" t="s">
        <v>8</v>
      </c>
      <c r="C4" s="38">
        <v>73758370</v>
      </c>
      <c r="D4" s="38">
        <v>74872632</v>
      </c>
      <c r="E4" s="38">
        <v>75939012</v>
      </c>
      <c r="F4" s="38">
        <v>72136429</v>
      </c>
      <c r="G4" s="38">
        <v>62139977</v>
      </c>
      <c r="H4" s="38">
        <v>50269825</v>
      </c>
      <c r="I4" s="38">
        <v>37846848</v>
      </c>
      <c r="J4" s="38">
        <v>36591673</v>
      </c>
      <c r="L4" s="38">
        <f>E4+D4+C4+C4</f>
        <v>298328384</v>
      </c>
    </row>
    <row r="5" spans="2:12" x14ac:dyDescent="0.3">
      <c r="B5" t="s">
        <v>392</v>
      </c>
      <c r="C5" s="38">
        <v>50326278</v>
      </c>
      <c r="D5" s="38">
        <v>56398189</v>
      </c>
      <c r="E5" s="38">
        <v>56963785</v>
      </c>
      <c r="F5" s="38">
        <v>50285038</v>
      </c>
      <c r="G5" s="38">
        <v>40038742</v>
      </c>
      <c r="H5" s="38">
        <v>28380265</v>
      </c>
      <c r="I5" s="38">
        <v>19023823</v>
      </c>
      <c r="J5" s="38">
        <v>17708621</v>
      </c>
      <c r="L5" s="38">
        <f t="shared" ref="L5:L7" si="0">E5+D5+C5+C5</f>
        <v>214014530</v>
      </c>
    </row>
    <row r="6" spans="2:12" x14ac:dyDescent="0.3">
      <c r="B6" t="s">
        <v>10</v>
      </c>
      <c r="C6" s="38">
        <v>23432092</v>
      </c>
      <c r="D6" s="38">
        <v>18474443</v>
      </c>
      <c r="E6" s="38">
        <v>18975227</v>
      </c>
      <c r="F6" s="38">
        <v>21851391</v>
      </c>
      <c r="G6" s="38">
        <v>22101235</v>
      </c>
      <c r="H6" s="38">
        <v>21889560</v>
      </c>
      <c r="I6" s="38">
        <v>18823025</v>
      </c>
      <c r="J6" s="38">
        <v>18883052</v>
      </c>
      <c r="L6" s="38">
        <f t="shared" si="0"/>
        <v>84313854</v>
      </c>
    </row>
    <row r="7" spans="2:12" x14ac:dyDescent="0.3">
      <c r="B7" t="s">
        <v>11</v>
      </c>
      <c r="C7" s="38">
        <v>7657034</v>
      </c>
      <c r="D7" s="38">
        <v>7076778</v>
      </c>
      <c r="E7" s="38">
        <v>7300668</v>
      </c>
      <c r="F7" s="38">
        <v>7985635</v>
      </c>
      <c r="G7" s="38">
        <v>6447150</v>
      </c>
      <c r="H7" s="38">
        <v>6365740</v>
      </c>
      <c r="I7" s="38">
        <v>5393005</v>
      </c>
      <c r="J7" s="38">
        <v>4915199</v>
      </c>
      <c r="L7" s="38">
        <f t="shared" si="0"/>
        <v>29691514</v>
      </c>
    </row>
    <row r="8" spans="2:12" x14ac:dyDescent="0.3">
      <c r="B8" t="s">
        <v>12</v>
      </c>
      <c r="C8" s="38">
        <v>2038079</v>
      </c>
      <c r="D8" s="38">
        <v>1887996</v>
      </c>
      <c r="E8" s="38">
        <v>1898492</v>
      </c>
      <c r="F8" s="38">
        <v>1729591</v>
      </c>
      <c r="G8" s="38">
        <v>1411595</v>
      </c>
      <c r="H8" s="38">
        <v>1575925</v>
      </c>
      <c r="I8" s="38">
        <v>1305318</v>
      </c>
      <c r="J8" s="38">
        <v>1269724</v>
      </c>
    </row>
    <row r="9" spans="2:12" x14ac:dyDescent="0.3">
      <c r="B9" t="s">
        <v>13</v>
      </c>
      <c r="C9" s="38">
        <v>5618955</v>
      </c>
      <c r="D9" s="38">
        <v>5188782</v>
      </c>
      <c r="E9" s="38">
        <v>5402176</v>
      </c>
      <c r="F9" s="38">
        <v>6256044</v>
      </c>
      <c r="G9" s="38">
        <v>5035555</v>
      </c>
      <c r="H9" s="38">
        <v>4789815</v>
      </c>
      <c r="I9" s="38">
        <v>4087687</v>
      </c>
      <c r="J9" s="38">
        <v>3645475</v>
      </c>
    </row>
    <row r="10" spans="2:12" x14ac:dyDescent="0.3">
      <c r="B10" t="s">
        <v>14</v>
      </c>
      <c r="C10" s="38">
        <v>3381671</v>
      </c>
      <c r="D10" s="38">
        <v>-6555889</v>
      </c>
      <c r="E10" s="38">
        <v>-8975464</v>
      </c>
      <c r="F10" s="38">
        <v>1173354</v>
      </c>
      <c r="G10" s="38">
        <v>2022197</v>
      </c>
      <c r="H10" s="38">
        <v>8560357</v>
      </c>
      <c r="I10" s="38">
        <v>23541542</v>
      </c>
      <c r="J10" s="38">
        <v>-101050</v>
      </c>
    </row>
    <row r="11" spans="2:12" x14ac:dyDescent="0.3">
      <c r="B11" t="s">
        <v>15</v>
      </c>
      <c r="C11" s="38">
        <v>1713760</v>
      </c>
      <c r="D11" s="38">
        <v>587244</v>
      </c>
      <c r="E11" s="38">
        <v>337266</v>
      </c>
      <c r="F11" s="38">
        <v>105790</v>
      </c>
      <c r="G11" s="38">
        <v>106832</v>
      </c>
      <c r="H11" s="38">
        <v>49119</v>
      </c>
      <c r="I11" s="38">
        <v>15143</v>
      </c>
      <c r="J11" s="38">
        <v>25076</v>
      </c>
    </row>
    <row r="12" spans="2:12" x14ac:dyDescent="0.3">
      <c r="B12" t="s">
        <v>16</v>
      </c>
      <c r="C12" s="38">
        <v>1783762</v>
      </c>
      <c r="D12" s="38">
        <v>7538276</v>
      </c>
      <c r="E12" s="38">
        <v>9547744</v>
      </c>
      <c r="F12" s="38">
        <v>3412648</v>
      </c>
      <c r="G12" s="38">
        <v>5339482</v>
      </c>
      <c r="H12" s="38">
        <v>-300824</v>
      </c>
      <c r="I12" s="38">
        <v>-12223305</v>
      </c>
      <c r="J12" s="38">
        <v>2194282</v>
      </c>
    </row>
    <row r="13" spans="2:12" x14ac:dyDescent="0.3">
      <c r="B13" t="s">
        <v>17</v>
      </c>
      <c r="C13" s="38">
        <v>35930240</v>
      </c>
      <c r="D13" s="38">
        <v>25232856</v>
      </c>
      <c r="E13" s="38">
        <v>25286949</v>
      </c>
      <c r="F13" s="38">
        <v>32799227</v>
      </c>
      <c r="G13" s="38">
        <v>34605301</v>
      </c>
      <c r="H13" s="38">
        <v>34988027</v>
      </c>
      <c r="I13" s="38">
        <v>34244092</v>
      </c>
      <c r="J13" s="38">
        <v>24646835</v>
      </c>
    </row>
    <row r="14" spans="2:12" x14ac:dyDescent="0.3">
      <c r="B14" t="s">
        <v>393</v>
      </c>
      <c r="C14" s="38">
        <v>12571147</v>
      </c>
      <c r="D14" s="38">
        <v>6413788</v>
      </c>
      <c r="E14" s="38">
        <v>6797175</v>
      </c>
      <c r="F14" s="38">
        <v>19652653</v>
      </c>
      <c r="G14" s="38">
        <v>17052988</v>
      </c>
      <c r="H14" s="38">
        <v>29258063</v>
      </c>
      <c r="I14" s="38">
        <v>5960556</v>
      </c>
      <c r="J14" s="38">
        <v>7142508</v>
      </c>
    </row>
    <row r="15" spans="2:12" x14ac:dyDescent="0.3">
      <c r="B15" t="s">
        <v>19</v>
      </c>
      <c r="C15" s="38">
        <v>23359093</v>
      </c>
      <c r="D15" s="38">
        <v>18819068</v>
      </c>
      <c r="E15" s="38">
        <v>18489774</v>
      </c>
      <c r="F15" s="38">
        <v>13146574</v>
      </c>
      <c r="G15" s="38">
        <v>17552313</v>
      </c>
      <c r="H15" s="38">
        <v>5729964</v>
      </c>
      <c r="I15" s="38">
        <v>28283536</v>
      </c>
      <c r="J15" s="38">
        <v>17504327</v>
      </c>
    </row>
    <row r="16" spans="2:12" x14ac:dyDescent="0.3">
      <c r="B16" t="s">
        <v>105</v>
      </c>
      <c r="C16" s="38">
        <v>10691452</v>
      </c>
      <c r="D16" s="38">
        <v>10607104</v>
      </c>
      <c r="E16" s="38">
        <v>10677690</v>
      </c>
      <c r="F16" s="38">
        <v>10265566</v>
      </c>
      <c r="G16" s="38">
        <v>7985228</v>
      </c>
      <c r="H16" s="38">
        <v>9310867</v>
      </c>
      <c r="I16" s="38">
        <v>8720580</v>
      </c>
      <c r="J16" s="38">
        <v>8378026</v>
      </c>
    </row>
    <row r="17" spans="2:10" x14ac:dyDescent="0.3">
      <c r="B17" t="s">
        <v>106</v>
      </c>
      <c r="C17" s="38">
        <v>5512768</v>
      </c>
      <c r="D17" s="38">
        <v>5684029</v>
      </c>
      <c r="E17" s="38">
        <v>5612486</v>
      </c>
      <c r="F17" s="38">
        <v>5148402</v>
      </c>
      <c r="G17" s="38">
        <v>5055534</v>
      </c>
      <c r="H17" s="38">
        <v>4972094</v>
      </c>
      <c r="I17" s="38">
        <v>4612253</v>
      </c>
      <c r="J17" s="38">
        <v>4639350</v>
      </c>
    </row>
    <row r="18" spans="2:10" x14ac:dyDescent="0.3">
      <c r="B18" t="s">
        <v>20</v>
      </c>
      <c r="C18" s="38">
        <v>995181</v>
      </c>
      <c r="D18" s="38">
        <v>1020578</v>
      </c>
      <c r="E18" s="38">
        <v>1063760</v>
      </c>
      <c r="F18" s="38">
        <v>968895</v>
      </c>
      <c r="G18" s="38">
        <v>905454</v>
      </c>
      <c r="H18" s="38">
        <v>906117</v>
      </c>
      <c r="I18" s="38">
        <v>817905</v>
      </c>
      <c r="J18" s="38">
        <v>798333</v>
      </c>
    </row>
    <row r="19" spans="2:10" x14ac:dyDescent="0.3">
      <c r="B19" t="s">
        <v>21</v>
      </c>
      <c r="C19" s="38">
        <v>4183503</v>
      </c>
      <c r="D19" s="38">
        <v>3902497</v>
      </c>
      <c r="E19" s="38">
        <v>4001444</v>
      </c>
      <c r="F19" s="38">
        <v>4148269</v>
      </c>
      <c r="G19" s="38">
        <v>2024240</v>
      </c>
      <c r="H19" s="38">
        <v>3432656</v>
      </c>
      <c r="I19" s="38">
        <v>3290422</v>
      </c>
      <c r="J19" s="38">
        <v>2940343</v>
      </c>
    </row>
    <row r="20" spans="2:10" x14ac:dyDescent="0.3">
      <c r="B20" t="s">
        <v>394</v>
      </c>
      <c r="C20" s="38">
        <v>12667641</v>
      </c>
      <c r="D20" s="38">
        <v>8211964</v>
      </c>
      <c r="E20" s="38">
        <v>7812084</v>
      </c>
      <c r="F20" s="38">
        <v>2881008</v>
      </c>
      <c r="G20" s="38">
        <v>9567085</v>
      </c>
      <c r="H20" s="38">
        <v>-3580903</v>
      </c>
      <c r="I20" s="38">
        <v>19562956</v>
      </c>
      <c r="J20" s="38">
        <v>9126301</v>
      </c>
    </row>
    <row r="21" spans="2:10" x14ac:dyDescent="0.3">
      <c r="B21" t="s">
        <v>24</v>
      </c>
      <c r="C21" s="38">
        <v>1730659</v>
      </c>
      <c r="D21" s="38">
        <v>862074</v>
      </c>
      <c r="E21" s="38">
        <v>1071894</v>
      </c>
      <c r="F21" s="38">
        <v>410754</v>
      </c>
      <c r="G21" s="38">
        <v>907846</v>
      </c>
      <c r="H21" s="38">
        <v>-552444</v>
      </c>
      <c r="I21" s="38">
        <v>3155225</v>
      </c>
      <c r="J21" s="38">
        <v>1237602</v>
      </c>
    </row>
    <row r="22" spans="2:10" x14ac:dyDescent="0.3">
      <c r="B22" t="s">
        <v>395</v>
      </c>
      <c r="C22" s="38">
        <v>10936982</v>
      </c>
      <c r="D22" s="38">
        <v>7349890</v>
      </c>
      <c r="E22" s="38">
        <v>6740190</v>
      </c>
      <c r="F22" s="38">
        <v>2470254</v>
      </c>
      <c r="G22" s="38">
        <v>8659239</v>
      </c>
      <c r="H22" s="38">
        <v>-3028459</v>
      </c>
      <c r="I22" s="38">
        <v>16407731</v>
      </c>
      <c r="J22" s="38">
        <v>7888699</v>
      </c>
    </row>
    <row r="23" spans="2:10" x14ac:dyDescent="0.3">
      <c r="B23" t="s">
        <v>396</v>
      </c>
      <c r="C23" s="38">
        <v>1546</v>
      </c>
      <c r="D23" s="38">
        <v>1107</v>
      </c>
      <c r="E23" s="38">
        <v>1245</v>
      </c>
      <c r="F23" s="38">
        <v>-1471</v>
      </c>
      <c r="G23" s="38">
        <v>1220</v>
      </c>
      <c r="H23" s="38">
        <v>-1607</v>
      </c>
      <c r="I23" s="38">
        <v>-1869</v>
      </c>
      <c r="J23" s="38">
        <v>1813</v>
      </c>
    </row>
    <row r="24" spans="2:10" x14ac:dyDescent="0.3">
      <c r="B24" t="s">
        <v>397</v>
      </c>
      <c r="C24" s="38">
        <v>10938528</v>
      </c>
      <c r="D24" s="38">
        <v>7350997</v>
      </c>
      <c r="E24" s="38">
        <v>6741435</v>
      </c>
      <c r="F24" s="38">
        <v>2468783</v>
      </c>
      <c r="G24" s="38">
        <v>8660459</v>
      </c>
      <c r="H24" s="38">
        <v>-3030066</v>
      </c>
      <c r="I24" s="38">
        <v>16405862</v>
      </c>
      <c r="J24" s="38">
        <v>7890512</v>
      </c>
    </row>
    <row r="25" spans="2:10" x14ac:dyDescent="0.3">
      <c r="B25" t="s">
        <v>402</v>
      </c>
      <c r="C25" s="38">
        <v>4465397</v>
      </c>
      <c r="D25" s="38">
        <v>3419553</v>
      </c>
      <c r="E25" s="38">
        <v>2382405</v>
      </c>
      <c r="F25" s="38">
        <v>-6470284</v>
      </c>
      <c r="G25" s="38">
        <v>2377804</v>
      </c>
      <c r="H25" s="38">
        <v>-433112</v>
      </c>
      <c r="I25" s="38">
        <v>4631158</v>
      </c>
      <c r="J25" s="38">
        <v>2617567</v>
      </c>
    </row>
    <row r="26" spans="2:10" x14ac:dyDescent="0.3">
      <c r="B26" t="s">
        <v>398</v>
      </c>
      <c r="C26" s="38">
        <v>6473131</v>
      </c>
      <c r="D26" s="38">
        <v>3931444</v>
      </c>
      <c r="E26" s="38">
        <v>4359030</v>
      </c>
      <c r="F26" s="38">
        <v>8939067</v>
      </c>
      <c r="G26" s="38">
        <v>6282655</v>
      </c>
      <c r="H26" s="38">
        <v>-2596954</v>
      </c>
      <c r="I26" s="38">
        <v>11774704</v>
      </c>
      <c r="J26" s="38">
        <v>5272945</v>
      </c>
    </row>
    <row r="27" spans="2:10" x14ac:dyDescent="0.3">
      <c r="B27" t="s">
        <v>399</v>
      </c>
    </row>
    <row r="28" spans="2:10" x14ac:dyDescent="0.3">
      <c r="B28" t="s">
        <v>400</v>
      </c>
      <c r="C28" s="38">
        <v>6233402</v>
      </c>
      <c r="D28" s="38">
        <v>3750123</v>
      </c>
      <c r="E28" s="38">
        <v>4216403</v>
      </c>
      <c r="F28" s="38">
        <v>8775188</v>
      </c>
      <c r="G28" s="38">
        <v>6095730</v>
      </c>
      <c r="H28" s="38">
        <v>-2743585</v>
      </c>
      <c r="I28" s="38">
        <v>11684581</v>
      </c>
      <c r="J28" s="38">
        <v>5217687</v>
      </c>
    </row>
    <row r="29" spans="2:10" x14ac:dyDescent="0.3">
      <c r="B29" t="s">
        <v>31</v>
      </c>
      <c r="C29" s="38">
        <v>239729</v>
      </c>
      <c r="D29" s="38">
        <v>181321</v>
      </c>
      <c r="E29" s="38">
        <v>142627</v>
      </c>
      <c r="F29" s="38">
        <v>163879</v>
      </c>
      <c r="G29" s="38">
        <v>186925</v>
      </c>
      <c r="H29" s="38">
        <v>146631</v>
      </c>
      <c r="I29" s="38">
        <v>90123</v>
      </c>
      <c r="J29" s="38">
        <v>55258</v>
      </c>
    </row>
    <row r="30" spans="2:10" x14ac:dyDescent="0.3">
      <c r="B30" t="s">
        <v>398</v>
      </c>
      <c r="C30" s="38">
        <v>6473131</v>
      </c>
      <c r="D30" s="38">
        <v>3931444</v>
      </c>
      <c r="E30" s="38">
        <v>4359030</v>
      </c>
      <c r="F30" s="38">
        <v>8939067</v>
      </c>
      <c r="G30" s="38">
        <v>6282655</v>
      </c>
      <c r="H30" s="38">
        <v>-2596954</v>
      </c>
      <c r="I30" s="38">
        <v>11774704</v>
      </c>
      <c r="J30" s="38">
        <v>5272945</v>
      </c>
    </row>
    <row r="32" spans="2:10" x14ac:dyDescent="0.3">
      <c r="B32" t="s">
        <v>401</v>
      </c>
      <c r="C32">
        <v>4.75</v>
      </c>
      <c r="D32">
        <v>2.86</v>
      </c>
      <c r="E32">
        <v>3.21</v>
      </c>
      <c r="F32">
        <v>7.08</v>
      </c>
      <c r="G32">
        <v>4.92</v>
      </c>
      <c r="H32">
        <v>-2.21</v>
      </c>
      <c r="I32">
        <v>9.42</v>
      </c>
      <c r="J32">
        <v>4.37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AFDF-7BC1-464A-9D4D-722094B97CAA}">
  <dimension ref="A1"/>
  <sheetViews>
    <sheetView workbookViewId="0">
      <selection activeCell="F13" sqref="F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FS (2)</vt:lpstr>
      <vt:lpstr>Cover</vt:lpstr>
      <vt:lpstr>FS</vt:lpstr>
      <vt:lpstr>Valuation</vt:lpstr>
      <vt:lpstr>Drivers</vt:lpstr>
      <vt:lpstr>Ratios</vt:lpstr>
      <vt:lpstr>more Breakups</vt:lpstr>
      <vt:lpstr>COMB N</vt:lpstr>
      <vt:lpstr>charts 1</vt:lpstr>
      <vt:lpstr>chart 2</vt:lpstr>
      <vt:lpstr>Price volume</vt:lpstr>
      <vt:lpstr>Quarterly</vt:lpstr>
      <vt:lpstr>Sheet1</vt:lpstr>
      <vt:lpstr>Drivers!Print_Area</vt:lpstr>
      <vt:lpstr>FS!Print_Area</vt:lpstr>
      <vt:lpstr>Drivers!Print_Titles</vt:lpstr>
      <vt:lpstr>FS!Print_Titles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Hansinee Beddage</dc:creator>
  <cp:lastModifiedBy>Kavithra Methnula</cp:lastModifiedBy>
  <cp:lastPrinted>2023-10-03T02:55:37Z</cp:lastPrinted>
  <dcterms:created xsi:type="dcterms:W3CDTF">2023-09-14T04:39:27Z</dcterms:created>
  <dcterms:modified xsi:type="dcterms:W3CDTF">2026-06-26T09:22:27Z</dcterms:modified>
</cp:coreProperties>
</file>