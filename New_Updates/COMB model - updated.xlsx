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BEON\script\backend\New_Updates\"/>
    </mc:Choice>
  </mc:AlternateContent>
  <xr:revisionPtr revIDLastSave="0" documentId="13_ncr:1_{7EF9190A-EF79-4258-87D4-930DBC91AAAD}" xr6:coauthVersionLast="47" xr6:coauthVersionMax="47" xr10:uidLastSave="{00000000-0000-0000-0000-000000000000}"/>
  <bookViews>
    <workbookView xWindow="-108" yWindow="-108" windowWidth="23256" windowHeight="12456" firstSheet="2" activeTab="2" xr2:uid="{93A02624-0DC0-4080-9159-B3C756B21157}"/>
  </bookViews>
  <sheets>
    <sheet name="FS (2)" sheetId="8" state="hidden" r:id="rId1"/>
    <sheet name="Cover" sheetId="4" r:id="rId2"/>
    <sheet name="FS" sheetId="2" r:id="rId3"/>
    <sheet name="Drivers" sheetId="6" r:id="rId4"/>
    <sheet name="Ratios" sheetId="11" r:id="rId5"/>
    <sheet name="Quarterly" sheetId="9" r:id="rId6"/>
    <sheet name="Sheet1" sheetId="10" r:id="rId7"/>
  </sheets>
  <definedNames>
    <definedName name="_xlnm.Print_Area" localSheetId="3">Drivers!$A$107:$H$520</definedName>
    <definedName name="_xlnm.Print_Area" localSheetId="2">FS!$A$1:$S$133</definedName>
    <definedName name="_xlnm.Print_Titles" localSheetId="3">Drivers!$4:$4</definedName>
    <definedName name="_xlnm.Print_Titles" localSheetId="2">FS!$4:$4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10" l="1"/>
  <c r="D90" i="10"/>
  <c r="C90" i="10"/>
  <c r="E41" i="10"/>
  <c r="D41" i="10"/>
  <c r="C41" i="10"/>
  <c r="H595" i="6" l="1"/>
  <c r="G17" i="11"/>
  <c r="H17" i="11"/>
  <c r="F17" i="11"/>
  <c r="J88" i="2"/>
  <c r="K88" i="2" s="1"/>
  <c r="D20" i="11"/>
  <c r="E20" i="11"/>
  <c r="F20" i="11"/>
  <c r="G20" i="11"/>
  <c r="H20" i="11"/>
  <c r="C20" i="11"/>
  <c r="P92" i="2"/>
  <c r="D15" i="11"/>
  <c r="E15" i="11"/>
  <c r="F15" i="11"/>
  <c r="G15" i="11"/>
  <c r="H15" i="11"/>
  <c r="C15" i="11"/>
  <c r="D14" i="11"/>
  <c r="E14" i="11"/>
  <c r="F14" i="11"/>
  <c r="G14" i="11"/>
  <c r="H14" i="11"/>
  <c r="C14" i="11"/>
  <c r="J87" i="2"/>
  <c r="K87" i="2" s="1"/>
  <c r="L87" i="2" s="1"/>
  <c r="M87" i="2" s="1"/>
  <c r="D16" i="11"/>
  <c r="E16" i="11"/>
  <c r="F16" i="11"/>
  <c r="G16" i="11"/>
  <c r="H16" i="11"/>
  <c r="C16" i="11"/>
  <c r="D7" i="11"/>
  <c r="E7" i="11"/>
  <c r="F7" i="11"/>
  <c r="G7" i="11"/>
  <c r="H7" i="11"/>
  <c r="C7" i="11"/>
  <c r="D13" i="11"/>
  <c r="E13" i="11"/>
  <c r="F13" i="11"/>
  <c r="G13" i="11"/>
  <c r="H13" i="11"/>
  <c r="C13" i="11"/>
  <c r="L88" i="2" l="1"/>
  <c r="M88" i="2" s="1"/>
  <c r="J36" i="2"/>
  <c r="H10" i="11" l="1"/>
  <c r="G10" i="11"/>
  <c r="F10" i="11"/>
  <c r="E10" i="11"/>
  <c r="D10" i="11"/>
  <c r="C10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L9" i="11"/>
  <c r="K9" i="11"/>
  <c r="J9" i="11"/>
  <c r="I9" i="11"/>
  <c r="C9" i="11"/>
  <c r="D9" i="11"/>
  <c r="E9" i="11"/>
  <c r="F9" i="11"/>
  <c r="G9" i="11"/>
  <c r="H9" i="11"/>
  <c r="C337" i="6"/>
  <c r="J586" i="6" l="1"/>
  <c r="K586" i="6"/>
  <c r="L586" i="6"/>
  <c r="I93" i="2" l="1"/>
  <c r="C8" i="11"/>
  <c r="D8" i="11"/>
  <c r="E8" i="11"/>
  <c r="F8" i="11"/>
  <c r="G8" i="11"/>
  <c r="H8" i="11"/>
  <c r="I586" i="6" l="1"/>
  <c r="D3" i="11"/>
  <c r="E3" i="11"/>
  <c r="F3" i="11"/>
  <c r="G3" i="11"/>
  <c r="H3" i="11"/>
  <c r="D4" i="11"/>
  <c r="E4" i="11"/>
  <c r="F4" i="11"/>
  <c r="G4" i="11"/>
  <c r="H4" i="11"/>
  <c r="C4" i="11"/>
  <c r="C3" i="11"/>
  <c r="D5" i="11"/>
  <c r="E5" i="11"/>
  <c r="F5" i="11"/>
  <c r="G5" i="11"/>
  <c r="H5" i="11"/>
  <c r="C5" i="11"/>
  <c r="D2" i="11"/>
  <c r="E2" i="11"/>
  <c r="F2" i="11"/>
  <c r="G2" i="11"/>
  <c r="H2" i="11"/>
  <c r="I2" i="11"/>
  <c r="J2" i="11"/>
  <c r="K2" i="11"/>
  <c r="L2" i="11"/>
  <c r="C2" i="11"/>
  <c r="C92" i="2"/>
  <c r="D92" i="2"/>
  <c r="E92" i="2"/>
  <c r="G92" i="2"/>
  <c r="H92" i="2"/>
  <c r="I92" i="2"/>
  <c r="C41" i="2"/>
  <c r="D41" i="2"/>
  <c r="E41" i="2"/>
  <c r="G41" i="2"/>
  <c r="H41" i="2"/>
  <c r="I41" i="2"/>
  <c r="C610" i="6"/>
  <c r="D610" i="6"/>
  <c r="E610" i="6"/>
  <c r="F610" i="6"/>
  <c r="G610" i="6"/>
  <c r="H610" i="6"/>
  <c r="I638" i="6"/>
  <c r="J638" i="6" s="1"/>
  <c r="K638" i="6" s="1"/>
  <c r="L638" i="6" s="1"/>
  <c r="I637" i="6"/>
  <c r="J637" i="6" s="1"/>
  <c r="K637" i="6" s="1"/>
  <c r="L637" i="6" s="1"/>
  <c r="I636" i="6"/>
  <c r="J636" i="6" s="1"/>
  <c r="K636" i="6" s="1"/>
  <c r="L636" i="6" s="1"/>
  <c r="I635" i="6"/>
  <c r="J635" i="6" s="1"/>
  <c r="K635" i="6" s="1"/>
  <c r="L635" i="6" s="1"/>
  <c r="I633" i="6"/>
  <c r="J633" i="6" s="1"/>
  <c r="K633" i="6" s="1"/>
  <c r="L633" i="6" s="1"/>
  <c r="C626" i="6"/>
  <c r="D626" i="6"/>
  <c r="E626" i="6"/>
  <c r="F626" i="6"/>
  <c r="C625" i="6"/>
  <c r="D625" i="6"/>
  <c r="E625" i="6"/>
  <c r="F625" i="6"/>
  <c r="I599" i="6"/>
  <c r="I534" i="6"/>
  <c r="I541" i="6" s="1"/>
  <c r="N206" i="6"/>
  <c r="C206" i="6"/>
  <c r="C207" i="6" s="1"/>
  <c r="D206" i="6"/>
  <c r="D207" i="6" s="1"/>
  <c r="E206" i="6"/>
  <c r="E207" i="6" s="1"/>
  <c r="F206" i="6"/>
  <c r="F207" i="6" s="1"/>
  <c r="G206" i="6"/>
  <c r="G207" i="6" s="1"/>
  <c r="H206" i="6"/>
  <c r="H207" i="6" s="1"/>
  <c r="J27" i="2"/>
  <c r="K27" i="2" s="1"/>
  <c r="L27" i="2" s="1"/>
  <c r="M27" i="2" s="1"/>
  <c r="N196" i="6"/>
  <c r="N184" i="6"/>
  <c r="N172" i="6"/>
  <c r="C202" i="6"/>
  <c r="D202" i="6"/>
  <c r="E202" i="6"/>
  <c r="F202" i="6"/>
  <c r="G202" i="6"/>
  <c r="H202" i="6"/>
  <c r="I184" i="6"/>
  <c r="J184" i="6" s="1"/>
  <c r="K184" i="6" s="1"/>
  <c r="L184" i="6" s="1"/>
  <c r="M22" i="2" s="1"/>
  <c r="D192" i="6"/>
  <c r="E192" i="6"/>
  <c r="F192" i="6"/>
  <c r="G192" i="6"/>
  <c r="H192" i="6"/>
  <c r="O27" i="2"/>
  <c r="O28" i="2"/>
  <c r="O29" i="2"/>
  <c r="O30" i="2"/>
  <c r="O31" i="2"/>
  <c r="O32" i="2"/>
  <c r="I172" i="6"/>
  <c r="J21" i="2" s="1"/>
  <c r="D180" i="6"/>
  <c r="E180" i="6"/>
  <c r="F180" i="6"/>
  <c r="G180" i="6"/>
  <c r="H180" i="6"/>
  <c r="I155" i="6"/>
  <c r="J155" i="6" s="1"/>
  <c r="K155" i="6" s="1"/>
  <c r="L155" i="6" s="1"/>
  <c r="M20" i="2" s="1"/>
  <c r="N155" i="6"/>
  <c r="D168" i="6"/>
  <c r="E168" i="6"/>
  <c r="F168" i="6"/>
  <c r="G168" i="6"/>
  <c r="H168" i="6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6" i="2"/>
  <c r="O25" i="2"/>
  <c r="N138" i="6"/>
  <c r="I123" i="6"/>
  <c r="J123" i="6" s="1"/>
  <c r="K123" i="6" s="1"/>
  <c r="L123" i="6" s="1"/>
  <c r="M15" i="2" s="1"/>
  <c r="J14" i="2"/>
  <c r="J106" i="6"/>
  <c r="K13" i="2" s="1"/>
  <c r="I106" i="6"/>
  <c r="J13" i="2" s="1"/>
  <c r="N93" i="6"/>
  <c r="C102" i="6"/>
  <c r="D102" i="6"/>
  <c r="E102" i="6"/>
  <c r="F102" i="6"/>
  <c r="G102" i="6"/>
  <c r="H102" i="6"/>
  <c r="N78" i="6"/>
  <c r="E89" i="6"/>
  <c r="F89" i="6"/>
  <c r="G89" i="6"/>
  <c r="H89" i="6"/>
  <c r="I9" i="6"/>
  <c r="G55" i="6"/>
  <c r="F55" i="6"/>
  <c r="E55" i="6"/>
  <c r="H55" i="6"/>
  <c r="C69" i="6"/>
  <c r="D69" i="6"/>
  <c r="E69" i="6"/>
  <c r="F69" i="6"/>
  <c r="G69" i="6"/>
  <c r="H69" i="6"/>
  <c r="C71" i="6"/>
  <c r="C72" i="6"/>
  <c r="D72" i="6"/>
  <c r="E72" i="6"/>
  <c r="F72" i="6"/>
  <c r="G72" i="6"/>
  <c r="H72" i="6"/>
  <c r="K5" i="9"/>
  <c r="K6" i="9"/>
  <c r="K7" i="9"/>
  <c r="N58" i="6"/>
  <c r="D71" i="6"/>
  <c r="E71" i="6"/>
  <c r="F71" i="6"/>
  <c r="G71" i="6"/>
  <c r="H71" i="6"/>
  <c r="C32" i="6"/>
  <c r="D32" i="6"/>
  <c r="E32" i="6"/>
  <c r="F32" i="6"/>
  <c r="G32" i="6"/>
  <c r="H32" i="6"/>
  <c r="C53" i="6"/>
  <c r="D53" i="6"/>
  <c r="E53" i="6"/>
  <c r="F53" i="6"/>
  <c r="G53" i="6"/>
  <c r="H53" i="6"/>
  <c r="K4" i="9"/>
  <c r="K3" i="9"/>
  <c r="G22" i="11" l="1"/>
  <c r="H22" i="11"/>
  <c r="F22" i="11"/>
  <c r="H6" i="11"/>
  <c r="F6" i="11"/>
  <c r="K14" i="2"/>
  <c r="J76" i="2"/>
  <c r="I611" i="6"/>
  <c r="C6" i="11"/>
  <c r="G6" i="11"/>
  <c r="E6" i="11"/>
  <c r="D6" i="11"/>
  <c r="J599" i="6"/>
  <c r="K106" i="6"/>
  <c r="K22" i="2"/>
  <c r="J22" i="2"/>
  <c r="L22" i="2"/>
  <c r="J20" i="2"/>
  <c r="L20" i="2"/>
  <c r="K20" i="2"/>
  <c r="L15" i="2"/>
  <c r="K15" i="2"/>
  <c r="J15" i="2"/>
  <c r="C52" i="6"/>
  <c r="D52" i="6"/>
  <c r="E52" i="6"/>
  <c r="F52" i="6"/>
  <c r="G52" i="6"/>
  <c r="H52" i="6"/>
  <c r="N7" i="6"/>
  <c r="P33" i="2"/>
  <c r="O33" i="2" s="1"/>
  <c r="C230" i="6"/>
  <c r="D230" i="6"/>
  <c r="E230" i="6"/>
  <c r="F230" i="6"/>
  <c r="G230" i="6"/>
  <c r="H230" i="6"/>
  <c r="I468" i="6"/>
  <c r="J468" i="6" s="1"/>
  <c r="D469" i="6"/>
  <c r="E469" i="6"/>
  <c r="F469" i="6"/>
  <c r="G469" i="6"/>
  <c r="H469" i="6"/>
  <c r="I462" i="6"/>
  <c r="J60" i="2" s="1"/>
  <c r="D464" i="6"/>
  <c r="E464" i="6"/>
  <c r="F464" i="6"/>
  <c r="G464" i="6"/>
  <c r="H464" i="6"/>
  <c r="C463" i="6"/>
  <c r="D463" i="6"/>
  <c r="E463" i="6"/>
  <c r="F463" i="6"/>
  <c r="G463" i="6"/>
  <c r="H463" i="6"/>
  <c r="I451" i="6"/>
  <c r="I445" i="6"/>
  <c r="I450" i="6"/>
  <c r="I444" i="6"/>
  <c r="J445" i="6" s="1"/>
  <c r="K451" i="6" s="1"/>
  <c r="D457" i="6"/>
  <c r="E457" i="6"/>
  <c r="F457" i="6"/>
  <c r="G457" i="6"/>
  <c r="D458" i="6"/>
  <c r="E458" i="6"/>
  <c r="F458" i="6"/>
  <c r="G458" i="6"/>
  <c r="H458" i="6"/>
  <c r="H457" i="6"/>
  <c r="I430" i="6"/>
  <c r="J430" i="6" s="1"/>
  <c r="K430" i="6" s="1"/>
  <c r="L430" i="6" s="1"/>
  <c r="M58" i="2" s="1"/>
  <c r="D431" i="6"/>
  <c r="E431" i="6"/>
  <c r="F431" i="6"/>
  <c r="G431" i="6"/>
  <c r="H431" i="6"/>
  <c r="I413" i="6"/>
  <c r="D424" i="6"/>
  <c r="E424" i="6"/>
  <c r="F424" i="6"/>
  <c r="G424" i="6"/>
  <c r="H424" i="6"/>
  <c r="I412" i="6"/>
  <c r="I404" i="6"/>
  <c r="J413" i="6" s="1"/>
  <c r="I405" i="6"/>
  <c r="D423" i="6"/>
  <c r="E423" i="6"/>
  <c r="F423" i="6"/>
  <c r="G423" i="6"/>
  <c r="H423" i="6"/>
  <c r="K599" i="6" l="1"/>
  <c r="J611" i="6"/>
  <c r="L14" i="2"/>
  <c r="K76" i="2"/>
  <c r="L106" i="6"/>
  <c r="M13" i="2" s="1"/>
  <c r="L13" i="2"/>
  <c r="I453" i="6"/>
  <c r="J450" i="6" s="1"/>
  <c r="I447" i="6"/>
  <c r="J444" i="6" s="1"/>
  <c r="K445" i="6" s="1"/>
  <c r="L451" i="6" s="1"/>
  <c r="K468" i="6"/>
  <c r="K61" i="2"/>
  <c r="J61" i="2"/>
  <c r="J462" i="6"/>
  <c r="J451" i="6"/>
  <c r="J405" i="6"/>
  <c r="I409" i="6"/>
  <c r="J404" i="6" s="1"/>
  <c r="K413" i="6" s="1"/>
  <c r="J58" i="2"/>
  <c r="K58" i="2"/>
  <c r="L58" i="2"/>
  <c r="I417" i="6"/>
  <c r="J412" i="6" s="1"/>
  <c r="J417" i="6" s="1"/>
  <c r="K412" i="6" s="1"/>
  <c r="I396" i="6"/>
  <c r="J56" i="2" s="1"/>
  <c r="J55" i="2"/>
  <c r="K55" i="2" l="1"/>
  <c r="M14" i="2"/>
  <c r="L599" i="6"/>
  <c r="L611" i="6" s="1"/>
  <c r="K611" i="6"/>
  <c r="M76" i="2"/>
  <c r="L76" i="2"/>
  <c r="J453" i="6"/>
  <c r="K450" i="6" s="1"/>
  <c r="K453" i="6" s="1"/>
  <c r="L450" i="6" s="1"/>
  <c r="L453" i="6" s="1"/>
  <c r="J447" i="6"/>
  <c r="K444" i="6" s="1"/>
  <c r="L445" i="6" s="1"/>
  <c r="I435" i="6"/>
  <c r="J59" i="2" s="1"/>
  <c r="K462" i="6"/>
  <c r="K60" i="2"/>
  <c r="L468" i="6"/>
  <c r="M61" i="2" s="1"/>
  <c r="L61" i="2"/>
  <c r="K405" i="6"/>
  <c r="K417" i="6"/>
  <c r="L412" i="6" s="1"/>
  <c r="J409" i="6"/>
  <c r="K404" i="6" s="1"/>
  <c r="J396" i="6"/>
  <c r="K396" i="6" s="1"/>
  <c r="L396" i="6" s="1"/>
  <c r="M56" i="2" s="1"/>
  <c r="C555" i="6"/>
  <c r="D555" i="6"/>
  <c r="E555" i="6"/>
  <c r="F555" i="6"/>
  <c r="G555" i="6"/>
  <c r="H555" i="6"/>
  <c r="C564" i="6"/>
  <c r="D564" i="6"/>
  <c r="E564" i="6"/>
  <c r="F564" i="6"/>
  <c r="G564" i="6"/>
  <c r="H564" i="6"/>
  <c r="C549" i="6"/>
  <c r="D549" i="6"/>
  <c r="E549" i="6"/>
  <c r="F549" i="6"/>
  <c r="G549" i="6"/>
  <c r="H549" i="6"/>
  <c r="I547" i="6"/>
  <c r="J547" i="6" s="1"/>
  <c r="K547" i="6" s="1"/>
  <c r="L547" i="6" s="1"/>
  <c r="M70" i="2" s="1"/>
  <c r="J534" i="6"/>
  <c r="K534" i="6" s="1"/>
  <c r="L534" i="6" s="1"/>
  <c r="M68" i="2" s="1"/>
  <c r="D541" i="6"/>
  <c r="E541" i="6"/>
  <c r="F541" i="6"/>
  <c r="G541" i="6"/>
  <c r="H541" i="6"/>
  <c r="C496" i="6"/>
  <c r="D496" i="6"/>
  <c r="E496" i="6"/>
  <c r="F496" i="6"/>
  <c r="G496" i="6"/>
  <c r="H496" i="6"/>
  <c r="I488" i="6"/>
  <c r="J488" i="6" s="1"/>
  <c r="K488" i="6" s="1"/>
  <c r="L488" i="6" s="1"/>
  <c r="M65" i="2" s="1"/>
  <c r="D489" i="6"/>
  <c r="E489" i="6"/>
  <c r="F489" i="6"/>
  <c r="G489" i="6"/>
  <c r="H489" i="6"/>
  <c r="J526" i="6"/>
  <c r="K526" i="6"/>
  <c r="L526" i="6"/>
  <c r="I526" i="6"/>
  <c r="C523" i="6"/>
  <c r="D523" i="6"/>
  <c r="E523" i="6"/>
  <c r="F523" i="6"/>
  <c r="G523" i="6"/>
  <c r="H523" i="6"/>
  <c r="L55" i="2" l="1"/>
  <c r="K447" i="6"/>
  <c r="K435" i="6" s="1"/>
  <c r="L59" i="2" s="1"/>
  <c r="J435" i="6"/>
  <c r="K59" i="2" s="1"/>
  <c r="K409" i="6"/>
  <c r="L404" i="6" s="1"/>
  <c r="L462" i="6"/>
  <c r="M60" i="2" s="1"/>
  <c r="L60" i="2"/>
  <c r="L405" i="6"/>
  <c r="L413" i="6"/>
  <c r="L417" i="6" s="1"/>
  <c r="K56" i="2"/>
  <c r="L56" i="2"/>
  <c r="K68" i="2"/>
  <c r="L68" i="2"/>
  <c r="K70" i="2"/>
  <c r="J68" i="2"/>
  <c r="L70" i="2"/>
  <c r="J70" i="2"/>
  <c r="J65" i="2"/>
  <c r="K65" i="2"/>
  <c r="L65" i="2"/>
  <c r="C247" i="6"/>
  <c r="D247" i="6"/>
  <c r="E247" i="6"/>
  <c r="F247" i="6"/>
  <c r="G247" i="6"/>
  <c r="H247" i="6"/>
  <c r="I252" i="6"/>
  <c r="D260" i="6"/>
  <c r="E260" i="6"/>
  <c r="F260" i="6"/>
  <c r="G260" i="6"/>
  <c r="H260" i="6"/>
  <c r="I266" i="6"/>
  <c r="I264" i="6"/>
  <c r="H267" i="6"/>
  <c r="G267" i="6"/>
  <c r="F267" i="6"/>
  <c r="E267" i="6"/>
  <c r="D267" i="6"/>
  <c r="D265" i="6"/>
  <c r="E265" i="6"/>
  <c r="F265" i="6"/>
  <c r="G265" i="6"/>
  <c r="H265" i="6"/>
  <c r="I275" i="6"/>
  <c r="J275" i="6" s="1"/>
  <c r="K275" i="6" s="1"/>
  <c r="L275" i="6" s="1"/>
  <c r="I276" i="6"/>
  <c r="J276" i="6" s="1"/>
  <c r="I274" i="6"/>
  <c r="J274" i="6" s="1"/>
  <c r="D280" i="6"/>
  <c r="E280" i="6"/>
  <c r="F280" i="6"/>
  <c r="G280" i="6"/>
  <c r="D281" i="6"/>
  <c r="E281" i="6"/>
  <c r="F281" i="6"/>
  <c r="G281" i="6"/>
  <c r="D282" i="6"/>
  <c r="E282" i="6"/>
  <c r="F282" i="6"/>
  <c r="G282" i="6"/>
  <c r="H281" i="6"/>
  <c r="H282" i="6"/>
  <c r="H280" i="6"/>
  <c r="I387" i="6"/>
  <c r="J387" i="6" s="1"/>
  <c r="K387" i="6" s="1"/>
  <c r="L387" i="6" s="1"/>
  <c r="I386" i="6"/>
  <c r="J386" i="6" s="1"/>
  <c r="K386" i="6" s="1"/>
  <c r="D391" i="6"/>
  <c r="E391" i="6"/>
  <c r="F391" i="6"/>
  <c r="G391" i="6"/>
  <c r="D392" i="6"/>
  <c r="E392" i="6"/>
  <c r="F392" i="6"/>
  <c r="G392" i="6"/>
  <c r="H392" i="6"/>
  <c r="H391" i="6"/>
  <c r="I352" i="6"/>
  <c r="J352" i="6" s="1"/>
  <c r="K352" i="6" s="1"/>
  <c r="L352" i="6" s="1"/>
  <c r="D366" i="6"/>
  <c r="E366" i="6"/>
  <c r="F366" i="6"/>
  <c r="G366" i="6"/>
  <c r="H366" i="6"/>
  <c r="I350" i="6"/>
  <c r="J350" i="6" s="1"/>
  <c r="K350" i="6" s="1"/>
  <c r="L350" i="6" s="1"/>
  <c r="I347" i="6"/>
  <c r="J347" i="6" s="1"/>
  <c r="K347" i="6" s="1"/>
  <c r="L347" i="6" s="1"/>
  <c r="I343" i="6"/>
  <c r="J343" i="6" s="1"/>
  <c r="D365" i="6"/>
  <c r="E365" i="6"/>
  <c r="F365" i="6"/>
  <c r="G365" i="6"/>
  <c r="H365" i="6"/>
  <c r="D364" i="6"/>
  <c r="E364" i="6"/>
  <c r="F364" i="6"/>
  <c r="G364" i="6"/>
  <c r="H364" i="6"/>
  <c r="D363" i="6"/>
  <c r="E363" i="6"/>
  <c r="F363" i="6"/>
  <c r="G363" i="6"/>
  <c r="H363" i="6"/>
  <c r="N380" i="6"/>
  <c r="C380" i="6"/>
  <c r="D380" i="6"/>
  <c r="E380" i="6"/>
  <c r="F380" i="6"/>
  <c r="G380" i="6"/>
  <c r="H380" i="6"/>
  <c r="N379" i="6"/>
  <c r="C379" i="6"/>
  <c r="D379" i="6"/>
  <c r="E379" i="6"/>
  <c r="F379" i="6"/>
  <c r="G379" i="6"/>
  <c r="H379" i="6"/>
  <c r="L323" i="6"/>
  <c r="K323" i="6"/>
  <c r="J323" i="6"/>
  <c r="I323" i="6"/>
  <c r="N315" i="6"/>
  <c r="N304" i="6"/>
  <c r="N301" i="6"/>
  <c r="N300" i="6"/>
  <c r="N299" i="6"/>
  <c r="N298" i="6"/>
  <c r="N297" i="6"/>
  <c r="N296" i="6"/>
  <c r="N295" i="6"/>
  <c r="N294" i="6"/>
  <c r="N293" i="6"/>
  <c r="C50" i="6"/>
  <c r="D50" i="6"/>
  <c r="E50" i="6"/>
  <c r="F50" i="6"/>
  <c r="G50" i="6"/>
  <c r="H50" i="6"/>
  <c r="C33" i="6"/>
  <c r="D33" i="6"/>
  <c r="E33" i="6"/>
  <c r="F33" i="6"/>
  <c r="G33" i="6"/>
  <c r="H33" i="6"/>
  <c r="H44" i="6"/>
  <c r="C31" i="6"/>
  <c r="D31" i="6"/>
  <c r="E31" i="6"/>
  <c r="F31" i="6"/>
  <c r="G31" i="6"/>
  <c r="H31" i="6"/>
  <c r="C28" i="6"/>
  <c r="D28" i="6"/>
  <c r="E28" i="6"/>
  <c r="F28" i="6"/>
  <c r="G28" i="6"/>
  <c r="C29" i="6"/>
  <c r="D29" i="6"/>
  <c r="E29" i="6"/>
  <c r="F29" i="6"/>
  <c r="G29" i="6"/>
  <c r="H29" i="6"/>
  <c r="H28" i="6"/>
  <c r="C27" i="6"/>
  <c r="D27" i="6"/>
  <c r="E27" i="6"/>
  <c r="F27" i="6"/>
  <c r="G27" i="6"/>
  <c r="H27" i="6"/>
  <c r="C26" i="6"/>
  <c r="D26" i="6"/>
  <c r="E26" i="6"/>
  <c r="F26" i="6"/>
  <c r="G26" i="6"/>
  <c r="H26" i="6"/>
  <c r="D640" i="6"/>
  <c r="E640" i="6"/>
  <c r="F640" i="6"/>
  <c r="G640" i="6"/>
  <c r="H640" i="6"/>
  <c r="C640" i="6"/>
  <c r="D623" i="6"/>
  <c r="E623" i="6"/>
  <c r="F623" i="6"/>
  <c r="G617" i="6"/>
  <c r="G626" i="6" s="1"/>
  <c r="H617" i="6"/>
  <c r="H626" i="6" s="1"/>
  <c r="C586" i="6"/>
  <c r="D586" i="6"/>
  <c r="E586" i="6"/>
  <c r="F586" i="6"/>
  <c r="G586" i="6"/>
  <c r="H586" i="6"/>
  <c r="C605" i="6"/>
  <c r="D605" i="6"/>
  <c r="E605" i="6"/>
  <c r="F605" i="6"/>
  <c r="G605" i="6"/>
  <c r="C606" i="6"/>
  <c r="D606" i="6"/>
  <c r="E606" i="6"/>
  <c r="F606" i="6"/>
  <c r="G606" i="6"/>
  <c r="H606" i="6"/>
  <c r="H605" i="6"/>
  <c r="H584" i="6"/>
  <c r="G584" i="6"/>
  <c r="F584" i="6"/>
  <c r="E584" i="6"/>
  <c r="D584" i="6"/>
  <c r="E576" i="6"/>
  <c r="F576" i="6"/>
  <c r="G576" i="6"/>
  <c r="H576" i="6"/>
  <c r="D576" i="6"/>
  <c r="C539" i="6"/>
  <c r="D539" i="6"/>
  <c r="E539" i="6"/>
  <c r="F539" i="6"/>
  <c r="G539" i="6"/>
  <c r="H539" i="6"/>
  <c r="C481" i="6"/>
  <c r="D481" i="6"/>
  <c r="E481" i="6"/>
  <c r="F481" i="6"/>
  <c r="G481" i="6"/>
  <c r="H481" i="6"/>
  <c r="C455" i="6"/>
  <c r="D455" i="6"/>
  <c r="E455" i="6"/>
  <c r="F455" i="6"/>
  <c r="G455" i="6"/>
  <c r="H455" i="6"/>
  <c r="C441" i="6"/>
  <c r="D441" i="6"/>
  <c r="E441" i="6"/>
  <c r="F441" i="6"/>
  <c r="G441" i="6"/>
  <c r="H441" i="6"/>
  <c r="C408" i="6"/>
  <c r="E416" i="6"/>
  <c r="E408" i="6"/>
  <c r="F408" i="6"/>
  <c r="F416" i="6"/>
  <c r="I419" i="6"/>
  <c r="I401" i="6" s="1"/>
  <c r="J57" i="2" s="1"/>
  <c r="J419" i="6"/>
  <c r="J401" i="6" s="1"/>
  <c r="K57" i="2" s="1"/>
  <c r="C419" i="6"/>
  <c r="D419" i="6"/>
  <c r="D421" i="6" s="1"/>
  <c r="E419" i="6"/>
  <c r="F419" i="6"/>
  <c r="G419" i="6"/>
  <c r="G421" i="6" s="1"/>
  <c r="H419" i="6"/>
  <c r="H421" i="6" s="1"/>
  <c r="C389" i="6"/>
  <c r="D389" i="6"/>
  <c r="E389" i="6"/>
  <c r="F389" i="6"/>
  <c r="G389" i="6"/>
  <c r="H389" i="6"/>
  <c r="C278" i="6"/>
  <c r="D278" i="6"/>
  <c r="E278" i="6"/>
  <c r="F278" i="6"/>
  <c r="G278" i="6"/>
  <c r="H278" i="6"/>
  <c r="C273" i="6"/>
  <c r="D273" i="6"/>
  <c r="E273" i="6"/>
  <c r="F273" i="6"/>
  <c r="G273" i="6"/>
  <c r="H273" i="6"/>
  <c r="C258" i="6"/>
  <c r="D258" i="6"/>
  <c r="E258" i="6"/>
  <c r="F258" i="6"/>
  <c r="G258" i="6"/>
  <c r="H258" i="6"/>
  <c r="C245" i="6"/>
  <c r="D245" i="6"/>
  <c r="E245" i="6"/>
  <c r="F245" i="6"/>
  <c r="G245" i="6"/>
  <c r="H245" i="6"/>
  <c r="C228" i="6"/>
  <c r="D228" i="6"/>
  <c r="E228" i="6"/>
  <c r="F228" i="6"/>
  <c r="G228" i="6"/>
  <c r="H228" i="6"/>
  <c r="R196" i="6"/>
  <c r="C175" i="6"/>
  <c r="C178" i="6" s="1"/>
  <c r="D175" i="6"/>
  <c r="E176" i="6"/>
  <c r="E178" i="6" s="1"/>
  <c r="F176" i="6"/>
  <c r="F178" i="6" s="1"/>
  <c r="C190" i="6"/>
  <c r="D190" i="6"/>
  <c r="E190" i="6"/>
  <c r="G190" i="6"/>
  <c r="H190" i="6"/>
  <c r="F190" i="6"/>
  <c r="G178" i="6"/>
  <c r="H178" i="6"/>
  <c r="G166" i="6"/>
  <c r="H166" i="6"/>
  <c r="C166" i="6"/>
  <c r="D166" i="6"/>
  <c r="E166" i="6"/>
  <c r="F166" i="6"/>
  <c r="R184" i="6"/>
  <c r="R172" i="6"/>
  <c r="R155" i="6"/>
  <c r="H144" i="6"/>
  <c r="H149" i="6" s="1"/>
  <c r="G144" i="6"/>
  <c r="G149" i="6" s="1"/>
  <c r="C149" i="6"/>
  <c r="D149" i="6"/>
  <c r="E149" i="6"/>
  <c r="F149" i="6"/>
  <c r="R138" i="6"/>
  <c r="C129" i="6"/>
  <c r="C134" i="6" s="1"/>
  <c r="G128" i="6"/>
  <c r="G134" i="6" s="1"/>
  <c r="D134" i="6"/>
  <c r="E134" i="6"/>
  <c r="F134" i="6"/>
  <c r="H134" i="6"/>
  <c r="R123" i="6"/>
  <c r="C119" i="6"/>
  <c r="D119" i="6"/>
  <c r="E119" i="6"/>
  <c r="G119" i="6"/>
  <c r="H119" i="6"/>
  <c r="F119" i="6"/>
  <c r="R106" i="6"/>
  <c r="C100" i="6"/>
  <c r="D100" i="6"/>
  <c r="E100" i="6"/>
  <c r="F100" i="6"/>
  <c r="G100" i="6"/>
  <c r="H100" i="6"/>
  <c r="C87" i="6"/>
  <c r="D87" i="6"/>
  <c r="E87" i="6"/>
  <c r="F87" i="6"/>
  <c r="G87" i="6"/>
  <c r="H87" i="6"/>
  <c r="R93" i="6"/>
  <c r="R78" i="6"/>
  <c r="C74" i="6"/>
  <c r="D74" i="6"/>
  <c r="E74" i="6"/>
  <c r="F74" i="6"/>
  <c r="G74" i="6"/>
  <c r="H74" i="6"/>
  <c r="C22" i="6"/>
  <c r="D22" i="6"/>
  <c r="E22" i="6"/>
  <c r="G22" i="6"/>
  <c r="H22" i="6"/>
  <c r="F22" i="6"/>
  <c r="R58" i="6"/>
  <c r="R7" i="6"/>
  <c r="S23" i="2"/>
  <c r="S24" i="2"/>
  <c r="S25" i="2"/>
  <c r="S26" i="2"/>
  <c r="S27" i="2"/>
  <c r="S28" i="2"/>
  <c r="S29" i="2"/>
  <c r="S30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6" i="2"/>
  <c r="R90" i="2"/>
  <c r="Q90" i="2"/>
  <c r="R41" i="2"/>
  <c r="Q41" i="2"/>
  <c r="R33" i="2"/>
  <c r="Q33" i="2"/>
  <c r="C514" i="6"/>
  <c r="D514" i="6"/>
  <c r="E514" i="6"/>
  <c r="F514" i="6"/>
  <c r="G514" i="6"/>
  <c r="H514" i="6"/>
  <c r="C520" i="6"/>
  <c r="D520" i="6"/>
  <c r="E520" i="6"/>
  <c r="F520" i="6"/>
  <c r="G520" i="6"/>
  <c r="H520" i="6"/>
  <c r="D356" i="6"/>
  <c r="D358" i="6" s="1"/>
  <c r="D360" i="6" s="1"/>
  <c r="E356" i="6"/>
  <c r="E358" i="6" s="1"/>
  <c r="E360" i="6" s="1"/>
  <c r="F356" i="6"/>
  <c r="F358" i="6" s="1"/>
  <c r="F360" i="6" s="1"/>
  <c r="C373" i="6"/>
  <c r="C377" i="6" s="1"/>
  <c r="D373" i="6"/>
  <c r="D377" i="6" s="1"/>
  <c r="E373" i="6"/>
  <c r="E377" i="6" s="1"/>
  <c r="F373" i="6"/>
  <c r="F377" i="6" s="1"/>
  <c r="G373" i="6"/>
  <c r="G377" i="6" s="1"/>
  <c r="H373" i="6"/>
  <c r="H377" i="6" s="1"/>
  <c r="C356" i="6"/>
  <c r="C358" i="6" s="1"/>
  <c r="C360" i="6" s="1"/>
  <c r="G356" i="6"/>
  <c r="G358" i="6" s="1"/>
  <c r="G360" i="6" s="1"/>
  <c r="H356" i="6"/>
  <c r="H358" i="6" s="1"/>
  <c r="H360" i="6" s="1"/>
  <c r="P315" i="6"/>
  <c r="P301" i="6"/>
  <c r="P300" i="6"/>
  <c r="P299" i="6"/>
  <c r="P298" i="6"/>
  <c r="P297" i="6"/>
  <c r="P304" i="6"/>
  <c r="P296" i="6"/>
  <c r="P295" i="6"/>
  <c r="P294" i="6"/>
  <c r="P293" i="6"/>
  <c r="D333" i="6"/>
  <c r="E333" i="6"/>
  <c r="E334" i="6" s="1"/>
  <c r="F333" i="6"/>
  <c r="F334" i="6" s="1"/>
  <c r="G333" i="6"/>
  <c r="G334" i="6" s="1"/>
  <c r="H333" i="6"/>
  <c r="H334" i="6" s="1"/>
  <c r="D328" i="6"/>
  <c r="E328" i="6"/>
  <c r="F328" i="6"/>
  <c r="G328" i="6"/>
  <c r="D329" i="6"/>
  <c r="E329" i="6"/>
  <c r="F329" i="6"/>
  <c r="G329" i="6"/>
  <c r="D330" i="6"/>
  <c r="E330" i="6"/>
  <c r="F330" i="6"/>
  <c r="G330" i="6"/>
  <c r="H329" i="6"/>
  <c r="H330" i="6"/>
  <c r="H328" i="6"/>
  <c r="C117" i="8"/>
  <c r="H89" i="8"/>
  <c r="G89" i="8"/>
  <c r="F89" i="8"/>
  <c r="E89" i="8"/>
  <c r="D89" i="8"/>
  <c r="C89" i="8"/>
  <c r="H40" i="8"/>
  <c r="G40" i="8"/>
  <c r="F40" i="8"/>
  <c r="E40" i="8"/>
  <c r="D40" i="8"/>
  <c r="C40" i="8"/>
  <c r="L26" i="8"/>
  <c r="L28" i="8" s="1"/>
  <c r="L30" i="8" s="1"/>
  <c r="L33" i="8" s="1"/>
  <c r="K26" i="8"/>
  <c r="K28" i="8" s="1"/>
  <c r="K30" i="8" s="1"/>
  <c r="K33" i="8" s="1"/>
  <c r="J26" i="8"/>
  <c r="J28" i="8" s="1"/>
  <c r="J30" i="8" s="1"/>
  <c r="J33" i="8" s="1"/>
  <c r="L23" i="8"/>
  <c r="K23" i="8"/>
  <c r="J23" i="8"/>
  <c r="I23" i="8"/>
  <c r="K16" i="8"/>
  <c r="K18" i="8" s="1"/>
  <c r="J16" i="8"/>
  <c r="J18" i="8" s="1"/>
  <c r="I16" i="8"/>
  <c r="I18" i="8" s="1"/>
  <c r="I24" i="8" s="1"/>
  <c r="I26" i="8" s="1"/>
  <c r="I28" i="8" s="1"/>
  <c r="I30" i="8" s="1"/>
  <c r="I33" i="8" s="1"/>
  <c r="L12" i="8"/>
  <c r="L16" i="8" s="1"/>
  <c r="L18" i="8" s="1"/>
  <c r="K12" i="8"/>
  <c r="J12" i="8"/>
  <c r="I12" i="8"/>
  <c r="L9" i="8"/>
  <c r="K9" i="8"/>
  <c r="J9" i="8"/>
  <c r="I9" i="8"/>
  <c r="L6" i="8"/>
  <c r="K6" i="8"/>
  <c r="J6" i="8"/>
  <c r="I6" i="8"/>
  <c r="H90" i="2"/>
  <c r="G90" i="2"/>
  <c r="E90" i="2"/>
  <c r="D90" i="2"/>
  <c r="C90" i="2"/>
  <c r="I90" i="2"/>
  <c r="F301" i="6"/>
  <c r="F305" i="6" s="1"/>
  <c r="C301" i="6"/>
  <c r="C305" i="6" s="1"/>
  <c r="D301" i="6"/>
  <c r="D305" i="6" s="1"/>
  <c r="E301" i="6"/>
  <c r="E305" i="6" s="1"/>
  <c r="D311" i="6"/>
  <c r="D335" i="6" s="1"/>
  <c r="E311" i="6"/>
  <c r="E335" i="6" s="1"/>
  <c r="F311" i="6"/>
  <c r="F335" i="6" s="1"/>
  <c r="G311" i="6"/>
  <c r="G335" i="6" s="1"/>
  <c r="H311" i="6"/>
  <c r="H335" i="6" s="1"/>
  <c r="G315" i="6"/>
  <c r="G337" i="6" s="1"/>
  <c r="D315" i="6"/>
  <c r="E315" i="6"/>
  <c r="F315" i="6"/>
  <c r="H315" i="6"/>
  <c r="H337" i="6" s="1"/>
  <c r="H301" i="6"/>
  <c r="H305" i="6" s="1"/>
  <c r="H151" i="6" s="1"/>
  <c r="G301" i="6"/>
  <c r="G305" i="6" s="1"/>
  <c r="J23" i="2"/>
  <c r="C120" i="2"/>
  <c r="F337" i="6" l="1"/>
  <c r="E337" i="6"/>
  <c r="D337" i="6"/>
  <c r="J172" i="6"/>
  <c r="K21" i="2" s="1"/>
  <c r="K172" i="6"/>
  <c r="L21" i="2" s="1"/>
  <c r="M55" i="2"/>
  <c r="C588" i="6"/>
  <c r="C592" i="6"/>
  <c r="C591" i="6"/>
  <c r="H588" i="6"/>
  <c r="H591" i="6"/>
  <c r="H592" i="6"/>
  <c r="G588" i="6"/>
  <c r="G592" i="6"/>
  <c r="G591" i="6"/>
  <c r="F588" i="6"/>
  <c r="F591" i="6"/>
  <c r="F592" i="6"/>
  <c r="E588" i="6"/>
  <c r="E591" i="6"/>
  <c r="E592" i="6"/>
  <c r="D588" i="6"/>
  <c r="D592" i="6"/>
  <c r="D591" i="6"/>
  <c r="H623" i="6"/>
  <c r="H625" i="6"/>
  <c r="G623" i="6"/>
  <c r="G625" i="6"/>
  <c r="F248" i="6"/>
  <c r="F151" i="6"/>
  <c r="E248" i="6"/>
  <c r="E151" i="6"/>
  <c r="G248" i="6"/>
  <c r="G151" i="6"/>
  <c r="D248" i="6"/>
  <c r="D151" i="6"/>
  <c r="C248" i="6"/>
  <c r="C151" i="6"/>
  <c r="L444" i="6"/>
  <c r="L447" i="6" s="1"/>
  <c r="L435" i="6" s="1"/>
  <c r="M59" i="2" s="1"/>
  <c r="L409" i="6"/>
  <c r="L419" i="6" s="1"/>
  <c r="L401" i="6" s="1"/>
  <c r="M57" i="2" s="1"/>
  <c r="J252" i="6"/>
  <c r="K47" i="2" s="1"/>
  <c r="I11" i="6"/>
  <c r="K419" i="6"/>
  <c r="K401" i="6" s="1"/>
  <c r="L57" i="2" s="1"/>
  <c r="J264" i="6"/>
  <c r="J12" i="6" s="1"/>
  <c r="I12" i="6"/>
  <c r="J266" i="6"/>
  <c r="K49" i="2" s="1"/>
  <c r="I14" i="6"/>
  <c r="H483" i="6"/>
  <c r="H248" i="6"/>
  <c r="G522" i="6"/>
  <c r="G483" i="6"/>
  <c r="D522" i="6"/>
  <c r="D483" i="6"/>
  <c r="E522" i="6"/>
  <c r="E483" i="6"/>
  <c r="C522" i="6"/>
  <c r="C483" i="6"/>
  <c r="F522" i="6"/>
  <c r="F483" i="6"/>
  <c r="C529" i="6"/>
  <c r="C527" i="6"/>
  <c r="C526" i="6"/>
  <c r="C528" i="6"/>
  <c r="G526" i="6"/>
  <c r="G527" i="6"/>
  <c r="G528" i="6"/>
  <c r="G529" i="6"/>
  <c r="E528" i="6"/>
  <c r="E529" i="6"/>
  <c r="E526" i="6"/>
  <c r="E527" i="6"/>
  <c r="F526" i="6"/>
  <c r="F527" i="6"/>
  <c r="F528" i="6"/>
  <c r="F529" i="6"/>
  <c r="D526" i="6"/>
  <c r="D529" i="6"/>
  <c r="D527" i="6"/>
  <c r="D528" i="6"/>
  <c r="H527" i="6"/>
  <c r="H526" i="6"/>
  <c r="H528" i="6"/>
  <c r="H529" i="6"/>
  <c r="Q295" i="6"/>
  <c r="H522" i="6"/>
  <c r="J47" i="2"/>
  <c r="J49" i="2"/>
  <c r="J48" i="2"/>
  <c r="J273" i="6"/>
  <c r="J271" i="6" s="1"/>
  <c r="I273" i="6"/>
  <c r="I271" i="6" s="1"/>
  <c r="K276" i="6"/>
  <c r="K274" i="6"/>
  <c r="K273" i="6" s="1"/>
  <c r="I384" i="6"/>
  <c r="K384" i="6"/>
  <c r="L386" i="6"/>
  <c r="L384" i="6" s="1"/>
  <c r="J384" i="6"/>
  <c r="C375" i="6"/>
  <c r="H375" i="6"/>
  <c r="G375" i="6"/>
  <c r="F375" i="6"/>
  <c r="E375" i="6"/>
  <c r="D375" i="6"/>
  <c r="J356" i="6"/>
  <c r="K343" i="6"/>
  <c r="I356" i="6"/>
  <c r="N311" i="6"/>
  <c r="N320" i="6" s="1"/>
  <c r="Q296" i="6"/>
  <c r="Q293" i="6"/>
  <c r="Q301" i="6"/>
  <c r="N305" i="6"/>
  <c r="N522" i="6" s="1"/>
  <c r="Q300" i="6"/>
  <c r="Q294" i="6"/>
  <c r="Q299" i="6"/>
  <c r="Q298" i="6"/>
  <c r="Q297" i="6"/>
  <c r="H324" i="6"/>
  <c r="F325" i="6"/>
  <c r="D323" i="6"/>
  <c r="D325" i="6"/>
  <c r="F324" i="6"/>
  <c r="E324" i="6"/>
  <c r="D324" i="6"/>
  <c r="H323" i="6"/>
  <c r="F323" i="6"/>
  <c r="G323" i="6"/>
  <c r="H325" i="6"/>
  <c r="E323" i="6"/>
  <c r="G325" i="6"/>
  <c r="E325" i="6"/>
  <c r="G324" i="6"/>
  <c r="H309" i="6"/>
  <c r="G309" i="6"/>
  <c r="Q303" i="6"/>
  <c r="Q304" i="6"/>
  <c r="F309" i="6"/>
  <c r="E309" i="6"/>
  <c r="D309" i="6"/>
  <c r="C309" i="6"/>
  <c r="Q302" i="6"/>
  <c r="E421" i="6"/>
  <c r="F421" i="6"/>
  <c r="C421" i="6"/>
  <c r="H290" i="6"/>
  <c r="G290" i="6"/>
  <c r="F290" i="6"/>
  <c r="E290" i="6"/>
  <c r="D290" i="6"/>
  <c r="C290" i="6"/>
  <c r="D178" i="6"/>
  <c r="G307" i="6"/>
  <c r="E307" i="6"/>
  <c r="D307" i="6"/>
  <c r="P305" i="6"/>
  <c r="P311" i="6" s="1"/>
  <c r="P320" i="6" s="1"/>
  <c r="H320" i="6"/>
  <c r="F307" i="6"/>
  <c r="I305" i="6"/>
  <c r="H307" i="6"/>
  <c r="G320" i="6"/>
  <c r="C320" i="6"/>
  <c r="D320" i="6"/>
  <c r="E320" i="6"/>
  <c r="F320" i="6"/>
  <c r="L172" i="6" l="1"/>
  <c r="M21" i="2" s="1"/>
  <c r="M23" i="2" s="1"/>
  <c r="L23" i="2"/>
  <c r="K23" i="2"/>
  <c r="I16" i="6"/>
  <c r="I138" i="6"/>
  <c r="J17" i="2" s="1"/>
  <c r="I13" i="6"/>
  <c r="M54" i="2"/>
  <c r="L18" i="6"/>
  <c r="L54" i="2"/>
  <c r="K18" i="6"/>
  <c r="J50" i="2"/>
  <c r="I15" i="6"/>
  <c r="J54" i="2"/>
  <c r="I18" i="6"/>
  <c r="K50" i="2"/>
  <c r="J15" i="6"/>
  <c r="K54" i="2"/>
  <c r="J18" i="6"/>
  <c r="K264" i="6"/>
  <c r="K12" i="6" s="1"/>
  <c r="I234" i="6"/>
  <c r="J46" i="2" s="1"/>
  <c r="K266" i="6"/>
  <c r="J14" i="6"/>
  <c r="K252" i="6"/>
  <c r="J11" i="6"/>
  <c r="K48" i="2"/>
  <c r="I514" i="6"/>
  <c r="I501" i="6" s="1"/>
  <c r="I63" i="6" s="1"/>
  <c r="I475" i="6"/>
  <c r="J64" i="2" s="1"/>
  <c r="L276" i="6"/>
  <c r="K271" i="6"/>
  <c r="L274" i="6"/>
  <c r="L273" i="6" s="1"/>
  <c r="I373" i="6"/>
  <c r="I357" i="6" s="1"/>
  <c r="I358" i="6" s="1"/>
  <c r="I341" i="6" s="1"/>
  <c r="I17" i="6" s="1"/>
  <c r="J373" i="6"/>
  <c r="J357" i="6" s="1"/>
  <c r="J358" i="6" s="1"/>
  <c r="J341" i="6" s="1"/>
  <c r="J17" i="6" s="1"/>
  <c r="L343" i="6"/>
  <c r="L356" i="6" s="1"/>
  <c r="K356" i="6"/>
  <c r="I301" i="6"/>
  <c r="I314" i="6"/>
  <c r="I312" i="6"/>
  <c r="I313" i="6"/>
  <c r="I317" i="6" s="1"/>
  <c r="I303" i="6"/>
  <c r="I304" i="6"/>
  <c r="I302" i="6"/>
  <c r="J305" i="6"/>
  <c r="I294" i="6"/>
  <c r="I297" i="6"/>
  <c r="I300" i="6"/>
  <c r="I298" i="6"/>
  <c r="I295" i="6"/>
  <c r="I293" i="6"/>
  <c r="I296" i="6"/>
  <c r="I299" i="6"/>
  <c r="J16" i="6" l="1"/>
  <c r="J138" i="6"/>
  <c r="K17" i="2" s="1"/>
  <c r="L50" i="2"/>
  <c r="K15" i="6"/>
  <c r="L48" i="2"/>
  <c r="L264" i="6"/>
  <c r="L266" i="6"/>
  <c r="K14" i="6"/>
  <c r="L49" i="2"/>
  <c r="L252" i="6"/>
  <c r="K11" i="6"/>
  <c r="L47" i="2"/>
  <c r="J475" i="6"/>
  <c r="K64" i="2" s="1"/>
  <c r="J234" i="6"/>
  <c r="K46" i="2" s="1"/>
  <c r="I559" i="6"/>
  <c r="J73" i="2" s="1"/>
  <c r="I553" i="6"/>
  <c r="J71" i="2" s="1"/>
  <c r="J67" i="2"/>
  <c r="I494" i="6"/>
  <c r="J66" i="2" s="1"/>
  <c r="I69" i="6" s="1"/>
  <c r="I58" i="6" s="1"/>
  <c r="J8" i="2" s="1"/>
  <c r="J301" i="6"/>
  <c r="J514" i="6"/>
  <c r="J501" i="6" s="1"/>
  <c r="J63" i="6" s="1"/>
  <c r="L271" i="6"/>
  <c r="K53" i="2"/>
  <c r="J53" i="2"/>
  <c r="K373" i="6"/>
  <c r="K357" i="6" s="1"/>
  <c r="K358" i="6" s="1"/>
  <c r="K341" i="6" s="1"/>
  <c r="K17" i="6" s="1"/>
  <c r="L373" i="6"/>
  <c r="L357" i="6" s="1"/>
  <c r="L358" i="6" s="1"/>
  <c r="L341" i="6" s="1"/>
  <c r="L17" i="6" s="1"/>
  <c r="I318" i="6"/>
  <c r="I333" i="6"/>
  <c r="I334" i="6" s="1"/>
  <c r="J312" i="6"/>
  <c r="J313" i="6"/>
  <c r="J317" i="6" s="1"/>
  <c r="J314" i="6"/>
  <c r="I316" i="6"/>
  <c r="I311" i="6"/>
  <c r="I335" i="6" s="1"/>
  <c r="J303" i="6"/>
  <c r="J304" i="6"/>
  <c r="J302" i="6"/>
  <c r="I309" i="6"/>
  <c r="K305" i="6"/>
  <c r="J298" i="6"/>
  <c r="J294" i="6"/>
  <c r="J297" i="6"/>
  <c r="J300" i="6"/>
  <c r="J293" i="6"/>
  <c r="J295" i="6"/>
  <c r="J299" i="6"/>
  <c r="J296" i="6"/>
  <c r="I609" i="6" l="1"/>
  <c r="J77" i="2" s="1"/>
  <c r="I4" i="11"/>
  <c r="K16" i="6"/>
  <c r="K138" i="6"/>
  <c r="L17" i="2" s="1"/>
  <c r="M50" i="2"/>
  <c r="L15" i="6"/>
  <c r="M49" i="2"/>
  <c r="L14" i="6"/>
  <c r="M48" i="2"/>
  <c r="L12" i="6"/>
  <c r="M47" i="2"/>
  <c r="L11" i="6"/>
  <c r="K475" i="6"/>
  <c r="L64" i="2" s="1"/>
  <c r="K234" i="6"/>
  <c r="L46" i="2" s="1"/>
  <c r="J559" i="6"/>
  <c r="K73" i="2" s="1"/>
  <c r="J553" i="6"/>
  <c r="K71" i="2" s="1"/>
  <c r="K67" i="2"/>
  <c r="J494" i="6"/>
  <c r="K66" i="2" s="1"/>
  <c r="J69" i="6" s="1"/>
  <c r="J58" i="6" s="1"/>
  <c r="K8" i="2" s="1"/>
  <c r="K301" i="6"/>
  <c r="K514" i="6"/>
  <c r="K501" i="6" s="1"/>
  <c r="K63" i="6" s="1"/>
  <c r="M53" i="2"/>
  <c r="L53" i="2"/>
  <c r="I315" i="6"/>
  <c r="J318" i="6"/>
  <c r="J333" i="6"/>
  <c r="J334" i="6" s="1"/>
  <c r="K314" i="6"/>
  <c r="K312" i="6"/>
  <c r="K313" i="6"/>
  <c r="K317" i="6" s="1"/>
  <c r="J311" i="6"/>
  <c r="J335" i="6" s="1"/>
  <c r="J316" i="6"/>
  <c r="K303" i="6"/>
  <c r="K304" i="6"/>
  <c r="K302" i="6"/>
  <c r="J309" i="6"/>
  <c r="L305" i="6"/>
  <c r="K294" i="6"/>
  <c r="K297" i="6"/>
  <c r="K300" i="6"/>
  <c r="K295" i="6"/>
  <c r="K298" i="6"/>
  <c r="K296" i="6"/>
  <c r="K299" i="6"/>
  <c r="K293" i="6"/>
  <c r="I320" i="6" l="1"/>
  <c r="I289" i="6" s="1"/>
  <c r="I337" i="6"/>
  <c r="J4" i="11"/>
  <c r="J609" i="6"/>
  <c r="K77" i="2" s="1"/>
  <c r="L16" i="6"/>
  <c r="L138" i="6"/>
  <c r="M17" i="2" s="1"/>
  <c r="J52" i="2"/>
  <c r="I19" i="6"/>
  <c r="I7" i="6" s="1"/>
  <c r="J7" i="2" s="1"/>
  <c r="L475" i="6"/>
  <c r="M64" i="2" s="1"/>
  <c r="L234" i="6"/>
  <c r="M46" i="2" s="1"/>
  <c r="K559" i="6"/>
  <c r="L73" i="2" s="1"/>
  <c r="K553" i="6"/>
  <c r="L71" i="2" s="1"/>
  <c r="L67" i="2"/>
  <c r="K494" i="6"/>
  <c r="L66" i="2" s="1"/>
  <c r="K69" i="6" s="1"/>
  <c r="K58" i="6" s="1"/>
  <c r="L8" i="2" s="1"/>
  <c r="L301" i="6"/>
  <c r="L514" i="6"/>
  <c r="L501" i="6" s="1"/>
  <c r="L63" i="6" s="1"/>
  <c r="I290" i="6"/>
  <c r="I380" i="6"/>
  <c r="J315" i="6"/>
  <c r="K318" i="6"/>
  <c r="K333" i="6"/>
  <c r="K334" i="6" s="1"/>
  <c r="K316" i="6"/>
  <c r="K311" i="6"/>
  <c r="L312" i="6"/>
  <c r="L313" i="6"/>
  <c r="L317" i="6" s="1"/>
  <c r="L314" i="6"/>
  <c r="K309" i="6"/>
  <c r="L302" i="6"/>
  <c r="L303" i="6"/>
  <c r="L304" i="6"/>
  <c r="L294" i="6"/>
  <c r="L297" i="6"/>
  <c r="L300" i="6"/>
  <c r="L293" i="6"/>
  <c r="L295" i="6"/>
  <c r="L298" i="6"/>
  <c r="L296" i="6"/>
  <c r="L299" i="6"/>
  <c r="J320" i="6" l="1"/>
  <c r="J289" i="6" s="1"/>
  <c r="J337" i="6"/>
  <c r="K609" i="6"/>
  <c r="L77" i="2" s="1"/>
  <c r="K4" i="11"/>
  <c r="I196" i="6"/>
  <c r="J25" i="2" s="1"/>
  <c r="I3" i="11"/>
  <c r="I78" i="6"/>
  <c r="J9" i="2"/>
  <c r="K52" i="2"/>
  <c r="J19" i="6"/>
  <c r="L559" i="6"/>
  <c r="M73" i="2" s="1"/>
  <c r="L553" i="6"/>
  <c r="M71" i="2" s="1"/>
  <c r="M67" i="2"/>
  <c r="L494" i="6"/>
  <c r="M66" i="2" s="1"/>
  <c r="L69" i="6" s="1"/>
  <c r="L58" i="6" s="1"/>
  <c r="M8" i="2" s="1"/>
  <c r="J290" i="6"/>
  <c r="J380" i="6"/>
  <c r="K315" i="6"/>
  <c r="L318" i="6"/>
  <c r="L333" i="6"/>
  <c r="L334" i="6" s="1"/>
  <c r="K335" i="6"/>
  <c r="L311" i="6"/>
  <c r="L335" i="6" s="1"/>
  <c r="L316" i="6"/>
  <c r="L309" i="6"/>
  <c r="L609" i="6" l="1"/>
  <c r="M77" i="2" s="1"/>
  <c r="I6" i="11"/>
  <c r="I22" i="11"/>
  <c r="K320" i="6"/>
  <c r="K289" i="6" s="1"/>
  <c r="K337" i="6"/>
  <c r="I5" i="11"/>
  <c r="L4" i="11"/>
  <c r="J78" i="6"/>
  <c r="J10" i="2"/>
  <c r="I93" i="6"/>
  <c r="J11" i="2" s="1"/>
  <c r="L52" i="2"/>
  <c r="K19" i="6"/>
  <c r="K290" i="6"/>
  <c r="K380" i="6"/>
  <c r="L315" i="6"/>
  <c r="L320" i="6" l="1"/>
  <c r="L289" i="6" s="1"/>
  <c r="L337" i="6"/>
  <c r="K78" i="6"/>
  <c r="J12" i="2"/>
  <c r="J6" i="2"/>
  <c r="K10" i="2"/>
  <c r="J93" i="6"/>
  <c r="K11" i="2" s="1"/>
  <c r="M52" i="2"/>
  <c r="L19" i="6"/>
  <c r="L290" i="6"/>
  <c r="L380" i="6"/>
  <c r="I20" i="11" l="1"/>
  <c r="I16" i="11"/>
  <c r="I8" i="11"/>
  <c r="J16" i="2"/>
  <c r="I7" i="11" s="1"/>
  <c r="K12" i="2"/>
  <c r="L10" i="2"/>
  <c r="K93" i="6"/>
  <c r="L11" i="2" s="1"/>
  <c r="L78" i="6"/>
  <c r="M10" i="2" s="1"/>
  <c r="J18" i="2" l="1"/>
  <c r="J24" i="2" s="1"/>
  <c r="L93" i="6"/>
  <c r="M11" i="2" s="1"/>
  <c r="M12" i="2" s="1"/>
  <c r="L12" i="2"/>
  <c r="J26" i="2" l="1"/>
  <c r="J28" i="2" l="1"/>
  <c r="I206" i="6" l="1"/>
  <c r="J29" i="2" s="1"/>
  <c r="J30" i="2" s="1"/>
  <c r="I10" i="11" l="1"/>
  <c r="J31" i="2"/>
  <c r="J33" i="2"/>
  <c r="J32" i="2"/>
  <c r="I546" i="6"/>
  <c r="J69" i="2" s="1"/>
  <c r="J41" i="2" l="1"/>
  <c r="J74" i="2"/>
  <c r="J81" i="2"/>
  <c r="J34" i="2"/>
  <c r="I17" i="11" s="1"/>
  <c r="I592" i="6"/>
  <c r="I617" i="6"/>
  <c r="I620" i="6" l="1"/>
  <c r="I634" i="6" s="1"/>
  <c r="I631" i="6" s="1"/>
  <c r="J79" i="2" s="1"/>
  <c r="I619" i="6"/>
  <c r="I615" i="6" s="1"/>
  <c r="J78" i="2" s="1"/>
  <c r="J80" i="2" l="1"/>
  <c r="I591" i="6" l="1"/>
  <c r="J82" i="2"/>
  <c r="I595" i="6"/>
  <c r="J85" i="2" s="1"/>
  <c r="I11" i="11" l="1"/>
  <c r="J83" i="2"/>
  <c r="J62" i="2" l="1"/>
  <c r="I14" i="11" l="1"/>
  <c r="I12" i="11"/>
  <c r="I13" i="11"/>
  <c r="J45" i="2"/>
  <c r="I15" i="11" s="1"/>
  <c r="I379" i="6"/>
  <c r="I523" i="6"/>
  <c r="J9" i="6" l="1"/>
  <c r="J13" i="6" s="1"/>
  <c r="J7" i="6" s="1"/>
  <c r="K7" i="2" s="1"/>
  <c r="J92" i="2"/>
  <c r="J3" i="11" l="1"/>
  <c r="K6" i="2"/>
  <c r="K9" i="2"/>
  <c r="J196" i="6"/>
  <c r="K25" i="2" s="1"/>
  <c r="J20" i="11" l="1"/>
  <c r="J16" i="11"/>
  <c r="J6" i="11"/>
  <c r="J22" i="11"/>
  <c r="J5" i="11"/>
  <c r="K16" i="2"/>
  <c r="J7" i="11" s="1"/>
  <c r="J8" i="11"/>
  <c r="K18" i="2" l="1"/>
  <c r="K24" i="2" l="1"/>
  <c r="K26" i="2" l="1"/>
  <c r="K28" i="2" l="1"/>
  <c r="J206" i="6" l="1"/>
  <c r="K29" i="2" s="1"/>
  <c r="K30" i="2" l="1"/>
  <c r="J546" i="6"/>
  <c r="K69" i="2" s="1"/>
  <c r="J10" i="11" l="1"/>
  <c r="K74" i="2"/>
  <c r="K31" i="2"/>
  <c r="K32" i="2"/>
  <c r="K33" i="2"/>
  <c r="K81" i="2" l="1"/>
  <c r="K34" i="2"/>
  <c r="J592" i="6"/>
  <c r="J617" i="6"/>
  <c r="K41" i="2"/>
  <c r="J619" i="6" l="1"/>
  <c r="K36" i="2" s="1"/>
  <c r="J17" i="11" s="1"/>
  <c r="J620" i="6"/>
  <c r="J634" i="6" s="1"/>
  <c r="J631" i="6" s="1"/>
  <c r="K79" i="2" s="1"/>
  <c r="J615" i="6"/>
  <c r="K78" i="2" l="1"/>
  <c r="K80" i="2" l="1"/>
  <c r="J591" i="6" l="1"/>
  <c r="K82" i="2"/>
  <c r="J595" i="6"/>
  <c r="K85" i="2" s="1"/>
  <c r="J11" i="11" l="1"/>
  <c r="K83" i="2"/>
  <c r="K62" i="2" l="1"/>
  <c r="J14" i="11" l="1"/>
  <c r="J12" i="11"/>
  <c r="J13" i="11"/>
  <c r="K45" i="2"/>
  <c r="J15" i="11" s="1"/>
  <c r="J379" i="6"/>
  <c r="J523" i="6"/>
  <c r="K9" i="6" l="1"/>
  <c r="K13" i="6" s="1"/>
  <c r="K7" i="6" s="1"/>
  <c r="L7" i="2" s="1"/>
  <c r="K92" i="2"/>
  <c r="L6" i="2" l="1"/>
  <c r="K3" i="11"/>
  <c r="L9" i="2"/>
  <c r="K196" i="6"/>
  <c r="L25" i="2" s="1"/>
  <c r="K20" i="11" l="1"/>
  <c r="K16" i="11"/>
  <c r="K6" i="11"/>
  <c r="K22" i="11"/>
  <c r="L16" i="2"/>
  <c r="K7" i="11" s="1"/>
  <c r="K5" i="11"/>
  <c r="K8" i="11"/>
  <c r="L18" i="2" l="1"/>
  <c r="L24" i="2" l="1"/>
  <c r="L26" i="2" l="1"/>
  <c r="L28" i="2" l="1"/>
  <c r="K206" i="6" l="1"/>
  <c r="L29" i="2" s="1"/>
  <c r="L30" i="2" l="1"/>
  <c r="K546" i="6"/>
  <c r="L69" i="2" s="1"/>
  <c r="K10" i="11" l="1"/>
  <c r="L74" i="2"/>
  <c r="L33" i="2"/>
  <c r="L32" i="2"/>
  <c r="L31" i="2"/>
  <c r="L34" i="2" l="1"/>
  <c r="K592" i="6"/>
  <c r="K617" i="6"/>
  <c r="L41" i="2"/>
  <c r="L81" i="2"/>
  <c r="K620" i="6" l="1"/>
  <c r="K634" i="6" s="1"/>
  <c r="K631" i="6" s="1"/>
  <c r="L79" i="2" s="1"/>
  <c r="K619" i="6"/>
  <c r="K615" i="6" l="1"/>
  <c r="L36" i="2"/>
  <c r="K17" i="11" s="1"/>
  <c r="L78" i="2"/>
  <c r="L80" i="2" l="1"/>
  <c r="K591" i="6" l="1"/>
  <c r="L82" i="2"/>
  <c r="K595" i="6"/>
  <c r="L85" i="2" s="1"/>
  <c r="K11" i="11" l="1"/>
  <c r="L83" i="2"/>
  <c r="L62" i="2" l="1"/>
  <c r="K14" i="11" l="1"/>
  <c r="K12" i="11"/>
  <c r="K13" i="11"/>
  <c r="L45" i="2"/>
  <c r="K15" i="11" s="1"/>
  <c r="K379" i="6"/>
  <c r="K523" i="6"/>
  <c r="L9" i="6" l="1"/>
  <c r="L13" i="6" s="1"/>
  <c r="L7" i="6" s="1"/>
  <c r="M7" i="2" s="1"/>
  <c r="L92" i="2"/>
  <c r="L196" i="6" l="1"/>
  <c r="M25" i="2" s="1"/>
  <c r="L3" i="11"/>
  <c r="M9" i="2"/>
  <c r="M6" i="2"/>
  <c r="L8" i="11" l="1"/>
  <c r="L20" i="11"/>
  <c r="L16" i="11"/>
  <c r="L6" i="11"/>
  <c r="L22" i="11"/>
  <c r="M16" i="2"/>
  <c r="L5" i="11"/>
  <c r="M18" i="2" l="1"/>
  <c r="M24" i="2" s="1"/>
  <c r="M26" i="2" s="1"/>
  <c r="M28" i="2" s="1"/>
  <c r="L206" i="6" s="1"/>
  <c r="M29" i="2" s="1"/>
  <c r="L7" i="11"/>
  <c r="M30" i="2" l="1"/>
  <c r="L546" i="6"/>
  <c r="M69" i="2" s="1"/>
  <c r="M74" i="2" s="1"/>
  <c r="L10" i="11" l="1"/>
  <c r="M32" i="2"/>
  <c r="M81" i="2" s="1"/>
  <c r="M31" i="2"/>
  <c r="M33" i="2"/>
  <c r="M41" i="2" l="1"/>
  <c r="M34" i="2"/>
  <c r="L592" i="6"/>
  <c r="L617" i="6"/>
  <c r="L620" i="6" l="1"/>
  <c r="L634" i="6" s="1"/>
  <c r="L631" i="6" s="1"/>
  <c r="M79" i="2" s="1"/>
  <c r="L619" i="6"/>
  <c r="M36" i="2" s="1"/>
  <c r="L17" i="11" s="1"/>
  <c r="L615" i="6"/>
  <c r="M78" i="2" s="1"/>
  <c r="M80" i="2" l="1"/>
  <c r="L591" i="6" s="1"/>
  <c r="L595" i="6" l="1"/>
  <c r="M85" i="2" s="1"/>
  <c r="M82" i="2"/>
  <c r="M83" i="2" s="1"/>
  <c r="M62" i="2" s="1"/>
  <c r="L14" i="11" l="1"/>
  <c r="L12" i="11"/>
  <c r="L13" i="11"/>
  <c r="L11" i="11"/>
  <c r="M45" i="2"/>
  <c r="L379" i="6"/>
  <c r="L523" i="6"/>
  <c r="M92" i="2" l="1"/>
  <c r="L1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tc={27353BB4-BE06-44D7-BC91-CE71AFA2651B}</author>
    <author>tc={9916B379-35D6-41FA-B05E-1C34E40081B9}</author>
  </authors>
  <commentList>
    <comment ref="H313" authorId="0" shapeId="0" xr:uid="{27353BB4-BE06-44D7-BC91-CE71AFA2651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Significant credit risk but not impaired</t>
        </r>
      </text>
    </comment>
    <comment ref="H314" authorId="1" shapeId="0" xr:uid="{9916B379-35D6-41FA-B05E-1C34E40081B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 or impaired status</t>
        </r>
      </text>
    </comment>
  </commentList>
</comments>
</file>

<file path=xl/sharedStrings.xml><?xml version="1.0" encoding="utf-8"?>
<sst xmlns="http://schemas.openxmlformats.org/spreadsheetml/2006/main" count="1049" uniqueCount="388">
  <si>
    <t>Gross income</t>
  </si>
  <si>
    <t>Interest income</t>
  </si>
  <si>
    <t>Less: Interest expense</t>
  </si>
  <si>
    <t>Net interest income</t>
  </si>
  <si>
    <t>Fee and commission income</t>
  </si>
  <si>
    <t>Less: Fee and commission expense</t>
  </si>
  <si>
    <t>Net fee and commission income</t>
  </si>
  <si>
    <t>Net gains/(losses) from trading</t>
  </si>
  <si>
    <t>Net gains/(losses) from derecognition of financial assets</t>
  </si>
  <si>
    <t>Net other operating income</t>
  </si>
  <si>
    <t>Total operating income</t>
  </si>
  <si>
    <t>Less: Impairment charges and other losses</t>
  </si>
  <si>
    <t>Net operating income</t>
  </si>
  <si>
    <t>Depreciation and amortisation</t>
  </si>
  <si>
    <t>Other operating expenses</t>
  </si>
  <si>
    <t>Total operating expenses</t>
  </si>
  <si>
    <t>Operating profit before taxes on financial services</t>
  </si>
  <si>
    <t>Less: Taxes on financial services</t>
  </si>
  <si>
    <t>Operating profit after taxes on financial services</t>
  </si>
  <si>
    <t>Share of profit/(loss) of associate, net of tax</t>
  </si>
  <si>
    <t>Profit before tax</t>
  </si>
  <si>
    <t>Less: Income tax expense/(reversal)</t>
  </si>
  <si>
    <t>Profit for the year</t>
  </si>
  <si>
    <t>Profit attributable to:
Equity holders of the Bank</t>
  </si>
  <si>
    <t>Non-controlling interest</t>
  </si>
  <si>
    <t>Earnings per share
Basic earnings per ordinary share (Rs.)</t>
  </si>
  <si>
    <t>Diluted earnings per ordinary share (Rs.)</t>
  </si>
  <si>
    <t>Balances with Central Banks</t>
  </si>
  <si>
    <t>Placements with banks</t>
  </si>
  <si>
    <t>Securities purchased under resale agreements</t>
  </si>
  <si>
    <t>Derivative financial assets</t>
  </si>
  <si>
    <t>Financial assets recognised through profit or loss – measured at fair value</t>
  </si>
  <si>
    <t>Financial assets at amortised cost – loans and advances to other customers</t>
  </si>
  <si>
    <t>Financial assets at amortised cost – debt and other financial instruments</t>
  </si>
  <si>
    <t>Financial assets measured at fair value through other comprehensive income</t>
  </si>
  <si>
    <t>Investments in subsidiaries</t>
  </si>
  <si>
    <t>Investment in associate</t>
  </si>
  <si>
    <t>Property, plant and equipment and right-of-use assets</t>
  </si>
  <si>
    <t>Investment properties</t>
  </si>
  <si>
    <t>Intangible assets</t>
  </si>
  <si>
    <t>Deferred tax assets</t>
  </si>
  <si>
    <t>Other assets</t>
  </si>
  <si>
    <t>Total assets</t>
  </si>
  <si>
    <t>Derivative financial liabilities</t>
  </si>
  <si>
    <t>Securities sold under repurchase agreements</t>
  </si>
  <si>
    <t>Financial liabilities at amortised cost – due to depositors</t>
  </si>
  <si>
    <t>Financial liabilities at amortised cost – other borrowings</t>
  </si>
  <si>
    <t>Current tax liabilities</t>
  </si>
  <si>
    <t>Deferred tax liabilities</t>
  </si>
  <si>
    <t>Other liabilities</t>
  </si>
  <si>
    <t>Due to subsidiaries</t>
  </si>
  <si>
    <t>Subordinated liabilities</t>
  </si>
  <si>
    <t>Total liabilities</t>
  </si>
  <si>
    <t>Statutory reserves</t>
  </si>
  <si>
    <t>Retained earnings</t>
  </si>
  <si>
    <t>Other reserves</t>
  </si>
  <si>
    <t>Total equity attributable to equity holders of the Bank</t>
  </si>
  <si>
    <t>Total equity</t>
  </si>
  <si>
    <t>Total liabilities and equity</t>
  </si>
  <si>
    <t>Contingent liabilities and commitments</t>
  </si>
  <si>
    <t>Net assets value per ordinary share (Rs.)</t>
  </si>
  <si>
    <t>Number of customer service centres</t>
  </si>
  <si>
    <t>For the year ended December 31,</t>
  </si>
  <si>
    <t>Cash flows from operating activities Profit before income tax</t>
  </si>
  <si>
    <t>Change in operating assets</t>
  </si>
  <si>
    <t>Change in operating liabilities</t>
  </si>
  <si>
    <t>(Gains)/losses on sale of property, plant and equipment</t>
  </si>
  <si>
    <t>Share of (profit)/loss of associate, net of tax</t>
  </si>
  <si>
    <t>Dividends received from investments in associate and subsidiaries</t>
  </si>
  <si>
    <t>Interest expense on subordinated liabilities</t>
  </si>
  <si>
    <t>Net unrealised gains/(losses) arising from translating the Financial Statements of foreign operations</t>
  </si>
  <si>
    <t>Benefits paid on defined benefit plans</t>
  </si>
  <si>
    <t>Income tax paid</t>
  </si>
  <si>
    <t>Surcharge tax paid</t>
  </si>
  <si>
    <t>Net cash from/(used in) operating activities</t>
  </si>
  <si>
    <t>Proceeds from sale of property, plant and equipment</t>
  </si>
  <si>
    <t>Purchase of financial investments</t>
  </si>
  <si>
    <t>Proceeds from sale and maturity of financial investments</t>
  </si>
  <si>
    <t>Purchase of intangible assets</t>
  </si>
  <si>
    <t>Net cash from/(used in) investing activities</t>
  </si>
  <si>
    <t>Proceeds from issue of subordinated liabilities</t>
  </si>
  <si>
    <t>Redemption of subordinated liabilities</t>
  </si>
  <si>
    <t>Interest paid on subordinated liabilities</t>
  </si>
  <si>
    <t>Payment of lease liabilities/advance payment of right-of-use assets</t>
  </si>
  <si>
    <t>Dividend paid to non-controlling interest</t>
  </si>
  <si>
    <t>Dividend paid to shareholders</t>
  </si>
  <si>
    <t>Net cash from/(used in) financing activities</t>
  </si>
  <si>
    <t>Net increase/(decrease) in cash and cash equivalents</t>
  </si>
  <si>
    <t>Cash and cash equivalents as at January 01,</t>
  </si>
  <si>
    <t>Gross cash and cash equivalents as at December 31,</t>
  </si>
  <si>
    <t>Less: Impairment charges on cash and cash equivalents</t>
  </si>
  <si>
    <t>Cash and cash equivalents as per Statement of Financial Position</t>
  </si>
  <si>
    <t>Assets</t>
  </si>
  <si>
    <t>Cash and cash equivalents</t>
  </si>
  <si>
    <t>OCI</t>
  </si>
  <si>
    <t>Transfer of FV losses reclassification of debt from FVTOCI to AC</t>
  </si>
  <si>
    <t>Financial assets at amortised cost – loans and advances to banks</t>
  </si>
  <si>
    <t>Other items</t>
  </si>
  <si>
    <t>Less: Expenses</t>
  </si>
  <si>
    <t>Personnel expenses</t>
  </si>
  <si>
    <t>Liabilities</t>
  </si>
  <si>
    <t>Due to banks</t>
  </si>
  <si>
    <t>Equity</t>
  </si>
  <si>
    <t>Stated capital</t>
  </si>
  <si>
    <t>Non-cash items included in profit before tax</t>
  </si>
  <si>
    <t>Adjustments for:</t>
  </si>
  <si>
    <t>Purchase of property, plant and equipment</t>
  </si>
  <si>
    <t>Cash flows from investing activities</t>
  </si>
  <si>
    <t>Proceeds from issue of ordinary voting shares under employee share option plans</t>
  </si>
  <si>
    <t>Cash flows from financing activities</t>
  </si>
  <si>
    <t>(LKR '000 except per share data)</t>
  </si>
  <si>
    <t>COMMERCIAL BANK OF CEYLON PLC</t>
  </si>
  <si>
    <t>COMB X</t>
  </si>
  <si>
    <t>COMB N</t>
  </si>
  <si>
    <t>BALANCE SHEET</t>
  </si>
  <si>
    <t>INCOME STATEMENT</t>
  </si>
  <si>
    <t>CASH FLOW STATEMENT</t>
  </si>
  <si>
    <t>2023F</t>
  </si>
  <si>
    <t>2024F</t>
  </si>
  <si>
    <t>2025F</t>
  </si>
  <si>
    <t>2026F</t>
  </si>
  <si>
    <t>Number of employees</t>
  </si>
  <si>
    <t>Memorandum information</t>
  </si>
  <si>
    <t>Trade finance</t>
  </si>
  <si>
    <t>Lease/hire purchase receivable</t>
  </si>
  <si>
    <t>Credit cards</t>
  </si>
  <si>
    <t>Pawning</t>
  </si>
  <si>
    <t>Staff loans</t>
  </si>
  <si>
    <t>Housing loans</t>
  </si>
  <si>
    <t>Personal loans</t>
  </si>
  <si>
    <t>Term loans</t>
  </si>
  <si>
    <t>Short term</t>
  </si>
  <si>
    <t>Long term</t>
  </si>
  <si>
    <t>Bills of exchange</t>
  </si>
  <si>
    <t>Overdrafts</t>
  </si>
  <si>
    <t>Gross Loans and advances</t>
  </si>
  <si>
    <t>Gross loans and advances</t>
  </si>
  <si>
    <t>Stage 1</t>
  </si>
  <si>
    <t>Stage 2</t>
  </si>
  <si>
    <t>Stage 3 (*)</t>
  </si>
  <si>
    <t>Less: Provision for impairment</t>
  </si>
  <si>
    <t>Stage 3</t>
  </si>
  <si>
    <t>Net loans and advances</t>
  </si>
  <si>
    <t>IS check</t>
  </si>
  <si>
    <t>BS check</t>
  </si>
  <si>
    <t>Check</t>
  </si>
  <si>
    <t>% of impairment provisions provided</t>
  </si>
  <si>
    <t>Increase in Stage 3 gross loans</t>
  </si>
  <si>
    <t>Increase as a % of previous year's stage 2 gross loans</t>
  </si>
  <si>
    <t>% of stage 3 loans to total Gross loans</t>
  </si>
  <si>
    <t>Loan portfolio growth</t>
  </si>
  <si>
    <r>
      <rPr>
        <sz val="11"/>
        <rFont val="Calibri"/>
        <family val="2"/>
        <scheme val="minor"/>
      </rPr>
      <t>Treasury Bonds (*)</t>
    </r>
  </si>
  <si>
    <r>
      <rPr>
        <sz val="11"/>
        <rFont val="Calibri"/>
        <family val="2"/>
        <scheme val="minor"/>
      </rPr>
      <t>Sri Lanka Sovereign Bonds (SLSB) (*)</t>
    </r>
  </si>
  <si>
    <r>
      <rPr>
        <sz val="11"/>
        <rFont val="Calibri"/>
        <family val="2"/>
        <scheme val="minor"/>
      </rPr>
      <t>Treasury Bills</t>
    </r>
  </si>
  <si>
    <r>
      <rPr>
        <sz val="11"/>
        <rFont val="Calibri"/>
        <family val="2"/>
        <scheme val="minor"/>
      </rPr>
      <t>Treasury Bonds</t>
    </r>
  </si>
  <si>
    <r>
      <rPr>
        <sz val="11"/>
        <rFont val="Calibri"/>
        <family val="2"/>
        <scheme val="minor"/>
      </rPr>
      <t>Government Securities – Maldives</t>
    </r>
  </si>
  <si>
    <r>
      <rPr>
        <sz val="11"/>
        <rFont val="Calibri"/>
        <family val="2"/>
        <scheme val="minor"/>
      </rPr>
      <t>Other instruments</t>
    </r>
  </si>
  <si>
    <r>
      <rPr>
        <sz val="11"/>
        <rFont val="Calibri"/>
        <family val="2"/>
        <scheme val="minor"/>
      </rPr>
      <t>Debentures</t>
    </r>
  </si>
  <si>
    <r>
      <rPr>
        <sz val="11"/>
        <rFont val="Calibri"/>
        <family val="2"/>
        <scheme val="minor"/>
      </rPr>
      <t>Trust certificates</t>
    </r>
  </si>
  <si>
    <r>
      <rPr>
        <sz val="11"/>
        <rFont val="Calibri"/>
        <family val="2"/>
        <scheme val="minor"/>
      </rPr>
      <t>Corporate investments in Bangladesh</t>
    </r>
  </si>
  <si>
    <r>
      <rPr>
        <sz val="11"/>
        <rFont val="Calibri"/>
        <family val="2"/>
        <scheme val="minor"/>
      </rPr>
      <t>Less: Provision for impairment</t>
    </r>
  </si>
  <si>
    <t>Government Securities – Sri Lanka</t>
  </si>
  <si>
    <t>Sri Lanka Development Bonds (SLDB) (*)</t>
  </si>
  <si>
    <t>Government Securities – Bangladesh</t>
  </si>
  <si>
    <t>Total gross</t>
  </si>
  <si>
    <t>Impairments</t>
  </si>
  <si>
    <t>Equity securities</t>
  </si>
  <si>
    <t>Government securities (after impairment)</t>
  </si>
  <si>
    <t>Local currency</t>
  </si>
  <si>
    <t>Foreign currency</t>
  </si>
  <si>
    <t>Repo securities</t>
  </si>
  <si>
    <t>Savings deposits</t>
  </si>
  <si>
    <r>
      <rPr>
        <sz val="11"/>
        <rFont val="Calibri"/>
        <family val="2"/>
        <scheme val="minor"/>
      </rPr>
      <t>Current account balances</t>
    </r>
  </si>
  <si>
    <r>
      <rPr>
        <sz val="11"/>
        <rFont val="Calibri"/>
        <family val="2"/>
        <scheme val="minor"/>
      </rPr>
      <t>Time deposits</t>
    </r>
  </si>
  <si>
    <r>
      <rPr>
        <sz val="11"/>
        <rFont val="Calibri"/>
        <family val="2"/>
        <scheme val="minor"/>
      </rPr>
      <t>Other deposits</t>
    </r>
  </si>
  <si>
    <t>Local currency deposits</t>
  </si>
  <si>
    <t>Foreign currency deposits</t>
  </si>
  <si>
    <t>Current account balances</t>
  </si>
  <si>
    <t>Time deposits</t>
  </si>
  <si>
    <t>Other deposits</t>
  </si>
  <si>
    <t>By Product</t>
  </si>
  <si>
    <t>LIABILITIES</t>
  </si>
  <si>
    <t>1H2023</t>
  </si>
  <si>
    <t>1H2022</t>
  </si>
  <si>
    <t>Placements with Banks</t>
  </si>
  <si>
    <t>Financial assets recognized through profit or loss</t>
  </si>
  <si>
    <t>Derivatives</t>
  </si>
  <si>
    <t>Other financial instruments</t>
  </si>
  <si>
    <t>Financial assets at amortized cost - loans and advances to other customers</t>
  </si>
  <si>
    <t>Financial assets at amortized cost - debt and other financial instruments</t>
  </si>
  <si>
    <t>Interest accrued on impaired loans and advances to other customers</t>
  </si>
  <si>
    <t>Interest expense</t>
  </si>
  <si>
    <t>Refinance borrowings</t>
  </si>
  <si>
    <t>Foreign currency borrowings</t>
  </si>
  <si>
    <t>Interest expense on lease liabilities</t>
  </si>
  <si>
    <t>Loans and advances related services</t>
  </si>
  <si>
    <t>Credit and debit cards related services</t>
  </si>
  <si>
    <t>Trade and remittances related services</t>
  </si>
  <si>
    <t>Deposits related services</t>
  </si>
  <si>
    <t>Guarantees related services</t>
  </si>
  <si>
    <t>Other financial services</t>
  </si>
  <si>
    <t>Fee and commission expense</t>
  </si>
  <si>
    <t>Derivative financial instruments</t>
  </si>
  <si>
    <t>Foreign exchange gains/(losses) from banks and other customers</t>
  </si>
  <si>
    <t>Government Securities</t>
  </si>
  <si>
    <t>Net mark-to-market gains/(losses)</t>
  </si>
  <si>
    <t>Net capital gains</t>
  </si>
  <si>
    <t>Equities</t>
  </si>
  <si>
    <t>Dividend income</t>
  </si>
  <si>
    <t>Gains/(losses) on sale of property, plant and equipment</t>
  </si>
  <si>
    <t>Gains on revaluation of foreign exchange</t>
  </si>
  <si>
    <t>Recoveries o/a loans written off</t>
  </si>
  <si>
    <t>Dividend income from subsidiaries</t>
  </si>
  <si>
    <t>Dividend income from other equity securities</t>
  </si>
  <si>
    <t>Profit due to change in ownership</t>
  </si>
  <si>
    <t>Rental and other income</t>
  </si>
  <si>
    <t>Less: Profit due to change in ownership</t>
  </si>
  <si>
    <t>Loans and advances to other customers</t>
  </si>
  <si>
    <t>Individual impairment</t>
  </si>
  <si>
    <t>Collective impairment</t>
  </si>
  <si>
    <t>Other financial assets and off-balance sheet credit exposures</t>
  </si>
  <si>
    <t>Total impairment charges</t>
  </si>
  <si>
    <t>Direct write-offs</t>
  </si>
  <si>
    <t>Impairment charges and other losses</t>
  </si>
  <si>
    <t>Salary and bonus</t>
  </si>
  <si>
    <t>Pension costs</t>
  </si>
  <si>
    <t>Contributions to defined contribution/benefit plans –</t>
  </si>
  <si>
    <t>Funded schemes</t>
  </si>
  <si>
    <t>Contributions to defined benefit plans – Unfunded schemes</t>
  </si>
  <si>
    <t>Equity-settled share-based payment expense</t>
  </si>
  <si>
    <t>Other expenses</t>
  </si>
  <si>
    <t>PPE</t>
  </si>
  <si>
    <t>Right of use of assets</t>
  </si>
  <si>
    <t>Computer software</t>
  </si>
  <si>
    <t>Maintenance of property, plant, and equipment</t>
  </si>
  <si>
    <t>Establishment expenses</t>
  </si>
  <si>
    <t>Office administration expenses</t>
  </si>
  <si>
    <t>Deposit insurance premium</t>
  </si>
  <si>
    <t>Taxes on financial services</t>
  </si>
  <si>
    <t>VAT</t>
  </si>
  <si>
    <t>NBT</t>
  </si>
  <si>
    <t>Debt repayment</t>
  </si>
  <si>
    <t>Cash in hand</t>
  </si>
  <si>
    <t>Coins and notes held in local currency</t>
  </si>
  <si>
    <t>Coins and notes held in foreign currency</t>
  </si>
  <si>
    <t>Balances with banks</t>
  </si>
  <si>
    <t>Local banks</t>
  </si>
  <si>
    <t>Foreign banks</t>
  </si>
  <si>
    <t>Money at call and at short notice</t>
  </si>
  <si>
    <t>Gross cash and cash equivalents (*)</t>
  </si>
  <si>
    <t>Statutory balances with Central Banks</t>
  </si>
  <si>
    <t>Balances with Central Bank of Sri Lanka</t>
  </si>
  <si>
    <t>Balances with Bangladesh Bank</t>
  </si>
  <si>
    <t>Balances with Maldives Monetary Authority</t>
  </si>
  <si>
    <t>Non-statutory balances with Central Banks</t>
  </si>
  <si>
    <t>Placements within Sri Lanka</t>
  </si>
  <si>
    <t>Placements outside Sri Lanka</t>
  </si>
  <si>
    <t>Less: provision for impairments</t>
  </si>
  <si>
    <t>Government securities</t>
  </si>
  <si>
    <t>Treasury bills</t>
  </si>
  <si>
    <t>Treasury bonds</t>
  </si>
  <si>
    <t>Opening balance</t>
  </si>
  <si>
    <t>Capex / additions</t>
  </si>
  <si>
    <t>Disposals</t>
  </si>
  <si>
    <t>Exchange rate varaince</t>
  </si>
  <si>
    <t>Transfers / other adjustments</t>
  </si>
  <si>
    <t>Closing Balance</t>
  </si>
  <si>
    <t>Cost</t>
  </si>
  <si>
    <t>Accumulated depreciation</t>
  </si>
  <si>
    <t>Charge for the year</t>
  </si>
  <si>
    <t>Net book value</t>
  </si>
  <si>
    <t>Computer Software</t>
  </si>
  <si>
    <t>Software under development</t>
  </si>
  <si>
    <t>Goodwill</t>
  </si>
  <si>
    <t>Software</t>
  </si>
  <si>
    <t>Additions</t>
  </si>
  <si>
    <t>Amortization</t>
  </si>
  <si>
    <t>Closing balance</t>
  </si>
  <si>
    <t>Financial liabilities at amortized cost – due to depositors</t>
  </si>
  <si>
    <t>Borrowings from International Finance Corporation (IFC)</t>
  </si>
  <si>
    <t>Payable more than 1 year</t>
  </si>
  <si>
    <t>Payable within 1 year</t>
  </si>
  <si>
    <t>Issues to ESOP</t>
  </si>
  <si>
    <t>Issue for dividends</t>
  </si>
  <si>
    <t>Rights Issues</t>
  </si>
  <si>
    <t>Private placements</t>
  </si>
  <si>
    <t>VOTING Number of shares at year end</t>
  </si>
  <si>
    <t>NON VOTING Number of shares at year end</t>
  </si>
  <si>
    <t>Dividends - VOTING</t>
  </si>
  <si>
    <t>Dividends - NON VOTING</t>
  </si>
  <si>
    <t>Dividend per share issued</t>
  </si>
  <si>
    <t>VOTING</t>
  </si>
  <si>
    <t>NON VOTING</t>
  </si>
  <si>
    <t>TOTAL shares (VOTING + NV)</t>
  </si>
  <si>
    <t>Nominal value per share</t>
  </si>
  <si>
    <t>Other comprehensive</t>
  </si>
  <si>
    <t>Dividends paid</t>
  </si>
  <si>
    <t>Check - other adjustments</t>
  </si>
  <si>
    <t>Surcharge tax</t>
  </si>
  <si>
    <t>Revaluation reserve</t>
  </si>
  <si>
    <t>General reserve</t>
  </si>
  <si>
    <t>Fair value reserve</t>
  </si>
  <si>
    <t>Foreign currency translation reserve</t>
  </si>
  <si>
    <t>Employee share option reserve</t>
  </si>
  <si>
    <t>Hedging reserve</t>
  </si>
  <si>
    <t>Transfer to other reserves (general reserve)</t>
  </si>
  <si>
    <t>Interest rate</t>
  </si>
  <si>
    <t>Loan mix</t>
  </si>
  <si>
    <t>% of gross loans categorized under each stage</t>
  </si>
  <si>
    <t>Average AWPLR throughout the year</t>
  </si>
  <si>
    <t>Financail assets / total assets</t>
  </si>
  <si>
    <t>Financail assets / net loans and advances</t>
  </si>
  <si>
    <t>Growth YoY</t>
  </si>
  <si>
    <t>Gvt Sec - SL</t>
  </si>
  <si>
    <t>Gvt Sec - Maldives</t>
  </si>
  <si>
    <t>Gvt Sec - Bangladesh</t>
  </si>
  <si>
    <t>Other instruments</t>
  </si>
  <si>
    <t>Impairments to total gross financial assets</t>
  </si>
  <si>
    <t>Gsec - Growth YoY</t>
  </si>
  <si>
    <t>Equity - Growth YoY</t>
  </si>
  <si>
    <t>T Bills - Growth YoY</t>
  </si>
  <si>
    <t>T Bonds - Growth YoY</t>
  </si>
  <si>
    <t>As a % of deposits</t>
  </si>
  <si>
    <t>Total deposits / total assets</t>
  </si>
  <si>
    <t>Total deposits / gross loans and advances</t>
  </si>
  <si>
    <t>Deposit mix</t>
  </si>
  <si>
    <t>As a % of gross loans</t>
  </si>
  <si>
    <t>Growh YoY</t>
  </si>
  <si>
    <t>As a % of taxes</t>
  </si>
  <si>
    <t>Additions / opening balance</t>
  </si>
  <si>
    <t>Depreciaiton / opening balance</t>
  </si>
  <si>
    <t>Amortisation / opening balance</t>
  </si>
  <si>
    <t>As a % of PBT</t>
  </si>
  <si>
    <t>Cash as a % of deposits</t>
  </si>
  <si>
    <t>9M Sep23</t>
  </si>
  <si>
    <t>Quarter</t>
  </si>
  <si>
    <t>Period</t>
  </si>
  <si>
    <t>Less : Interest expense</t>
  </si>
  <si>
    <t>Less : Impairment charges and other losses</t>
  </si>
  <si>
    <t>Operating profit before Taxes on financial services</t>
  </si>
  <si>
    <t>Operating profit after Taxes on financial services</t>
  </si>
  <si>
    <t>Add/(less): Share of profit/(loss) of associate, net of tax</t>
  </si>
  <si>
    <t>Profit before income tax</t>
  </si>
  <si>
    <t>Profit for the period</t>
  </si>
  <si>
    <t>Profit attributable to:</t>
  </si>
  <si>
    <t>Equity holders of the Bank</t>
  </si>
  <si>
    <t>Earnings per share</t>
  </si>
  <si>
    <t>Less : Income tax expense / (reversal)</t>
  </si>
  <si>
    <t>Annualised</t>
  </si>
  <si>
    <t>For the quarter ended</t>
  </si>
  <si>
    <t>Deposit interest rate</t>
  </si>
  <si>
    <t>Other financial liabilities</t>
  </si>
  <si>
    <t>Interest expense except depositors</t>
  </si>
  <si>
    <t>Interest on opening cash</t>
  </si>
  <si>
    <t>As a % of loan book</t>
  </si>
  <si>
    <t>As a % of fee income</t>
  </si>
  <si>
    <t>Impairment as a % of gross loans</t>
  </si>
  <si>
    <t>As a % of opening PPE</t>
  </si>
  <si>
    <t>Taxes on interest income</t>
  </si>
  <si>
    <t>Income tax</t>
  </si>
  <si>
    <t>As a % pf PBT</t>
  </si>
  <si>
    <t>New debenture issue</t>
  </si>
  <si>
    <t>Dividend payout</t>
  </si>
  <si>
    <t>Transfer to general reserve out of profit</t>
  </si>
  <si>
    <t>Cash / total assets</t>
  </si>
  <si>
    <t>Net interest margin</t>
  </si>
  <si>
    <t>Interest rate spread</t>
  </si>
  <si>
    <t>NAVPS</t>
  </si>
  <si>
    <t>EPS</t>
  </si>
  <si>
    <t>Unadjusted</t>
  </si>
  <si>
    <t>Adjusted</t>
  </si>
  <si>
    <t>Diviend per share</t>
  </si>
  <si>
    <t>ROE</t>
  </si>
  <si>
    <t>Impairments provision / Gross loans</t>
  </si>
  <si>
    <t>Impairments/ Gross loans</t>
  </si>
  <si>
    <t>ROA</t>
  </si>
  <si>
    <t>Net margin</t>
  </si>
  <si>
    <t>Equity/ total assets</t>
  </si>
  <si>
    <t>Cost to income (operating)</t>
  </si>
  <si>
    <t>Gross income per employee</t>
  </si>
  <si>
    <t>Deposits / total assets</t>
  </si>
  <si>
    <t>Cost to income (with impairments)</t>
  </si>
  <si>
    <t>Gross income per service centre</t>
  </si>
  <si>
    <t>Avg. yield on interest earning assets</t>
  </si>
  <si>
    <t>Avg. cost on interest bearing funds</t>
  </si>
  <si>
    <t>Net interest spread</t>
  </si>
  <si>
    <t>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</si>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</sst>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indexed="8"/>
      <name val="Calibri"/>
      <family val="2"/>
    </font>
    <font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32">
    <xf numFmtId="0" fontId="0" fillId="0" borderId="0" xfId="0"/>
    <xf numFmtId="164" fontId="0" fillId="0" borderId="0" xfId="1" applyNumberFormat="1" applyFont="1"/>
    <xf numFmtId="0" fontId="4" fillId="0" borderId="0" xfId="0" applyFont="1"/>
    <xf numFmtId="0" fontId="0" fillId="0" borderId="0" xfId="0" applyAlignment="1">
      <alignment wrapText="1"/>
    </xf>
    <xf numFmtId="1" fontId="0" fillId="0" borderId="0" xfId="1" applyNumberFormat="1" applyFont="1"/>
    <xf numFmtId="0" fontId="0" fillId="2" borderId="0" xfId="0" applyFill="1"/>
    <xf numFmtId="0" fontId="0" fillId="3" borderId="0" xfId="0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2" fillId="2" borderId="0" xfId="0" applyFont="1" applyFill="1"/>
    <xf numFmtId="1" fontId="5" fillId="2" borderId="0" xfId="1" applyNumberFormat="1" applyFont="1" applyFill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4" fontId="0" fillId="0" borderId="2" xfId="0" applyNumberFormat="1" applyBorder="1"/>
    <xf numFmtId="0" fontId="0" fillId="0" borderId="0" xfId="0" applyAlignment="1">
      <alignment horizontal="right"/>
    </xf>
    <xf numFmtId="0" fontId="0" fillId="0" borderId="2" xfId="0" applyBorder="1"/>
    <xf numFmtId="0" fontId="8" fillId="0" borderId="0" xfId="0" applyFont="1"/>
    <xf numFmtId="43" fontId="8" fillId="0" borderId="0" xfId="1" applyFont="1"/>
    <xf numFmtId="0" fontId="0" fillId="0" borderId="0" xfId="0" applyAlignment="1">
      <alignment horizontal="left" indent="2"/>
    </xf>
    <xf numFmtId="164" fontId="9" fillId="0" borderId="1" xfId="1" applyNumberFormat="1" applyFont="1" applyBorder="1"/>
    <xf numFmtId="164" fontId="9" fillId="0" borderId="0" xfId="1" applyNumberFormat="1" applyFont="1"/>
    <xf numFmtId="164" fontId="9" fillId="0" borderId="0" xfId="1" applyNumberFormat="1" applyFont="1" applyBorder="1"/>
    <xf numFmtId="164" fontId="9" fillId="0" borderId="2" xfId="1" applyNumberFormat="1" applyFont="1" applyBorder="1"/>
    <xf numFmtId="43" fontId="9" fillId="0" borderId="0" xfId="1" applyFont="1"/>
    <xf numFmtId="164" fontId="9" fillId="0" borderId="0" xfId="1" applyNumberFormat="1" applyFont="1" applyFill="1"/>
    <xf numFmtId="164" fontId="10" fillId="0" borderId="0" xfId="1" applyNumberFormat="1" applyFont="1"/>
    <xf numFmtId="0" fontId="3" fillId="0" borderId="0" xfId="0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164" fontId="9" fillId="0" borderId="3" xfId="1" applyNumberFormat="1" applyFont="1" applyBorder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11" fillId="0" borderId="0" xfId="0" applyFont="1"/>
    <xf numFmtId="0" fontId="11" fillId="0" borderId="0" xfId="0" applyFont="1" applyAlignment="1">
      <alignment horizontal="left" indent="1"/>
    </xf>
    <xf numFmtId="165" fontId="0" fillId="0" borderId="0" xfId="1" applyNumberFormat="1" applyFont="1"/>
    <xf numFmtId="0" fontId="2" fillId="5" borderId="0" xfId="0" applyFont="1" applyFill="1"/>
    <xf numFmtId="164" fontId="3" fillId="0" borderId="0" xfId="0" applyNumberFormat="1" applyFont="1"/>
    <xf numFmtId="164" fontId="11" fillId="0" borderId="3" xfId="1" applyNumberFormat="1" applyFont="1" applyBorder="1"/>
    <xf numFmtId="164" fontId="5" fillId="2" borderId="0" xfId="0" applyNumberFormat="1" applyFont="1" applyFill="1"/>
    <xf numFmtId="164" fontId="0" fillId="0" borderId="3" xfId="0" applyNumberFormat="1" applyBorder="1"/>
    <xf numFmtId="164" fontId="8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horizontal="left" wrapText="1" indent="2"/>
    </xf>
    <xf numFmtId="164" fontId="11" fillId="0" borderId="0" xfId="1" applyNumberFormat="1" applyFont="1"/>
    <xf numFmtId="43" fontId="9" fillId="0" borderId="0" xfId="0" applyNumberFormat="1" applyFont="1"/>
    <xf numFmtId="164" fontId="11" fillId="0" borderId="0" xfId="1" applyNumberFormat="1" applyFont="1" applyBorder="1"/>
    <xf numFmtId="164" fontId="11" fillId="0" borderId="0" xfId="0" applyNumberFormat="1" applyFont="1"/>
    <xf numFmtId="164" fontId="11" fillId="0" borderId="3" xfId="0" applyNumberFormat="1" applyFont="1" applyBorder="1"/>
    <xf numFmtId="164" fontId="11" fillId="3" borderId="0" xfId="1" applyNumberFormat="1" applyFont="1" applyFill="1" applyBorder="1"/>
    <xf numFmtId="164" fontId="11" fillId="3" borderId="0" xfId="0" applyNumberFormat="1" applyFont="1" applyFill="1"/>
    <xf numFmtId="43" fontId="11" fillId="0" borderId="0" xfId="1" applyFont="1"/>
    <xf numFmtId="164" fontId="11" fillId="3" borderId="0" xfId="1" applyNumberFormat="1" applyFont="1" applyFill="1"/>
    <xf numFmtId="0" fontId="11" fillId="3" borderId="0" xfId="0" applyFont="1" applyFill="1"/>
    <xf numFmtId="0" fontId="11" fillId="0" borderId="3" xfId="0" applyFont="1" applyBorder="1"/>
    <xf numFmtId="1" fontId="11" fillId="2" borderId="0" xfId="1" applyNumberFormat="1" applyFont="1" applyFill="1"/>
    <xf numFmtId="0" fontId="11" fillId="2" borderId="0" xfId="0" applyFont="1" applyFill="1"/>
    <xf numFmtId="164" fontId="11" fillId="0" borderId="0" xfId="1" applyNumberFormat="1" applyFont="1" applyFill="1"/>
    <xf numFmtId="9" fontId="11" fillId="0" borderId="0" xfId="2" applyFont="1"/>
    <xf numFmtId="10" fontId="11" fillId="0" borderId="0" xfId="2" applyNumberFormat="1" applyFont="1"/>
    <xf numFmtId="3" fontId="11" fillId="0" borderId="0" xfId="0" applyNumberFormat="1" applyFont="1"/>
    <xf numFmtId="164" fontId="12" fillId="5" borderId="0" xfId="1" applyNumberFormat="1" applyFont="1" applyFill="1"/>
    <xf numFmtId="0" fontId="12" fillId="5" borderId="0" xfId="0" applyFont="1" applyFill="1"/>
    <xf numFmtId="9" fontId="9" fillId="0" borderId="0" xfId="0" applyNumberFormat="1" applyFont="1"/>
    <xf numFmtId="3" fontId="9" fillId="0" borderId="3" xfId="0" applyNumberFormat="1" applyFont="1" applyBorder="1"/>
    <xf numFmtId="3" fontId="9" fillId="0" borderId="0" xfId="0" applyNumberFormat="1" applyFont="1"/>
    <xf numFmtId="0" fontId="0" fillId="6" borderId="0" xfId="0" applyFill="1"/>
    <xf numFmtId="164" fontId="11" fillId="6" borderId="0" xfId="1" applyNumberFormat="1" applyFont="1" applyFill="1"/>
    <xf numFmtId="0" fontId="11" fillId="6" borderId="0" xfId="0" applyFont="1" applyFill="1"/>
    <xf numFmtId="164" fontId="11" fillId="0" borderId="0" xfId="1" applyNumberFormat="1" applyFont="1" applyFill="1" applyBorder="1"/>
    <xf numFmtId="0" fontId="3" fillId="0" borderId="0" xfId="0" applyFont="1" applyAlignment="1">
      <alignment horizontal="left" indent="1"/>
    </xf>
    <xf numFmtId="10" fontId="11" fillId="0" borderId="0" xfId="2" applyNumberFormat="1" applyFont="1" applyBorder="1"/>
    <xf numFmtId="0" fontId="0" fillId="0" borderId="0" xfId="0" applyAlignment="1">
      <alignment horizontal="left" indent="3"/>
    </xf>
    <xf numFmtId="0" fontId="0" fillId="0" borderId="0" xfId="0" applyAlignment="1">
      <alignment horizontal="left" indent="5"/>
    </xf>
    <xf numFmtId="164" fontId="11" fillId="0" borderId="2" xfId="1" applyNumberFormat="1" applyFont="1" applyBorder="1"/>
    <xf numFmtId="10" fontId="9" fillId="0" borderId="0" xfId="2" applyNumberFormat="1" applyFont="1" applyBorder="1"/>
    <xf numFmtId="164" fontId="9" fillId="0" borderId="3" xfId="1" applyNumberFormat="1" applyFont="1" applyFill="1" applyBorder="1"/>
    <xf numFmtId="10" fontId="9" fillId="0" borderId="0" xfId="0" applyNumberFormat="1" applyFont="1"/>
    <xf numFmtId="0" fontId="13" fillId="0" borderId="0" xfId="0" applyFont="1" applyAlignment="1">
      <alignment horizontal="center"/>
    </xf>
    <xf numFmtId="10" fontId="11" fillId="0" borderId="3" xfId="2" applyNumberFormat="1" applyFont="1" applyBorder="1"/>
    <xf numFmtId="10" fontId="9" fillId="0" borderId="0" xfId="2" applyNumberFormat="1" applyFont="1"/>
    <xf numFmtId="16" fontId="0" fillId="4" borderId="0" xfId="0" applyNumberFormat="1" applyFill="1"/>
    <xf numFmtId="0" fontId="2" fillId="5" borderId="0" xfId="0" applyFont="1" applyFill="1" applyAlignment="1">
      <alignment horizontal="right"/>
    </xf>
    <xf numFmtId="9" fontId="11" fillId="0" borderId="0" xfId="0" applyNumberFormat="1" applyFont="1"/>
    <xf numFmtId="10" fontId="11" fillId="0" borderId="0" xfId="0" applyNumberFormat="1" applyFont="1"/>
    <xf numFmtId="17" fontId="0" fillId="4" borderId="0" xfId="0" applyNumberFormat="1" applyFill="1"/>
    <xf numFmtId="10" fontId="0" fillId="0" borderId="0" xfId="2" applyNumberFormat="1" applyFont="1"/>
    <xf numFmtId="16" fontId="0" fillId="0" borderId="0" xfId="0" applyNumberFormat="1"/>
    <xf numFmtId="17" fontId="0" fillId="0" borderId="0" xfId="0" applyNumberFormat="1"/>
    <xf numFmtId="10" fontId="14" fillId="0" borderId="0" xfId="2" applyNumberFormat="1" applyFont="1"/>
    <xf numFmtId="3" fontId="0" fillId="0" borderId="3" xfId="0" applyNumberFormat="1" applyBorder="1"/>
    <xf numFmtId="43" fontId="0" fillId="0" borderId="0" xfId="0" applyNumberFormat="1"/>
    <xf numFmtId="164" fontId="0" fillId="7" borderId="1" xfId="0" applyNumberFormat="1" applyFill="1" applyBorder="1"/>
    <xf numFmtId="164" fontId="0" fillId="7" borderId="0" xfId="0" applyNumberFormat="1" applyFill="1"/>
    <xf numFmtId="164" fontId="0" fillId="7" borderId="2" xfId="0" applyNumberFormat="1" applyFill="1" applyBorder="1"/>
    <xf numFmtId="43" fontId="0" fillId="7" borderId="0" xfId="0" applyNumberFormat="1" applyFill="1"/>
    <xf numFmtId="164" fontId="3" fillId="7" borderId="0" xfId="1" applyNumberFormat="1" applyFont="1" applyFill="1" applyAlignment="1">
      <alignment horizontal="right"/>
    </xf>
    <xf numFmtId="1" fontId="0" fillId="0" borderId="0" xfId="0" applyNumberFormat="1"/>
    <xf numFmtId="10" fontId="0" fillId="0" borderId="0" xfId="0" applyNumberFormat="1"/>
    <xf numFmtId="2" fontId="11" fillId="0" borderId="0" xfId="0" applyNumberFormat="1" applyFont="1"/>
    <xf numFmtId="165" fontId="0" fillId="7" borderId="0" xfId="0" applyNumberFormat="1" applyFill="1"/>
    <xf numFmtId="9" fontId="0" fillId="0" borderId="0" xfId="2" applyFont="1"/>
    <xf numFmtId="1" fontId="2" fillId="8" borderId="0" xfId="0" applyNumberFormat="1" applyFont="1" applyFill="1" applyAlignment="1">
      <alignment horizontal="right"/>
    </xf>
    <xf numFmtId="10" fontId="0" fillId="9" borderId="0" xfId="2" applyNumberFormat="1" applyFont="1" applyFill="1"/>
    <xf numFmtId="10" fontId="0" fillId="9" borderId="0" xfId="0" applyNumberFormat="1" applyFill="1"/>
    <xf numFmtId="164" fontId="0" fillId="9" borderId="0" xfId="1" applyNumberFormat="1" applyFont="1" applyFill="1"/>
    <xf numFmtId="0" fontId="0" fillId="9" borderId="0" xfId="0" applyFill="1"/>
    <xf numFmtId="1" fontId="2" fillId="8" borderId="0" xfId="0" applyNumberFormat="1" applyFont="1" applyFill="1"/>
    <xf numFmtId="0" fontId="0" fillId="8" borderId="0" xfId="0" applyFill="1"/>
    <xf numFmtId="43" fontId="8" fillId="0" borderId="0" xfId="0" applyNumberFormat="1" applyFont="1"/>
    <xf numFmtId="0" fontId="16" fillId="10" borderId="0" xfId="0" applyFont="1" applyFill="1"/>
    <xf numFmtId="0" fontId="0" fillId="10" borderId="0" xfId="0" applyFill="1"/>
    <xf numFmtId="0" fontId="0" fillId="11" borderId="0" xfId="0" applyFill="1"/>
    <xf numFmtId="3" fontId="0" fillId="4" borderId="0" xfId="0" applyNumberFormat="1" applyFill="1"/>
    <xf numFmtId="164" fontId="0" fillId="0" borderId="0" xfId="1" applyNumberFormat="1" applyFont="1" applyFill="1"/>
    <xf numFmtId="164" fontId="3" fillId="0" borderId="0" xfId="1" applyNumberFormat="1" applyFont="1" applyFill="1" applyAlignment="1">
      <alignment horizontal="right"/>
    </xf>
    <xf numFmtId="1" fontId="5" fillId="0" borderId="0" xfId="1" applyNumberFormat="1" applyFont="1" applyFill="1"/>
    <xf numFmtId="43" fontId="8" fillId="0" borderId="0" xfId="1" applyFont="1" applyFill="1"/>
    <xf numFmtId="164" fontId="9" fillId="12" borderId="1" xfId="1" applyNumberFormat="1" applyFont="1" applyFill="1" applyBorder="1"/>
    <xf numFmtId="164" fontId="9" fillId="13" borderId="0" xfId="1" applyNumberFormat="1" applyFont="1" applyFill="1"/>
    <xf numFmtId="164" fontId="9" fillId="12" borderId="0" xfId="1" applyNumberFormat="1" applyFont="1" applyFill="1"/>
    <xf numFmtId="164" fontId="9" fillId="12" borderId="0" xfId="1" applyNumberFormat="1" applyFont="1" applyFill="1" applyBorder="1"/>
    <xf numFmtId="164" fontId="9" fillId="12" borderId="2" xfId="1" applyNumberFormat="1" applyFont="1" applyFill="1" applyBorder="1"/>
    <xf numFmtId="43" fontId="9" fillId="13" borderId="0" xfId="1" applyFont="1" applyFill="1"/>
    <xf numFmtId="164" fontId="0" fillId="13" borderId="0" xfId="1" applyNumberFormat="1" applyFont="1" applyFill="1"/>
    <xf numFmtId="164" fontId="9" fillId="13" borderId="2" xfId="1" applyNumberFormat="1" applyFont="1" applyFill="1" applyBorder="1"/>
    <xf numFmtId="164" fontId="9" fillId="13" borderId="3" xfId="1" applyNumberFormat="1" applyFont="1" applyFill="1" applyBorder="1"/>
    <xf numFmtId="164" fontId="10" fillId="13" borderId="0" xfId="1" applyNumberFormat="1" applyFont="1" applyFill="1"/>
    <xf numFmtId="164" fontId="3" fillId="13" borderId="0" xfId="1" applyNumberFormat="1" applyFont="1" applyFill="1"/>
    <xf numFmtId="10" fontId="0" fillId="13" borderId="0" xfId="2" applyNumberFormat="1" applyFont="1" applyFill="1"/>
  </cellXfs>
  <cellStyles count="4">
    <cellStyle name="Comma" xfId="1" builtinId="3"/>
    <cellStyle name="Comma 2" xfId="3" xr:uid="{3C8A7BCA-8DA7-4DAA-B16A-B73FFCEAD3AC}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12</xdr:row>
      <xdr:rowOff>152400</xdr:rowOff>
    </xdr:from>
    <xdr:to>
      <xdr:col>7</xdr:col>
      <xdr:colOff>167640</xdr:colOff>
      <xdr:row>18</xdr:row>
      <xdr:rowOff>160020</xdr:rowOff>
    </xdr:to>
    <xdr:pic>
      <xdr:nvPicPr>
        <xdr:cNvPr id="2" name="Picture 1" descr="Commercial Bank | Sri Lanka">
          <a:extLst>
            <a:ext uri="{FF2B5EF4-FFF2-40B4-BE49-F238E27FC236}">
              <a16:creationId xmlns:a16="http://schemas.microsoft.com/office/drawing/2014/main" id="{6E34B7DC-54DF-7255-FF6E-2136FCEA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529840"/>
          <a:ext cx="414528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nsinee Beddage" id="{27CC4F68-21BF-4D83-AFAE-46258CB10D91}" userId="S::hansinee@ambeonsecurities.lk::a49c40e1-8f24-4ead-ac13-ca55420146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13" dT="2023-09-30T03:37:43.86" personId="{27CC4F68-21BF-4D83-AFAE-46258CB10D91}" id="{27353BB4-BE06-44D7-BC91-CE71AFA2651B}">
    <text>Significant credit risk but not impaired</text>
  </threadedComment>
  <threadedComment ref="H314" dT="2023-09-30T03:37:38.98" personId="{27CC4F68-21BF-4D83-AFAE-46258CB10D91}" id="{9916B379-35D6-41FA-B05E-1C34E40081B9}">
    <text>Default or impaired status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236017-B89A-4065-8A0A-E18FE513981F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16D-41A9-4CB0-BF92-81B394A8AD32}">
  <dimension ref="B2:L129"/>
  <sheetViews>
    <sheetView workbookViewId="0">
      <pane xSplit="2" ySplit="4" topLeftCell="C5" activePane="bottomRight" state="frozen"/>
      <selection pane="topRight" activeCell="D1" sqref="D1"/>
      <selection pane="bottomLeft" activeCell="A3" sqref="A3"/>
      <selection pane="bottomRight" activeCell="E19" sqref="E19"/>
    </sheetView>
  </sheetViews>
  <sheetFormatPr defaultRowHeight="14.4" x14ac:dyDescent="0.3"/>
  <cols>
    <col min="2" max="2" width="63.44140625" customWidth="1"/>
    <col min="3" max="8" width="14.21875" style="1" customWidth="1"/>
    <col min="9" max="12" width="14.88671875" customWidth="1"/>
  </cols>
  <sheetData>
    <row r="2" spans="2:12" x14ac:dyDescent="0.3">
      <c r="C2" s="12"/>
      <c r="D2" s="12"/>
      <c r="E2" s="12"/>
      <c r="F2" s="12"/>
      <c r="G2" s="12"/>
      <c r="H2" s="12"/>
    </row>
    <row r="3" spans="2:12" x14ac:dyDescent="0.3">
      <c r="B3" t="s">
        <v>62</v>
      </c>
    </row>
    <row r="4" spans="2:12" x14ac:dyDescent="0.3">
      <c r="B4" t="s">
        <v>110</v>
      </c>
      <c r="C4" s="4">
        <v>2017</v>
      </c>
      <c r="D4" s="4">
        <v>2018</v>
      </c>
      <c r="E4" s="4">
        <v>2019</v>
      </c>
      <c r="F4" s="4">
        <v>2020</v>
      </c>
      <c r="G4" s="4">
        <v>2021</v>
      </c>
      <c r="H4" s="4">
        <v>2022</v>
      </c>
      <c r="I4" s="16" t="s">
        <v>117</v>
      </c>
      <c r="J4" s="16" t="s">
        <v>118</v>
      </c>
      <c r="K4" s="16" t="s">
        <v>119</v>
      </c>
      <c r="L4" s="16" t="s">
        <v>120</v>
      </c>
    </row>
    <row r="5" spans="2:12" s="7" customFormat="1" x14ac:dyDescent="0.3">
      <c r="B5" s="10" t="s">
        <v>115</v>
      </c>
      <c r="C5" s="11"/>
      <c r="D5" s="11"/>
      <c r="E5" s="11"/>
      <c r="F5" s="11"/>
      <c r="G5" s="11"/>
      <c r="H5" s="11"/>
    </row>
    <row r="6" spans="2:12" x14ac:dyDescent="0.3">
      <c r="B6" t="s">
        <v>0</v>
      </c>
      <c r="C6" s="21">
        <v>115605156</v>
      </c>
      <c r="D6" s="21">
        <v>139657195</v>
      </c>
      <c r="E6" s="21">
        <v>150741129</v>
      </c>
      <c r="F6" s="21">
        <v>151966413</v>
      </c>
      <c r="G6" s="21">
        <v>163675312</v>
      </c>
      <c r="H6" s="21">
        <v>280386944</v>
      </c>
      <c r="I6" s="13">
        <f>I7+I10+I13+I14+I15</f>
        <v>0</v>
      </c>
      <c r="J6" s="13">
        <f>J7+J10+J13+J14+J15</f>
        <v>0</v>
      </c>
      <c r="K6" s="13">
        <f>K7+K10+K13+K14+K15</f>
        <v>0</v>
      </c>
      <c r="L6" s="13">
        <f>L7+L10+L13+L14+L15</f>
        <v>0</v>
      </c>
    </row>
    <row r="7" spans="2:12" x14ac:dyDescent="0.3">
      <c r="B7" t="s">
        <v>1</v>
      </c>
      <c r="C7" s="22">
        <v>104049102</v>
      </c>
      <c r="D7" s="22">
        <v>118551239</v>
      </c>
      <c r="E7" s="22">
        <v>129287743</v>
      </c>
      <c r="F7" s="22">
        <v>124087713</v>
      </c>
      <c r="G7" s="22">
        <v>132818178</v>
      </c>
      <c r="H7" s="22">
        <v>222393079</v>
      </c>
    </row>
    <row r="8" spans="2:12" x14ac:dyDescent="0.3">
      <c r="B8" t="s">
        <v>2</v>
      </c>
      <c r="C8" s="22">
        <v>64481804</v>
      </c>
      <c r="D8" s="22">
        <v>72933030</v>
      </c>
      <c r="E8" s="22">
        <v>80931352</v>
      </c>
      <c r="F8" s="22">
        <v>73218911</v>
      </c>
      <c r="G8" s="22">
        <v>66401846</v>
      </c>
      <c r="H8" s="22">
        <v>137727868</v>
      </c>
    </row>
    <row r="9" spans="2:12" x14ac:dyDescent="0.3">
      <c r="B9" s="2" t="s">
        <v>3</v>
      </c>
      <c r="C9" s="21">
        <v>39567298</v>
      </c>
      <c r="D9" s="21">
        <v>45618209</v>
      </c>
      <c r="E9" s="21">
        <v>48356391</v>
      </c>
      <c r="F9" s="21">
        <v>50868802</v>
      </c>
      <c r="G9" s="21">
        <v>66416332</v>
      </c>
      <c r="H9" s="21">
        <v>84665211</v>
      </c>
      <c r="I9" s="13">
        <f>I7-I8</f>
        <v>0</v>
      </c>
      <c r="J9" s="13">
        <f>J7-J8</f>
        <v>0</v>
      </c>
      <c r="K9" s="13">
        <f>K7-K8</f>
        <v>0</v>
      </c>
      <c r="L9" s="13">
        <f>L7-L8</f>
        <v>0</v>
      </c>
    </row>
    <row r="10" spans="2:12" x14ac:dyDescent="0.3">
      <c r="B10" t="s">
        <v>4</v>
      </c>
      <c r="C10" s="22">
        <v>10510800</v>
      </c>
      <c r="D10" s="22">
        <v>12494090</v>
      </c>
      <c r="E10" s="22">
        <v>12874966</v>
      </c>
      <c r="F10" s="22">
        <v>11839689</v>
      </c>
      <c r="G10" s="22">
        <v>15917337</v>
      </c>
      <c r="H10" s="22">
        <v>26191530</v>
      </c>
    </row>
    <row r="11" spans="2:12" x14ac:dyDescent="0.3">
      <c r="B11" t="s">
        <v>5</v>
      </c>
      <c r="C11" s="22">
        <v>1586334</v>
      </c>
      <c r="D11" s="22">
        <v>1859698</v>
      </c>
      <c r="E11" s="22">
        <v>2123128</v>
      </c>
      <c r="F11" s="22">
        <v>2018014</v>
      </c>
      <c r="G11" s="22">
        <v>3675143</v>
      </c>
      <c r="H11" s="22">
        <v>6022429</v>
      </c>
    </row>
    <row r="12" spans="2:12" x14ac:dyDescent="0.3">
      <c r="B12" s="2" t="s">
        <v>6</v>
      </c>
      <c r="C12" s="21">
        <v>8924466</v>
      </c>
      <c r="D12" s="21">
        <v>10634392</v>
      </c>
      <c r="E12" s="21">
        <v>10751838</v>
      </c>
      <c r="F12" s="21">
        <v>9821675</v>
      </c>
      <c r="G12" s="21">
        <v>12242194</v>
      </c>
      <c r="H12" s="21">
        <v>20169101</v>
      </c>
      <c r="I12" s="13">
        <f>I10-I11</f>
        <v>0</v>
      </c>
      <c r="J12" s="13">
        <f>J10-J11</f>
        <v>0</v>
      </c>
      <c r="K12" s="13">
        <f>K10-K11</f>
        <v>0</v>
      </c>
      <c r="L12" s="13">
        <f>L10-L11</f>
        <v>0</v>
      </c>
    </row>
    <row r="13" spans="2:12" x14ac:dyDescent="0.3">
      <c r="B13" t="s">
        <v>7</v>
      </c>
      <c r="C13" s="22">
        <v>233956</v>
      </c>
      <c r="D13" s="22">
        <v>-3033236</v>
      </c>
      <c r="E13" s="22">
        <v>1360833</v>
      </c>
      <c r="F13" s="22">
        <v>1878060</v>
      </c>
      <c r="G13" s="22">
        <v>1936007</v>
      </c>
      <c r="H13" s="22">
        <v>35297450</v>
      </c>
      <c r="I13" s="12"/>
      <c r="J13" s="12"/>
      <c r="K13" s="12"/>
      <c r="L13" s="12"/>
    </row>
    <row r="14" spans="2:12" x14ac:dyDescent="0.3">
      <c r="B14" t="s">
        <v>8</v>
      </c>
      <c r="C14" s="22">
        <v>91272</v>
      </c>
      <c r="D14" s="22">
        <v>272004</v>
      </c>
      <c r="E14" s="22">
        <v>1135711</v>
      </c>
      <c r="F14" s="22">
        <v>6390197</v>
      </c>
      <c r="G14" s="22">
        <v>3001574</v>
      </c>
      <c r="H14" s="22">
        <v>276884</v>
      </c>
      <c r="I14" s="12"/>
      <c r="J14" s="12"/>
      <c r="K14" s="12"/>
      <c r="L14" s="12"/>
    </row>
    <row r="15" spans="2:12" x14ac:dyDescent="0.3">
      <c r="B15" t="s">
        <v>9</v>
      </c>
      <c r="C15" s="22">
        <v>720026</v>
      </c>
      <c r="D15" s="22">
        <v>11373098</v>
      </c>
      <c r="E15" s="22">
        <v>6081876</v>
      </c>
      <c r="F15" s="22">
        <v>7770754</v>
      </c>
      <c r="G15" s="22">
        <v>10002216</v>
      </c>
      <c r="H15" s="22">
        <v>-3771999</v>
      </c>
      <c r="I15" s="12"/>
      <c r="J15" s="12"/>
      <c r="K15" s="12"/>
      <c r="L15" s="12"/>
    </row>
    <row r="16" spans="2:12" x14ac:dyDescent="0.3">
      <c r="B16" t="s">
        <v>10</v>
      </c>
      <c r="C16" s="21">
        <v>49537018</v>
      </c>
      <c r="D16" s="21">
        <v>64864467</v>
      </c>
      <c r="E16" s="21">
        <v>67686649</v>
      </c>
      <c r="F16" s="21">
        <v>76729488</v>
      </c>
      <c r="G16" s="21">
        <v>93598323</v>
      </c>
      <c r="H16" s="21">
        <v>136636647</v>
      </c>
      <c r="I16" s="13">
        <f>I9+I12+I13+I14+I15</f>
        <v>0</v>
      </c>
      <c r="J16" s="13">
        <f>J9+J12+J13+J14+J15</f>
        <v>0</v>
      </c>
      <c r="K16" s="13">
        <f>K9+K12+K13+K14+K15</f>
        <v>0</v>
      </c>
      <c r="L16" s="13">
        <f>L9+L12+L13+L14+L15</f>
        <v>0</v>
      </c>
    </row>
    <row r="17" spans="2:12" x14ac:dyDescent="0.3">
      <c r="B17" t="s">
        <v>11</v>
      </c>
      <c r="C17" s="22">
        <v>989315</v>
      </c>
      <c r="D17" s="22">
        <v>8833362</v>
      </c>
      <c r="E17" s="22">
        <v>11331523</v>
      </c>
      <c r="F17" s="22">
        <v>21419532</v>
      </c>
      <c r="G17" s="22">
        <v>25139926</v>
      </c>
      <c r="H17" s="22">
        <v>71924260</v>
      </c>
      <c r="I17" s="12"/>
      <c r="J17" s="12"/>
      <c r="K17" s="12"/>
      <c r="L17" s="12"/>
    </row>
    <row r="18" spans="2:12" x14ac:dyDescent="0.3">
      <c r="B18" s="2" t="s">
        <v>12</v>
      </c>
      <c r="C18" s="21">
        <v>48547703</v>
      </c>
      <c r="D18" s="21">
        <v>56031105</v>
      </c>
      <c r="E18" s="21">
        <v>56355126</v>
      </c>
      <c r="F18" s="21">
        <v>55309956</v>
      </c>
      <c r="G18" s="21">
        <v>68458397</v>
      </c>
      <c r="H18" s="21">
        <v>64712387</v>
      </c>
      <c r="I18" s="13">
        <f>I16-I17</f>
        <v>0</v>
      </c>
      <c r="J18" s="13">
        <f>J16-J17</f>
        <v>0</v>
      </c>
      <c r="K18" s="13">
        <f>K16-K17</f>
        <v>0</v>
      </c>
      <c r="L18" s="13">
        <f>L16-L17</f>
        <v>0</v>
      </c>
    </row>
    <row r="19" spans="2:12" x14ac:dyDescent="0.3">
      <c r="B19" t="s">
        <v>98</v>
      </c>
      <c r="I19" s="12"/>
      <c r="J19" s="12"/>
      <c r="K19" s="12"/>
      <c r="L19" s="12"/>
    </row>
    <row r="20" spans="2:12" x14ac:dyDescent="0.3">
      <c r="B20" s="3" t="s">
        <v>99</v>
      </c>
      <c r="C20" s="22">
        <v>11338517</v>
      </c>
      <c r="D20" s="22">
        <v>13289668</v>
      </c>
      <c r="E20" s="22">
        <v>14408914</v>
      </c>
      <c r="F20" s="22">
        <v>14992748</v>
      </c>
      <c r="G20" s="22">
        <v>16799212</v>
      </c>
      <c r="H20" s="22">
        <v>19788283</v>
      </c>
      <c r="I20" s="12"/>
      <c r="J20" s="12"/>
      <c r="K20" s="12"/>
      <c r="L20" s="12"/>
    </row>
    <row r="21" spans="2:12" x14ac:dyDescent="0.3">
      <c r="B21" t="s">
        <v>13</v>
      </c>
      <c r="C21" s="22">
        <v>1416927</v>
      </c>
      <c r="D21" s="22">
        <v>1603118</v>
      </c>
      <c r="E21" s="22">
        <v>2841264</v>
      </c>
      <c r="F21" s="22">
        <v>3102695</v>
      </c>
      <c r="G21" s="22">
        <v>3220066</v>
      </c>
      <c r="H21" s="22">
        <v>3598371</v>
      </c>
      <c r="I21" s="12"/>
      <c r="J21" s="12"/>
      <c r="K21" s="12"/>
      <c r="L21" s="12"/>
    </row>
    <row r="22" spans="2:12" x14ac:dyDescent="0.3">
      <c r="B22" t="s">
        <v>14</v>
      </c>
      <c r="C22" s="22">
        <v>7618993</v>
      </c>
      <c r="D22" s="22">
        <v>8993958</v>
      </c>
      <c r="E22" s="22">
        <v>8875316</v>
      </c>
      <c r="F22" s="22">
        <v>8167170</v>
      </c>
      <c r="G22" s="22">
        <v>9638461</v>
      </c>
      <c r="H22" s="22">
        <v>12895587</v>
      </c>
      <c r="I22" s="12"/>
      <c r="J22" s="12"/>
      <c r="K22" s="12"/>
      <c r="L22" s="12"/>
    </row>
    <row r="23" spans="2:12" x14ac:dyDescent="0.3">
      <c r="B23" s="2" t="s">
        <v>15</v>
      </c>
      <c r="C23" s="21">
        <v>20374437</v>
      </c>
      <c r="D23" s="21">
        <v>23886744</v>
      </c>
      <c r="E23" s="21">
        <v>26125494</v>
      </c>
      <c r="F23" s="21">
        <v>26262613</v>
      </c>
      <c r="G23" s="21">
        <v>29657739</v>
      </c>
      <c r="H23" s="21">
        <v>36282241</v>
      </c>
      <c r="I23" s="13">
        <f>I20+I21+I22</f>
        <v>0</v>
      </c>
      <c r="J23" s="13">
        <f>J20+J21+J22</f>
        <v>0</v>
      </c>
      <c r="K23" s="13">
        <f>K20+K21+K22</f>
        <v>0</v>
      </c>
      <c r="L23" s="13">
        <f>L20+L21+L22</f>
        <v>0</v>
      </c>
    </row>
    <row r="24" spans="2:12" x14ac:dyDescent="0.3">
      <c r="B24" t="s">
        <v>16</v>
      </c>
      <c r="C24" s="22">
        <v>28173266</v>
      </c>
      <c r="D24" s="22">
        <v>32144361</v>
      </c>
      <c r="E24" s="22">
        <v>30229632</v>
      </c>
      <c r="F24" s="22">
        <v>29047343</v>
      </c>
      <c r="G24" s="22">
        <v>38800658</v>
      </c>
      <c r="H24" s="22">
        <v>28430146</v>
      </c>
      <c r="I24" s="12">
        <f>I18-I23</f>
        <v>0</v>
      </c>
      <c r="J24" s="12"/>
      <c r="K24" s="12"/>
      <c r="L24" s="12"/>
    </row>
    <row r="25" spans="2:12" x14ac:dyDescent="0.3">
      <c r="B25" t="s">
        <v>17</v>
      </c>
      <c r="C25" s="22">
        <v>4896620</v>
      </c>
      <c r="D25" s="22">
        <v>6051861</v>
      </c>
      <c r="E25" s="22">
        <v>7255728</v>
      </c>
      <c r="F25" s="22">
        <v>4531381</v>
      </c>
      <c r="G25" s="22">
        <v>5845230</v>
      </c>
      <c r="H25" s="22">
        <v>3921381</v>
      </c>
      <c r="I25" s="12"/>
      <c r="J25" s="12"/>
      <c r="K25" s="12"/>
      <c r="L25" s="12"/>
    </row>
    <row r="26" spans="2:12" x14ac:dyDescent="0.3">
      <c r="B26" s="2" t="s">
        <v>18</v>
      </c>
      <c r="C26" s="21">
        <v>23276646</v>
      </c>
      <c r="D26" s="21">
        <v>26092500</v>
      </c>
      <c r="E26" s="21">
        <v>22973904</v>
      </c>
      <c r="F26" s="21">
        <v>24515962</v>
      </c>
      <c r="G26" s="21">
        <v>32955428</v>
      </c>
      <c r="H26" s="21">
        <v>24508765</v>
      </c>
      <c r="I26" s="13">
        <f>I24-I25</f>
        <v>0</v>
      </c>
      <c r="J26" s="13">
        <f>J24-J25</f>
        <v>0</v>
      </c>
      <c r="K26" s="13">
        <f>K24-K25</f>
        <v>0</v>
      </c>
      <c r="L26" s="13">
        <f>L24-L25</f>
        <v>0</v>
      </c>
    </row>
    <row r="27" spans="2:12" x14ac:dyDescent="0.3">
      <c r="B27" t="s">
        <v>19</v>
      </c>
      <c r="C27" s="22">
        <v>3678</v>
      </c>
      <c r="D27" s="22">
        <v>6048</v>
      </c>
      <c r="E27" s="22">
        <v>9992</v>
      </c>
      <c r="F27" s="22">
        <v>3898</v>
      </c>
      <c r="G27" s="22">
        <v>1896</v>
      </c>
      <c r="H27" s="22">
        <v>-3727</v>
      </c>
      <c r="I27" s="12"/>
      <c r="J27" s="12"/>
      <c r="K27" s="12"/>
      <c r="L27" s="12"/>
    </row>
    <row r="28" spans="2:12" x14ac:dyDescent="0.3">
      <c r="B28" s="2" t="s">
        <v>20</v>
      </c>
      <c r="C28" s="22">
        <v>23280324</v>
      </c>
      <c r="D28" s="22">
        <v>26098548</v>
      </c>
      <c r="E28" s="23">
        <v>22983896</v>
      </c>
      <c r="F28" s="23">
        <v>24519860</v>
      </c>
      <c r="G28" s="23">
        <v>32957324</v>
      </c>
      <c r="H28" s="23">
        <v>24505038</v>
      </c>
      <c r="I28" s="12">
        <f>I26+I27</f>
        <v>0</v>
      </c>
      <c r="J28" s="12">
        <f>J26+J27</f>
        <v>0</v>
      </c>
      <c r="K28" s="12">
        <f>K26+K27</f>
        <v>0</v>
      </c>
      <c r="L28" s="12">
        <f>L26+L27</f>
        <v>0</v>
      </c>
    </row>
    <row r="29" spans="2:12" x14ac:dyDescent="0.3">
      <c r="B29" t="s">
        <v>21</v>
      </c>
      <c r="C29" s="22">
        <v>6653817</v>
      </c>
      <c r="D29" s="22">
        <v>8235717</v>
      </c>
      <c r="E29" s="23">
        <v>5563500</v>
      </c>
      <c r="F29" s="23">
        <v>7433063</v>
      </c>
      <c r="G29" s="23">
        <v>8667036</v>
      </c>
      <c r="H29" s="23">
        <v>105566</v>
      </c>
      <c r="I29" s="12"/>
      <c r="J29" s="12"/>
      <c r="K29" s="12"/>
      <c r="L29" s="12"/>
    </row>
    <row r="30" spans="2:12" ht="15" thickBot="1" x14ac:dyDescent="0.35">
      <c r="B30" s="2" t="s">
        <v>22</v>
      </c>
      <c r="C30" s="24">
        <v>16626507</v>
      </c>
      <c r="D30" s="24">
        <v>17862831</v>
      </c>
      <c r="E30" s="24">
        <v>17420396</v>
      </c>
      <c r="F30" s="24">
        <v>17086797</v>
      </c>
      <c r="G30" s="24">
        <v>24290288</v>
      </c>
      <c r="H30" s="24">
        <v>24399472</v>
      </c>
      <c r="I30" s="15">
        <f>I28-I29</f>
        <v>0</v>
      </c>
      <c r="J30" s="15">
        <f>J28-J29</f>
        <v>0</v>
      </c>
      <c r="K30" s="15">
        <f>K28-K29</f>
        <v>0</v>
      </c>
      <c r="L30" s="15">
        <f>L28-L29</f>
        <v>0</v>
      </c>
    </row>
    <row r="31" spans="2:12" ht="15" thickTop="1" x14ac:dyDescent="0.3">
      <c r="B31" t="s">
        <v>23</v>
      </c>
      <c r="C31" s="22">
        <v>16605963</v>
      </c>
      <c r="D31" s="22">
        <v>17734706</v>
      </c>
      <c r="E31" s="22">
        <v>17263259</v>
      </c>
      <c r="F31" s="22">
        <v>16939950</v>
      </c>
      <c r="G31" s="22">
        <v>24062469</v>
      </c>
      <c r="H31" s="22">
        <v>23811914</v>
      </c>
      <c r="I31" s="12"/>
      <c r="J31" s="12"/>
      <c r="K31" s="12"/>
      <c r="L31" s="12"/>
    </row>
    <row r="32" spans="2:12" x14ac:dyDescent="0.3">
      <c r="B32" t="s">
        <v>24</v>
      </c>
      <c r="C32" s="22">
        <v>20544</v>
      </c>
      <c r="D32" s="22">
        <v>128125</v>
      </c>
      <c r="E32" s="22">
        <v>157137</v>
      </c>
      <c r="F32" s="22">
        <v>146847</v>
      </c>
      <c r="G32" s="22">
        <v>227819</v>
      </c>
      <c r="H32" s="22">
        <v>587558</v>
      </c>
      <c r="I32" s="12"/>
      <c r="J32" s="12"/>
      <c r="K32" s="12"/>
      <c r="L32" s="12"/>
    </row>
    <row r="33" spans="2:12" x14ac:dyDescent="0.3">
      <c r="B33" t="s">
        <v>22</v>
      </c>
      <c r="C33" s="22">
        <v>16626507</v>
      </c>
      <c r="D33" s="22">
        <v>17862831</v>
      </c>
      <c r="E33" s="22">
        <v>17420396</v>
      </c>
      <c r="F33" s="22">
        <v>17086797</v>
      </c>
      <c r="G33" s="22">
        <v>24290288</v>
      </c>
      <c r="H33" s="22">
        <v>24399472</v>
      </c>
      <c r="I33" s="12">
        <f>I30</f>
        <v>0</v>
      </c>
      <c r="J33" s="12">
        <f>J30</f>
        <v>0</v>
      </c>
      <c r="K33" s="12">
        <f>K30</f>
        <v>0</v>
      </c>
      <c r="L33" s="12">
        <f>L30</f>
        <v>0</v>
      </c>
    </row>
    <row r="34" spans="2:12" x14ac:dyDescent="0.3">
      <c r="B34" t="s">
        <v>25</v>
      </c>
      <c r="C34" s="25">
        <v>17.05</v>
      </c>
      <c r="D34" s="25">
        <v>17.55</v>
      </c>
      <c r="E34" s="25">
        <v>16.41</v>
      </c>
      <c r="F34" s="25">
        <v>15.7</v>
      </c>
      <c r="G34" s="25">
        <v>19.41</v>
      </c>
      <c r="H34" s="25">
        <v>19.21</v>
      </c>
      <c r="I34" s="12"/>
      <c r="J34" s="12"/>
      <c r="K34" s="12"/>
      <c r="L34" s="12"/>
    </row>
    <row r="35" spans="2:12" x14ac:dyDescent="0.3">
      <c r="B35" t="s">
        <v>26</v>
      </c>
      <c r="C35" s="25">
        <v>17.03</v>
      </c>
      <c r="D35" s="25">
        <v>17.55</v>
      </c>
      <c r="E35" s="25">
        <v>16.41</v>
      </c>
      <c r="F35" s="25">
        <v>15.7</v>
      </c>
      <c r="G35" s="25">
        <v>19.41</v>
      </c>
      <c r="H35" s="25">
        <v>19.21</v>
      </c>
      <c r="I35" s="12"/>
      <c r="J35" s="12"/>
      <c r="K35" s="12"/>
      <c r="L35" s="12"/>
    </row>
    <row r="36" spans="2:12" x14ac:dyDescent="0.3">
      <c r="I36" s="12"/>
      <c r="J36" s="12"/>
      <c r="K36" s="12"/>
      <c r="L36" s="12"/>
    </row>
    <row r="37" spans="2:12" x14ac:dyDescent="0.3">
      <c r="B37" t="s">
        <v>94</v>
      </c>
      <c r="I37" s="12"/>
      <c r="J37" s="12"/>
      <c r="K37" s="12"/>
      <c r="L37" s="12"/>
    </row>
    <row r="38" spans="2:12" x14ac:dyDescent="0.3">
      <c r="B38" t="s">
        <v>95</v>
      </c>
      <c r="G38" s="22">
        <v>0</v>
      </c>
      <c r="H38" s="22">
        <v>26481256</v>
      </c>
    </row>
    <row r="40" spans="2:12" s="28" customFormat="1" x14ac:dyDescent="0.3">
      <c r="B40" s="28" t="s">
        <v>143</v>
      </c>
      <c r="C40" s="30" t="str">
        <f t="shared" ref="C40:H40" si="0">IF(C18-C23-C25+C27-C29-C30=0,"OK","FLAG")</f>
        <v>OK</v>
      </c>
      <c r="D40" s="30" t="str">
        <f t="shared" si="0"/>
        <v>OK</v>
      </c>
      <c r="E40" s="30" t="str">
        <f t="shared" si="0"/>
        <v>OK</v>
      </c>
      <c r="F40" s="30" t="str">
        <f t="shared" si="0"/>
        <v>OK</v>
      </c>
      <c r="G40" s="30" t="str">
        <f t="shared" si="0"/>
        <v>OK</v>
      </c>
      <c r="H40" s="30" t="str">
        <f t="shared" si="0"/>
        <v>OK</v>
      </c>
    </row>
    <row r="42" spans="2:12" s="7" customFormat="1" x14ac:dyDescent="0.3">
      <c r="B42" s="10" t="s">
        <v>114</v>
      </c>
      <c r="C42" s="11"/>
      <c r="D42" s="11"/>
      <c r="E42" s="11"/>
      <c r="F42" s="11"/>
      <c r="G42" s="11"/>
      <c r="H42" s="11"/>
    </row>
    <row r="43" spans="2:12" x14ac:dyDescent="0.3">
      <c r="B43" s="2" t="s">
        <v>92</v>
      </c>
    </row>
    <row r="44" spans="2:12" x14ac:dyDescent="0.3">
      <c r="B44" s="3" t="s">
        <v>93</v>
      </c>
      <c r="C44" s="22">
        <v>34673424</v>
      </c>
      <c r="D44" s="22">
        <v>44355962</v>
      </c>
      <c r="E44" s="22">
        <v>53681118</v>
      </c>
      <c r="F44" s="22">
        <v>51255030</v>
      </c>
      <c r="G44" s="22">
        <v>69335379</v>
      </c>
      <c r="H44" s="22">
        <v>151109490</v>
      </c>
    </row>
    <row r="45" spans="2:12" x14ac:dyDescent="0.3">
      <c r="B45" t="s">
        <v>27</v>
      </c>
      <c r="C45" s="22">
        <v>45546349</v>
      </c>
      <c r="D45" s="22">
        <v>55406535</v>
      </c>
      <c r="E45" s="22">
        <v>46101232</v>
      </c>
      <c r="F45" s="22">
        <v>115358732</v>
      </c>
      <c r="G45" s="22">
        <v>56777465</v>
      </c>
      <c r="H45" s="22">
        <v>78597120</v>
      </c>
    </row>
    <row r="46" spans="2:12" x14ac:dyDescent="0.3">
      <c r="B46" t="s">
        <v>28</v>
      </c>
      <c r="C46" s="22">
        <v>17633269</v>
      </c>
      <c r="D46" s="22">
        <v>19898515</v>
      </c>
      <c r="E46" s="22">
        <v>24903809</v>
      </c>
      <c r="F46" s="22">
        <v>16421867</v>
      </c>
      <c r="G46" s="22">
        <v>12498709</v>
      </c>
      <c r="H46" s="22">
        <v>96082937</v>
      </c>
    </row>
    <row r="47" spans="2:12" x14ac:dyDescent="0.3">
      <c r="B47" t="s">
        <v>29</v>
      </c>
      <c r="C47" s="22">
        <v>0</v>
      </c>
      <c r="D47" s="22">
        <v>9513512</v>
      </c>
      <c r="E47" s="22">
        <v>13147534</v>
      </c>
      <c r="F47" s="22">
        <v>0</v>
      </c>
      <c r="G47" s="22">
        <v>3000490</v>
      </c>
      <c r="H47" s="22">
        <v>1517308</v>
      </c>
    </row>
    <row r="48" spans="2:12" x14ac:dyDescent="0.3">
      <c r="B48" t="s">
        <v>30</v>
      </c>
      <c r="C48" s="26">
        <v>2334536</v>
      </c>
      <c r="D48" s="26">
        <v>7909962</v>
      </c>
      <c r="E48" s="22">
        <v>1830927</v>
      </c>
      <c r="F48" s="22">
        <v>2636717</v>
      </c>
      <c r="G48" s="22">
        <v>3245120</v>
      </c>
      <c r="H48" s="22">
        <v>8345091</v>
      </c>
    </row>
    <row r="49" spans="2:12" x14ac:dyDescent="0.3">
      <c r="B49" t="s">
        <v>31</v>
      </c>
      <c r="C49" s="26">
        <v>4410913</v>
      </c>
      <c r="D49" s="26">
        <v>5520167</v>
      </c>
      <c r="E49" s="22">
        <v>21468033</v>
      </c>
      <c r="F49" s="22">
        <v>35189471</v>
      </c>
      <c r="G49" s="22">
        <v>23436123</v>
      </c>
      <c r="H49" s="22">
        <v>24873057</v>
      </c>
    </row>
    <row r="50" spans="2:12" x14ac:dyDescent="0.3">
      <c r="B50" t="s">
        <v>96</v>
      </c>
      <c r="C50" s="26">
        <v>640512</v>
      </c>
      <c r="D50" s="26">
        <v>763074</v>
      </c>
      <c r="E50" s="22">
        <v>757787</v>
      </c>
      <c r="F50" s="22">
        <v>779705</v>
      </c>
    </row>
    <row r="51" spans="2:12" x14ac:dyDescent="0.3">
      <c r="B51" t="s">
        <v>32</v>
      </c>
      <c r="C51" s="26">
        <v>742444130</v>
      </c>
      <c r="D51" s="26">
        <v>867611976</v>
      </c>
      <c r="E51" s="22">
        <v>893919311</v>
      </c>
      <c r="F51" s="22">
        <v>909829172</v>
      </c>
      <c r="G51" s="22">
        <v>1029584075</v>
      </c>
      <c r="H51" s="22">
        <v>1155492527</v>
      </c>
    </row>
    <row r="52" spans="2:12" x14ac:dyDescent="0.3">
      <c r="B52" t="s">
        <v>33</v>
      </c>
      <c r="C52" s="22">
        <v>118078273</v>
      </c>
      <c r="D52" s="22">
        <v>89274413</v>
      </c>
      <c r="E52" s="22">
        <v>107059021</v>
      </c>
      <c r="F52" s="22">
        <v>302059529</v>
      </c>
      <c r="G52" s="22">
        <v>385390598</v>
      </c>
      <c r="H52" s="22">
        <v>761650234</v>
      </c>
    </row>
    <row r="53" spans="2:12" x14ac:dyDescent="0.3">
      <c r="B53" t="s">
        <v>34</v>
      </c>
      <c r="C53" s="22">
        <v>154913643</v>
      </c>
      <c r="D53" s="22">
        <v>176760611</v>
      </c>
      <c r="E53" s="22">
        <v>197825017</v>
      </c>
      <c r="F53" s="22">
        <v>278716794</v>
      </c>
      <c r="G53" s="22">
        <v>335953802</v>
      </c>
      <c r="H53" s="22">
        <v>118652257</v>
      </c>
    </row>
    <row r="54" spans="2:12" x14ac:dyDescent="0.3">
      <c r="B54" t="s">
        <v>35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</row>
    <row r="55" spans="2:12" x14ac:dyDescent="0.3">
      <c r="B55" t="s">
        <v>36</v>
      </c>
      <c r="C55" s="22">
        <v>109844</v>
      </c>
      <c r="D55" s="22">
        <v>105320</v>
      </c>
      <c r="E55" s="22">
        <v>56821</v>
      </c>
      <c r="F55" s="22">
        <v>64155</v>
      </c>
      <c r="G55" s="22">
        <v>60428</v>
      </c>
      <c r="H55" s="22">
        <v>55302</v>
      </c>
    </row>
    <row r="56" spans="2:12" x14ac:dyDescent="0.3">
      <c r="B56" t="s">
        <v>37</v>
      </c>
      <c r="C56" s="22">
        <v>16317044</v>
      </c>
      <c r="D56" s="22">
        <v>17015236</v>
      </c>
      <c r="E56" s="22">
        <v>22524658</v>
      </c>
      <c r="F56" s="22">
        <v>25386630</v>
      </c>
      <c r="G56" s="22">
        <v>24744634</v>
      </c>
      <c r="H56" s="22">
        <v>27446607</v>
      </c>
    </row>
    <row r="57" spans="2:12" x14ac:dyDescent="0.3">
      <c r="B57" t="s">
        <v>38</v>
      </c>
      <c r="C57" s="22">
        <v>104516</v>
      </c>
      <c r="D57" s="22">
        <v>103064</v>
      </c>
      <c r="E57" s="22">
        <v>46350</v>
      </c>
      <c r="F57" s="22">
        <v>67116</v>
      </c>
      <c r="G57" s="22">
        <v>72400</v>
      </c>
      <c r="H57" s="22">
        <v>80350</v>
      </c>
    </row>
    <row r="58" spans="2:12" x14ac:dyDescent="0.3">
      <c r="B58" t="s">
        <v>39</v>
      </c>
      <c r="C58" s="22">
        <v>1251226</v>
      </c>
      <c r="D58" s="22">
        <v>1433931</v>
      </c>
      <c r="E58" s="22">
        <v>1645714</v>
      </c>
      <c r="F58" s="22">
        <v>1800516</v>
      </c>
      <c r="G58" s="22">
        <v>2272639</v>
      </c>
      <c r="H58" s="22">
        <v>4113200</v>
      </c>
    </row>
    <row r="59" spans="2:12" x14ac:dyDescent="0.3">
      <c r="B59" t="s">
        <v>40</v>
      </c>
      <c r="C59" s="22">
        <v>0</v>
      </c>
      <c r="D59" s="22">
        <v>188487</v>
      </c>
      <c r="E59" s="22">
        <v>530165</v>
      </c>
      <c r="F59" s="22">
        <v>2735566</v>
      </c>
      <c r="G59" s="22">
        <v>10036105</v>
      </c>
      <c r="H59" s="22">
        <v>30727213</v>
      </c>
    </row>
    <row r="60" spans="2:12" x14ac:dyDescent="0.3">
      <c r="B60" t="s">
        <v>41</v>
      </c>
      <c r="C60" s="22">
        <v>17362977</v>
      </c>
      <c r="D60" s="22">
        <v>24051472</v>
      </c>
      <c r="E60" s="22">
        <v>23443869</v>
      </c>
      <c r="F60" s="22">
        <v>20195153</v>
      </c>
      <c r="G60" s="22">
        <v>27083177</v>
      </c>
      <c r="H60" s="22">
        <v>40811211</v>
      </c>
    </row>
    <row r="61" spans="2:12" ht="15" thickBot="1" x14ac:dyDescent="0.35">
      <c r="B61" s="2" t="s">
        <v>42</v>
      </c>
      <c r="C61" s="24">
        <v>1155820656</v>
      </c>
      <c r="D61" s="24">
        <v>1319912237</v>
      </c>
      <c r="E61" s="24">
        <v>1408941366</v>
      </c>
      <c r="F61" s="24">
        <v>1762496153</v>
      </c>
      <c r="G61" s="24">
        <v>1983491144</v>
      </c>
      <c r="H61" s="24">
        <v>2499553904</v>
      </c>
      <c r="I61" s="17"/>
      <c r="J61" s="17"/>
      <c r="K61" s="17"/>
      <c r="L61" s="17"/>
    </row>
    <row r="62" spans="2:12" ht="15" thickTop="1" x14ac:dyDescent="0.3">
      <c r="B62" s="2" t="s">
        <v>100</v>
      </c>
    </row>
    <row r="63" spans="2:12" x14ac:dyDescent="0.3">
      <c r="B63" s="3" t="s">
        <v>101</v>
      </c>
      <c r="C63" s="22">
        <v>60244892</v>
      </c>
      <c r="D63" s="22">
        <v>52362052</v>
      </c>
      <c r="E63" s="22">
        <v>53807425</v>
      </c>
      <c r="F63" s="22">
        <v>88248056</v>
      </c>
      <c r="G63" s="22">
        <v>73801195</v>
      </c>
      <c r="H63" s="22">
        <v>64971170</v>
      </c>
    </row>
    <row r="64" spans="2:12" x14ac:dyDescent="0.3">
      <c r="B64" t="s">
        <v>43</v>
      </c>
      <c r="C64" s="22">
        <v>3678494</v>
      </c>
      <c r="D64" s="22">
        <v>8021783</v>
      </c>
      <c r="E64" s="22">
        <v>1495317</v>
      </c>
      <c r="F64" s="22">
        <v>1501262</v>
      </c>
      <c r="G64" s="22">
        <v>2092198</v>
      </c>
      <c r="H64" s="22">
        <v>2880667</v>
      </c>
    </row>
    <row r="65" spans="2:12" x14ac:dyDescent="0.3">
      <c r="B65" t="s">
        <v>44</v>
      </c>
      <c r="C65" s="22">
        <v>49532385</v>
      </c>
      <c r="D65" s="22">
        <v>48951394</v>
      </c>
      <c r="E65" s="22">
        <v>51117342</v>
      </c>
      <c r="F65" s="22">
        <v>91411522</v>
      </c>
      <c r="G65" s="22">
        <v>151424854</v>
      </c>
      <c r="H65" s="22">
        <v>97726435</v>
      </c>
    </row>
    <row r="66" spans="2:12" x14ac:dyDescent="0.3">
      <c r="B66" t="s">
        <v>45</v>
      </c>
      <c r="C66" s="22">
        <v>857269981</v>
      </c>
      <c r="D66" s="22">
        <v>994370875</v>
      </c>
      <c r="E66" s="22">
        <v>1068982587</v>
      </c>
      <c r="F66" s="22">
        <v>1286616399</v>
      </c>
      <c r="G66" s="22">
        <v>1472640456</v>
      </c>
      <c r="H66" s="22">
        <v>1977743661</v>
      </c>
    </row>
    <row r="67" spans="2:12" x14ac:dyDescent="0.3">
      <c r="B67" t="s">
        <v>46</v>
      </c>
      <c r="C67" s="22">
        <v>23786094</v>
      </c>
      <c r="D67" s="22">
        <v>25361912</v>
      </c>
      <c r="E67" s="22">
        <v>23248893</v>
      </c>
      <c r="F67" s="22">
        <v>54555933</v>
      </c>
      <c r="G67" s="22">
        <v>32587051</v>
      </c>
      <c r="H67" s="22">
        <v>16150356</v>
      </c>
    </row>
    <row r="68" spans="2:12" x14ac:dyDescent="0.3">
      <c r="B68" t="s">
        <v>47</v>
      </c>
      <c r="C68" s="22">
        <v>4202850</v>
      </c>
      <c r="D68" s="22">
        <v>6735997</v>
      </c>
      <c r="E68" s="22">
        <v>5197188</v>
      </c>
      <c r="F68" s="22">
        <v>6991005</v>
      </c>
      <c r="G68" s="22">
        <v>9486772</v>
      </c>
      <c r="H68" s="22">
        <v>24916074</v>
      </c>
    </row>
    <row r="69" spans="2:12" x14ac:dyDescent="0.3">
      <c r="B69" t="s">
        <v>48</v>
      </c>
      <c r="C69" s="22">
        <v>3565215</v>
      </c>
      <c r="D69" s="22">
        <v>971424</v>
      </c>
      <c r="E69" s="22">
        <v>416458</v>
      </c>
      <c r="F69" s="22">
        <v>403846</v>
      </c>
      <c r="G69" s="22">
        <v>349106</v>
      </c>
      <c r="H69" s="22">
        <v>437123</v>
      </c>
    </row>
    <row r="70" spans="2:12" x14ac:dyDescent="0.3">
      <c r="B70" t="s">
        <v>49</v>
      </c>
      <c r="C70" s="22">
        <v>19508115</v>
      </c>
      <c r="D70" s="22">
        <v>24547513</v>
      </c>
      <c r="E70" s="22">
        <v>30775884</v>
      </c>
      <c r="F70" s="22">
        <v>33572283</v>
      </c>
      <c r="G70" s="22">
        <v>33253518</v>
      </c>
      <c r="H70" s="22">
        <v>40354877</v>
      </c>
    </row>
    <row r="71" spans="2:12" x14ac:dyDescent="0.3">
      <c r="B71" t="s">
        <v>50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</row>
    <row r="72" spans="2:12" x14ac:dyDescent="0.3">
      <c r="B72" t="s">
        <v>51</v>
      </c>
      <c r="C72" s="22">
        <v>25165924</v>
      </c>
      <c r="D72" s="22">
        <v>37992457</v>
      </c>
      <c r="E72" s="22">
        <v>37886789</v>
      </c>
      <c r="F72" s="22">
        <v>38247138</v>
      </c>
      <c r="G72" s="22">
        <v>38303466</v>
      </c>
      <c r="H72" s="22">
        <v>61400967</v>
      </c>
    </row>
    <row r="73" spans="2:12" x14ac:dyDescent="0.3">
      <c r="B73" s="2" t="s">
        <v>52</v>
      </c>
      <c r="C73" s="21">
        <v>1046953950</v>
      </c>
      <c r="D73" s="21">
        <v>1199315407</v>
      </c>
      <c r="E73" s="21">
        <v>1272927883</v>
      </c>
      <c r="F73" s="21">
        <v>1601547444</v>
      </c>
      <c r="G73" s="21">
        <v>1813938616</v>
      </c>
      <c r="H73" s="21">
        <v>2286581330</v>
      </c>
      <c r="I73" s="14"/>
      <c r="J73" s="14"/>
      <c r="K73" s="14"/>
      <c r="L73" s="14"/>
    </row>
    <row r="74" spans="2:12" x14ac:dyDescent="0.3">
      <c r="B74" s="2" t="s">
        <v>102</v>
      </c>
    </row>
    <row r="75" spans="2:12" x14ac:dyDescent="0.3">
      <c r="B75" s="3" t="s">
        <v>103</v>
      </c>
      <c r="C75" s="22">
        <v>37143541</v>
      </c>
      <c r="D75" s="22">
        <v>39147882</v>
      </c>
      <c r="E75" s="22">
        <v>40916958</v>
      </c>
      <c r="F75" s="22">
        <v>52187747</v>
      </c>
      <c r="G75" s="22">
        <v>54566957</v>
      </c>
      <c r="H75" s="22">
        <v>58149621</v>
      </c>
    </row>
    <row r="76" spans="2:12" x14ac:dyDescent="0.3">
      <c r="B76" t="s">
        <v>53</v>
      </c>
      <c r="C76" s="22">
        <v>6492552</v>
      </c>
      <c r="D76" s="22">
        <v>7444178</v>
      </c>
      <c r="E76" s="22">
        <v>8387701</v>
      </c>
      <c r="F76" s="22">
        <v>9285233</v>
      </c>
      <c r="G76" s="22">
        <v>10590338</v>
      </c>
      <c r="H76" s="22">
        <v>12079670</v>
      </c>
    </row>
    <row r="77" spans="2:12" x14ac:dyDescent="0.3">
      <c r="B77" t="s">
        <v>54</v>
      </c>
      <c r="C77" s="22">
        <v>5086609</v>
      </c>
      <c r="D77" s="22">
        <v>4949955</v>
      </c>
      <c r="E77" s="22">
        <v>5182185</v>
      </c>
      <c r="F77" s="22">
        <v>8124261</v>
      </c>
      <c r="G77" s="22">
        <v>9890762</v>
      </c>
      <c r="H77" s="22">
        <v>6790304</v>
      </c>
    </row>
    <row r="78" spans="2:12" x14ac:dyDescent="0.3">
      <c r="B78" t="s">
        <v>55</v>
      </c>
      <c r="C78" s="22">
        <v>59272098</v>
      </c>
      <c r="D78" s="22">
        <v>67855834</v>
      </c>
      <c r="E78" s="22">
        <v>79937405</v>
      </c>
      <c r="F78" s="22">
        <v>89595571</v>
      </c>
      <c r="G78" s="22">
        <v>92426660</v>
      </c>
      <c r="H78" s="22">
        <v>131845571</v>
      </c>
    </row>
    <row r="79" spans="2:12" x14ac:dyDescent="0.3">
      <c r="B79" t="s">
        <v>56</v>
      </c>
      <c r="C79" s="22">
        <v>107994800</v>
      </c>
      <c r="D79" s="22">
        <v>119397849</v>
      </c>
      <c r="E79" s="22">
        <v>134424249</v>
      </c>
      <c r="F79" s="22">
        <v>159192812</v>
      </c>
      <c r="G79" s="22">
        <v>167474717</v>
      </c>
      <c r="H79" s="22">
        <v>208865166</v>
      </c>
    </row>
    <row r="80" spans="2:12" x14ac:dyDescent="0.3">
      <c r="B80" t="s">
        <v>24</v>
      </c>
      <c r="C80" s="22">
        <v>871906</v>
      </c>
      <c r="D80" s="22">
        <v>1198981</v>
      </c>
      <c r="E80" s="22">
        <v>1589234</v>
      </c>
      <c r="F80" s="22">
        <v>1755897</v>
      </c>
      <c r="G80" s="22">
        <v>2077811</v>
      </c>
      <c r="H80" s="22">
        <v>4107408</v>
      </c>
    </row>
    <row r="81" spans="2:12" x14ac:dyDescent="0.3">
      <c r="B81" s="2" t="s">
        <v>57</v>
      </c>
      <c r="C81" s="21">
        <v>108866706</v>
      </c>
      <c r="D81" s="21">
        <v>120596830</v>
      </c>
      <c r="E81" s="21">
        <v>136013483</v>
      </c>
      <c r="F81" s="21">
        <v>160948709</v>
      </c>
      <c r="G81" s="21">
        <v>169552528</v>
      </c>
      <c r="H81" s="21">
        <v>212972574</v>
      </c>
      <c r="I81" s="14"/>
      <c r="J81" s="14"/>
      <c r="K81" s="14"/>
      <c r="L81" s="14"/>
    </row>
    <row r="82" spans="2:12" ht="15" thickBot="1" x14ac:dyDescent="0.35">
      <c r="B82" s="2" t="s">
        <v>58</v>
      </c>
      <c r="C82" s="24">
        <v>1155820656</v>
      </c>
      <c r="D82" s="24">
        <v>1319912237</v>
      </c>
      <c r="E82" s="24">
        <v>1408941366</v>
      </c>
      <c r="F82" s="24">
        <v>1762496153</v>
      </c>
      <c r="G82" s="24">
        <v>1983491144</v>
      </c>
      <c r="H82" s="24">
        <v>2499553904</v>
      </c>
      <c r="I82" s="17"/>
      <c r="J82" s="17"/>
      <c r="K82" s="17"/>
      <c r="L82" s="17"/>
    </row>
    <row r="83" spans="2:12" ht="15" thickTop="1" x14ac:dyDescent="0.3">
      <c r="B83" t="s">
        <v>59</v>
      </c>
      <c r="C83" s="22">
        <v>565277821</v>
      </c>
      <c r="D83" s="22">
        <v>658860264</v>
      </c>
      <c r="E83" s="22">
        <v>580961807</v>
      </c>
      <c r="F83" s="22">
        <v>730561685</v>
      </c>
      <c r="G83" s="22">
        <v>685379028</v>
      </c>
      <c r="H83" s="22">
        <v>555531537</v>
      </c>
    </row>
    <row r="84" spans="2:12" x14ac:dyDescent="0.3">
      <c r="B84" s="2" t="s">
        <v>60</v>
      </c>
      <c r="C84" s="25">
        <v>108.44</v>
      </c>
      <c r="D84" s="25">
        <v>118.13</v>
      </c>
      <c r="E84" s="25">
        <v>130.83000000000001</v>
      </c>
      <c r="F84" s="25">
        <v>136.41999999999999</v>
      </c>
      <c r="G84" s="25">
        <v>140.24</v>
      </c>
      <c r="H84" s="25">
        <v>168.47</v>
      </c>
    </row>
    <row r="85" spans="2:12" s="18" customFormat="1" x14ac:dyDescent="0.3">
      <c r="B85" s="18" t="s">
        <v>122</v>
      </c>
      <c r="C85" s="19"/>
      <c r="D85" s="19"/>
      <c r="E85" s="19"/>
      <c r="F85" s="19"/>
      <c r="G85" s="19"/>
      <c r="H85" s="19"/>
    </row>
    <row r="86" spans="2:12" s="18" customFormat="1" x14ac:dyDescent="0.3">
      <c r="B86" s="18" t="s">
        <v>121</v>
      </c>
      <c r="C86" s="27">
        <v>4982</v>
      </c>
      <c r="D86" s="27">
        <v>5027</v>
      </c>
      <c r="E86" s="27">
        <v>5062</v>
      </c>
      <c r="F86" s="27">
        <v>5057</v>
      </c>
      <c r="G86" s="27">
        <v>5072</v>
      </c>
      <c r="H86" s="27">
        <v>5121</v>
      </c>
    </row>
    <row r="87" spans="2:12" s="18" customFormat="1" x14ac:dyDescent="0.3">
      <c r="B87" s="18" t="s">
        <v>61</v>
      </c>
      <c r="C87" s="27">
        <v>280</v>
      </c>
      <c r="D87" s="27">
        <v>285</v>
      </c>
      <c r="E87" s="27">
        <v>287</v>
      </c>
      <c r="F87" s="27">
        <v>287</v>
      </c>
      <c r="G87" s="27">
        <v>287</v>
      </c>
      <c r="H87" s="27">
        <v>289</v>
      </c>
    </row>
    <row r="89" spans="2:12" s="28" customFormat="1" x14ac:dyDescent="0.3">
      <c r="B89" s="28" t="s">
        <v>144</v>
      </c>
      <c r="C89" s="29">
        <f t="shared" ref="C89:H89" si="1">SUM(C44:C60)-SUM(C63:C72)-SUM(C75:C78)-C80</f>
        <v>0</v>
      </c>
      <c r="D89" s="29">
        <f t="shared" si="1"/>
        <v>0</v>
      </c>
      <c r="E89" s="29">
        <f t="shared" si="1"/>
        <v>0</v>
      </c>
      <c r="F89" s="29">
        <f t="shared" si="1"/>
        <v>0</v>
      </c>
      <c r="G89" s="29">
        <f t="shared" si="1"/>
        <v>0</v>
      </c>
      <c r="H89" s="29">
        <f t="shared" si="1"/>
        <v>0</v>
      </c>
    </row>
    <row r="91" spans="2:12" s="7" customFormat="1" x14ac:dyDescent="0.3">
      <c r="B91" s="10" t="s">
        <v>116</v>
      </c>
      <c r="C91" s="11"/>
      <c r="D91" s="11"/>
      <c r="E91" s="11"/>
      <c r="F91" s="11"/>
      <c r="G91" s="11"/>
      <c r="H91" s="11"/>
    </row>
    <row r="93" spans="2:12" x14ac:dyDescent="0.3">
      <c r="B93" t="s">
        <v>63</v>
      </c>
      <c r="C93" s="22">
        <v>23280324</v>
      </c>
      <c r="D93" s="22">
        <v>26098548</v>
      </c>
      <c r="E93" s="22">
        <v>22983896</v>
      </c>
      <c r="F93" s="22">
        <v>24519860</v>
      </c>
      <c r="G93" s="22">
        <v>32957324</v>
      </c>
      <c r="H93" s="22">
        <v>24505038</v>
      </c>
    </row>
    <row r="94" spans="2:12" x14ac:dyDescent="0.3">
      <c r="B94" t="s">
        <v>105</v>
      </c>
    </row>
    <row r="95" spans="2:12" x14ac:dyDescent="0.3">
      <c r="B95" t="s">
        <v>104</v>
      </c>
      <c r="C95" s="22">
        <v>1078540</v>
      </c>
      <c r="D95" s="22">
        <v>12380685</v>
      </c>
      <c r="E95" s="22">
        <v>14014272</v>
      </c>
      <c r="F95" s="22">
        <v>24764927</v>
      </c>
      <c r="G95" s="22">
        <v>30473593</v>
      </c>
      <c r="H95" s="22">
        <v>91299070</v>
      </c>
    </row>
    <row r="96" spans="2:12" x14ac:dyDescent="0.3">
      <c r="B96" t="s">
        <v>64</v>
      </c>
      <c r="C96" s="22">
        <v>-125489870</v>
      </c>
      <c r="D96" s="22">
        <v>-169379105</v>
      </c>
      <c r="E96" s="22">
        <v>-84218375</v>
      </c>
      <c r="F96" s="22">
        <v>-374761711</v>
      </c>
      <c r="G96" s="22">
        <v>-230261220</v>
      </c>
      <c r="H96" s="22">
        <v>-463345077</v>
      </c>
    </row>
    <row r="97" spans="2:8" x14ac:dyDescent="0.3">
      <c r="B97" t="s">
        <v>65</v>
      </c>
      <c r="C97" s="22">
        <v>100265879</v>
      </c>
      <c r="D97" s="22">
        <v>138876499</v>
      </c>
      <c r="E97" s="22">
        <v>69879669</v>
      </c>
      <c r="F97" s="22">
        <v>325708382</v>
      </c>
      <c r="G97" s="22">
        <v>208070200</v>
      </c>
      <c r="H97" s="22">
        <v>430778836</v>
      </c>
    </row>
    <row r="98" spans="2:8" x14ac:dyDescent="0.3">
      <c r="B98" t="s">
        <v>66</v>
      </c>
      <c r="C98" s="22">
        <v>18774</v>
      </c>
      <c r="D98" s="22">
        <v>-9311</v>
      </c>
      <c r="E98" s="22">
        <v>-19731</v>
      </c>
      <c r="F98" s="22">
        <v>-5820</v>
      </c>
      <c r="G98" s="22">
        <v>-4054</v>
      </c>
      <c r="H98" s="22">
        <v>-20118</v>
      </c>
    </row>
    <row r="99" spans="2:8" x14ac:dyDescent="0.3">
      <c r="B99" t="s">
        <v>67</v>
      </c>
      <c r="C99" s="22">
        <v>-3678</v>
      </c>
      <c r="D99" s="22">
        <v>-6048</v>
      </c>
      <c r="E99" s="22">
        <v>-9992</v>
      </c>
      <c r="F99" s="22">
        <v>-3898</v>
      </c>
      <c r="G99" s="22">
        <v>-1896</v>
      </c>
      <c r="H99" s="22">
        <v>3727</v>
      </c>
    </row>
    <row r="100" spans="2:8" x14ac:dyDescent="0.3">
      <c r="B100" t="s">
        <v>68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</row>
    <row r="101" spans="2:8" x14ac:dyDescent="0.3">
      <c r="B101" t="s">
        <v>69</v>
      </c>
      <c r="C101" s="22">
        <v>2377694</v>
      </c>
      <c r="D101" s="22">
        <v>3105553</v>
      </c>
      <c r="E101" s="22">
        <v>3848979</v>
      </c>
      <c r="F101" s="22">
        <v>3756921</v>
      </c>
      <c r="G101" s="22">
        <v>3398554</v>
      </c>
      <c r="H101" s="22">
        <v>4843571</v>
      </c>
    </row>
    <row r="102" spans="2:8" x14ac:dyDescent="0.3">
      <c r="B102" t="s">
        <v>70</v>
      </c>
      <c r="C102" s="22">
        <v>-503140</v>
      </c>
      <c r="D102" s="22">
        <v>3003952</v>
      </c>
      <c r="E102" s="22">
        <v>-396201</v>
      </c>
      <c r="F102" s="22">
        <v>596723</v>
      </c>
      <c r="G102" s="22">
        <v>1278891</v>
      </c>
      <c r="H102" s="22">
        <v>18347815</v>
      </c>
    </row>
    <row r="103" spans="2:8" x14ac:dyDescent="0.3">
      <c r="B103" t="s">
        <v>71</v>
      </c>
      <c r="C103" s="22">
        <v>-184464</v>
      </c>
      <c r="D103" s="22">
        <v>-382409</v>
      </c>
      <c r="E103" s="22">
        <v>-198799</v>
      </c>
      <c r="F103" s="22">
        <v>-673106</v>
      </c>
      <c r="G103" s="22">
        <v>-1116195</v>
      </c>
      <c r="H103" s="22">
        <v>-780828</v>
      </c>
    </row>
    <row r="104" spans="2:8" x14ac:dyDescent="0.3">
      <c r="B104" t="s">
        <v>72</v>
      </c>
      <c r="C104" s="22">
        <v>-3810701</v>
      </c>
      <c r="D104" s="22">
        <v>-5971026</v>
      </c>
      <c r="E104" s="22">
        <v>-8301839</v>
      </c>
      <c r="F104" s="22">
        <v>-7748870</v>
      </c>
      <c r="G104" s="22">
        <v>-8963620</v>
      </c>
      <c r="H104" s="22">
        <v>-11143271</v>
      </c>
    </row>
    <row r="105" spans="2:8" x14ac:dyDescent="0.3">
      <c r="B105" t="s">
        <v>73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-5216574</v>
      </c>
    </row>
    <row r="106" spans="2:8" x14ac:dyDescent="0.3">
      <c r="B106" s="2" t="s">
        <v>74</v>
      </c>
      <c r="C106" s="22">
        <v>-2970642</v>
      </c>
      <c r="D106" s="22">
        <v>7717338</v>
      </c>
      <c r="E106" s="22">
        <v>17581879</v>
      </c>
      <c r="F106" s="22">
        <v>-3846592</v>
      </c>
      <c r="G106" s="22">
        <v>35831577</v>
      </c>
      <c r="H106" s="22">
        <v>89272189</v>
      </c>
    </row>
    <row r="107" spans="2:8" x14ac:dyDescent="0.3">
      <c r="B107" s="2" t="s">
        <v>107</v>
      </c>
    </row>
    <row r="108" spans="2:8" x14ac:dyDescent="0.3">
      <c r="B108" t="s">
        <v>106</v>
      </c>
      <c r="C108" s="22">
        <v>-2163733</v>
      </c>
      <c r="D108" s="22">
        <v>-2079875</v>
      </c>
      <c r="E108" s="22">
        <v>-1372832</v>
      </c>
      <c r="F108" s="22">
        <v>-1159712</v>
      </c>
      <c r="G108" s="22">
        <v>-1034299</v>
      </c>
      <c r="H108" s="22">
        <v>-3370339</v>
      </c>
    </row>
    <row r="109" spans="2:8" x14ac:dyDescent="0.3">
      <c r="B109" t="s">
        <v>75</v>
      </c>
      <c r="C109" s="22">
        <v>58032</v>
      </c>
      <c r="D109" s="22">
        <v>53314</v>
      </c>
      <c r="E109" s="22">
        <v>24189</v>
      </c>
      <c r="F109" s="22">
        <v>8901</v>
      </c>
      <c r="G109" s="22">
        <v>49463</v>
      </c>
      <c r="H109" s="22">
        <v>47856</v>
      </c>
    </row>
    <row r="110" spans="2:8" x14ac:dyDescent="0.3">
      <c r="B110" t="s">
        <v>76</v>
      </c>
      <c r="C110" s="22">
        <v>-179751</v>
      </c>
      <c r="D110" s="22">
        <v>-697591</v>
      </c>
      <c r="E110" s="22">
        <v>-95031</v>
      </c>
      <c r="F110" s="22">
        <v>-300000</v>
      </c>
      <c r="G110" s="22">
        <v>-5607000</v>
      </c>
      <c r="H110" s="22">
        <v>-1200000</v>
      </c>
    </row>
    <row r="111" spans="2:8" x14ac:dyDescent="0.3">
      <c r="B111" t="s">
        <v>77</v>
      </c>
      <c r="C111" s="22">
        <v>3530785</v>
      </c>
      <c r="D111" s="22">
        <v>2096712</v>
      </c>
      <c r="E111" s="22">
        <v>3428080</v>
      </c>
      <c r="F111" s="22">
        <v>2368509</v>
      </c>
      <c r="G111" s="22">
        <v>484800</v>
      </c>
      <c r="H111" s="22">
        <v>952369</v>
      </c>
    </row>
    <row r="112" spans="2:8" x14ac:dyDescent="0.3">
      <c r="B112" t="s">
        <v>78</v>
      </c>
      <c r="C112" s="22">
        <v>-352329</v>
      </c>
      <c r="D112" s="22">
        <v>-406641</v>
      </c>
      <c r="E112" s="22">
        <v>-415088</v>
      </c>
      <c r="F112" s="22">
        <v>-460053</v>
      </c>
      <c r="G112" s="22">
        <v>-810454</v>
      </c>
      <c r="H112" s="22">
        <v>-2224915</v>
      </c>
    </row>
    <row r="113" spans="2:8" x14ac:dyDescent="0.3">
      <c r="B113" t="s">
        <v>68</v>
      </c>
      <c r="C113" s="22">
        <v>4111</v>
      </c>
      <c r="E113" s="22">
        <v>0</v>
      </c>
      <c r="F113" s="22">
        <v>0</v>
      </c>
      <c r="G113" s="22">
        <v>0</v>
      </c>
      <c r="H113" s="22">
        <v>0</v>
      </c>
    </row>
    <row r="114" spans="2:8" x14ac:dyDescent="0.3">
      <c r="B114" t="s">
        <v>97</v>
      </c>
      <c r="C114" s="22">
        <v>7803</v>
      </c>
      <c r="D114" s="22">
        <v>4962</v>
      </c>
      <c r="E114" s="22">
        <v>-70213</v>
      </c>
      <c r="F114" s="22">
        <v>-41</v>
      </c>
    </row>
    <row r="115" spans="2:8" x14ac:dyDescent="0.3">
      <c r="B115" s="2" t="s">
        <v>79</v>
      </c>
      <c r="C115" s="22">
        <v>904918</v>
      </c>
      <c r="D115" s="22">
        <v>-1029119</v>
      </c>
      <c r="E115" s="22">
        <v>1499105</v>
      </c>
      <c r="F115" s="22">
        <v>457604</v>
      </c>
      <c r="G115" s="22">
        <v>-6917490</v>
      </c>
      <c r="H115" s="22">
        <v>-5795029</v>
      </c>
    </row>
    <row r="116" spans="2:8" x14ac:dyDescent="0.3">
      <c r="B116" s="2" t="s">
        <v>109</v>
      </c>
    </row>
    <row r="117" spans="2:8" x14ac:dyDescent="0.3">
      <c r="B117" t="s">
        <v>108</v>
      </c>
      <c r="C117" s="1">
        <f>10143872+386311</f>
        <v>10530183</v>
      </c>
      <c r="D117" s="22">
        <v>203083</v>
      </c>
      <c r="E117" s="22">
        <v>30128</v>
      </c>
      <c r="F117" s="22">
        <v>0</v>
      </c>
      <c r="G117" s="22">
        <v>40866</v>
      </c>
      <c r="H117" s="22">
        <v>0</v>
      </c>
    </row>
    <row r="118" spans="2:8" x14ac:dyDescent="0.3">
      <c r="B118" t="s">
        <v>80</v>
      </c>
      <c r="C118" s="22">
        <v>0</v>
      </c>
      <c r="D118" s="22">
        <v>10000000</v>
      </c>
      <c r="E118" s="22">
        <v>0</v>
      </c>
      <c r="F118" s="22">
        <v>9215775</v>
      </c>
      <c r="G118" s="22">
        <v>8595470</v>
      </c>
      <c r="H118" s="22">
        <v>10000000</v>
      </c>
    </row>
    <row r="119" spans="2:8" x14ac:dyDescent="0.3">
      <c r="B119" t="s">
        <v>81</v>
      </c>
      <c r="C119" s="22">
        <v>0</v>
      </c>
      <c r="D119" s="22">
        <v>0</v>
      </c>
      <c r="E119" s="22">
        <v>0</v>
      </c>
      <c r="F119" s="22">
        <v>0</v>
      </c>
      <c r="G119" s="22">
        <v>-9502140</v>
      </c>
      <c r="H119" s="22">
        <v>0</v>
      </c>
    </row>
    <row r="120" spans="2:8" x14ac:dyDescent="0.3">
      <c r="B120" t="s">
        <v>82</v>
      </c>
      <c r="C120" s="22">
        <v>-2362270</v>
      </c>
      <c r="D120" s="22">
        <v>-2496230</v>
      </c>
      <c r="E120" s="22">
        <v>-3873107</v>
      </c>
      <c r="F120" s="22">
        <v>-3802023</v>
      </c>
      <c r="G120" s="22">
        <v>-3422766</v>
      </c>
      <c r="H120" s="22">
        <v>-4283280</v>
      </c>
    </row>
    <row r="121" spans="2:8" x14ac:dyDescent="0.3">
      <c r="B121" t="s">
        <v>83</v>
      </c>
      <c r="E121" s="22">
        <v>-1049004</v>
      </c>
      <c r="F121" s="22">
        <v>-1354902</v>
      </c>
      <c r="G121" s="22">
        <v>-1366628</v>
      </c>
      <c r="H121" s="22">
        <v>-2055498</v>
      </c>
    </row>
    <row r="122" spans="2:8" x14ac:dyDescent="0.3">
      <c r="B122" t="s">
        <v>84</v>
      </c>
      <c r="C122" s="22">
        <v>-3690</v>
      </c>
      <c r="D122" s="22">
        <v>-4218</v>
      </c>
      <c r="E122" s="22">
        <v>-4988</v>
      </c>
      <c r="F122" s="22">
        <v>-15996</v>
      </c>
      <c r="G122" s="22">
        <v>-15168</v>
      </c>
      <c r="H122" s="22">
        <v>-14365</v>
      </c>
    </row>
    <row r="123" spans="2:8" x14ac:dyDescent="0.3">
      <c r="B123" t="s">
        <v>85</v>
      </c>
      <c r="C123" s="22">
        <v>-4349302</v>
      </c>
      <c r="D123" s="22">
        <v>-4703903</v>
      </c>
      <c r="E123" s="22">
        <v>-4857563</v>
      </c>
      <c r="F123" s="22">
        <v>-3082420</v>
      </c>
      <c r="G123" s="22">
        <v>-5159000</v>
      </c>
      <c r="H123" s="22">
        <v>-5343490</v>
      </c>
    </row>
    <row r="124" spans="2:8" x14ac:dyDescent="0.3">
      <c r="B124" s="2" t="s">
        <v>86</v>
      </c>
      <c r="C124" s="22">
        <v>3814921</v>
      </c>
      <c r="D124" s="22">
        <v>2998732</v>
      </c>
      <c r="E124" s="22">
        <v>-9754534</v>
      </c>
      <c r="F124" s="22">
        <v>960434</v>
      </c>
      <c r="G124" s="22">
        <v>-10829366</v>
      </c>
      <c r="H124" s="22">
        <v>-1696633</v>
      </c>
    </row>
    <row r="125" spans="2:8" x14ac:dyDescent="0.3">
      <c r="B125" t="s">
        <v>87</v>
      </c>
      <c r="C125" s="22">
        <v>1749197</v>
      </c>
      <c r="D125" s="22">
        <v>9686951</v>
      </c>
      <c r="E125" s="22">
        <v>9326450</v>
      </c>
      <c r="F125" s="22">
        <v>-2428554</v>
      </c>
      <c r="G125" s="22">
        <v>18084721</v>
      </c>
      <c r="H125" s="22">
        <v>81780527</v>
      </c>
    </row>
    <row r="126" spans="2:8" x14ac:dyDescent="0.3">
      <c r="B126" t="s">
        <v>88</v>
      </c>
      <c r="C126" s="22">
        <v>32924227</v>
      </c>
      <c r="D126" s="22">
        <v>34673424</v>
      </c>
      <c r="E126" s="22">
        <v>44360375</v>
      </c>
      <c r="F126" s="22">
        <v>53686825</v>
      </c>
      <c r="G126" s="22">
        <v>51258271</v>
      </c>
      <c r="H126" s="22">
        <v>69342992</v>
      </c>
    </row>
    <row r="127" spans="2:8" x14ac:dyDescent="0.3">
      <c r="B127" t="s">
        <v>89</v>
      </c>
      <c r="C127" s="22">
        <v>34673424</v>
      </c>
      <c r="D127" s="22">
        <v>44360375</v>
      </c>
      <c r="E127" s="22">
        <v>53686825</v>
      </c>
      <c r="F127" s="22">
        <v>51258271</v>
      </c>
      <c r="G127" s="22">
        <v>69342992</v>
      </c>
      <c r="H127" s="22">
        <v>151123519</v>
      </c>
    </row>
    <row r="128" spans="2:8" x14ac:dyDescent="0.3">
      <c r="B128" t="s">
        <v>90</v>
      </c>
      <c r="C128" s="22">
        <v>0</v>
      </c>
      <c r="D128" s="22">
        <v>-4413</v>
      </c>
      <c r="E128" s="22">
        <v>-5707</v>
      </c>
      <c r="F128" s="22">
        <v>-3241</v>
      </c>
      <c r="G128" s="22">
        <v>-7613</v>
      </c>
      <c r="H128" s="22">
        <v>-14029</v>
      </c>
    </row>
    <row r="129" spans="2:8" x14ac:dyDescent="0.3">
      <c r="B129" s="2" t="s">
        <v>91</v>
      </c>
      <c r="C129" s="22">
        <v>34673424</v>
      </c>
      <c r="D129" s="22">
        <v>44355962</v>
      </c>
      <c r="E129" s="22">
        <v>53681118</v>
      </c>
      <c r="F129" s="22">
        <v>51255030</v>
      </c>
      <c r="G129" s="22">
        <v>69335379</v>
      </c>
      <c r="H129" s="22">
        <v>151109490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2983-62EE-4611-BD51-2DEC9192CED2}">
  <dimension ref="A1:X27"/>
  <sheetViews>
    <sheetView showGridLines="0" workbookViewId="0">
      <selection activeCell="N16" sqref="N16"/>
    </sheetView>
  </sheetViews>
  <sheetFormatPr defaultRowHeight="14.4" x14ac:dyDescent="0.3"/>
  <sheetData>
    <row r="1" spans="1:24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5.8" x14ac:dyDescent="0.5">
      <c r="A3" s="5"/>
      <c r="B3" s="9" t="s">
        <v>111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1" x14ac:dyDescent="0.4">
      <c r="A4" s="5"/>
      <c r="B4" s="8" t="s">
        <v>113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1" x14ac:dyDescent="0.4">
      <c r="A5" s="5"/>
      <c r="B5" s="8" t="s">
        <v>112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21" x14ac:dyDescent="0.4">
      <c r="A6" s="5"/>
      <c r="B6" s="8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3A8B-7B7C-4CD6-AC95-B05B97ED29D1}">
  <dimension ref="B1:S136"/>
  <sheetViews>
    <sheetView tabSelected="1" zoomScale="99" zoomScaleNormal="100" zoomScaleSheetLayoutView="82" workbookViewId="0">
      <pane xSplit="2" ySplit="4" topLeftCell="E66" activePane="bottomRight" state="frozen"/>
      <selection pane="topRight" activeCell="D1" sqref="D1"/>
      <selection pane="bottomLeft" activeCell="A3" sqref="A3"/>
      <selection pane="bottomRight" activeCell="E85" sqref="E85"/>
    </sheetView>
  </sheetViews>
  <sheetFormatPr defaultRowHeight="14.4" x14ac:dyDescent="0.3"/>
  <cols>
    <col min="2" max="2" width="63.44140625" customWidth="1"/>
    <col min="3" max="9" width="14.21875" style="1" customWidth="1"/>
    <col min="10" max="13" width="14.88671875" customWidth="1"/>
    <col min="14" max="14" width="8.88671875" customWidth="1"/>
    <col min="15" max="15" width="14.5546875" customWidth="1"/>
    <col min="16" max="16" width="15.6640625" customWidth="1"/>
    <col min="17" max="18" width="14.88671875" customWidth="1"/>
    <col min="19" max="19" width="13" customWidth="1"/>
  </cols>
  <sheetData>
    <row r="1" spans="2:19" x14ac:dyDescent="0.3">
      <c r="J1" s="93"/>
    </row>
    <row r="2" spans="2:19" x14ac:dyDescent="0.3">
      <c r="C2" s="12"/>
      <c r="D2" s="12"/>
      <c r="E2" s="12"/>
      <c r="F2" s="12"/>
      <c r="G2" s="12"/>
      <c r="H2" s="12"/>
      <c r="I2" s="103"/>
      <c r="L2" t="s">
        <v>386</v>
      </c>
      <c r="O2" s="12"/>
    </row>
    <row r="3" spans="2:19" x14ac:dyDescent="0.3">
      <c r="B3" t="s">
        <v>62</v>
      </c>
    </row>
    <row r="4" spans="2:19" x14ac:dyDescent="0.3">
      <c r="B4" t="s">
        <v>110</v>
      </c>
      <c r="C4" s="4">
        <v>2017</v>
      </c>
      <c r="D4" s="4">
        <v>2018</v>
      </c>
      <c r="E4" s="4">
        <v>2019</v>
      </c>
      <c r="F4" s="4"/>
      <c r="G4" s="4">
        <v>2020</v>
      </c>
      <c r="H4" s="4">
        <v>2021</v>
      </c>
      <c r="I4" s="4">
        <v>2022</v>
      </c>
      <c r="J4" s="16" t="s">
        <v>117</v>
      </c>
      <c r="K4" s="16" t="s">
        <v>118</v>
      </c>
      <c r="L4" s="16" t="s">
        <v>119</v>
      </c>
      <c r="M4" s="16" t="s">
        <v>120</v>
      </c>
      <c r="O4" s="16" t="s">
        <v>348</v>
      </c>
      <c r="P4" s="16" t="s">
        <v>334</v>
      </c>
      <c r="Q4" s="16" t="s">
        <v>182</v>
      </c>
      <c r="R4" s="16" t="s">
        <v>183</v>
      </c>
    </row>
    <row r="5" spans="2:19" s="7" customFormat="1" x14ac:dyDescent="0.3">
      <c r="B5" s="10" t="s">
        <v>115</v>
      </c>
      <c r="C5" s="11"/>
      <c r="D5" s="11"/>
      <c r="E5" s="11"/>
      <c r="F5" s="11"/>
      <c r="G5" s="11"/>
      <c r="H5" s="11"/>
      <c r="I5" s="11"/>
    </row>
    <row r="6" spans="2:19" x14ac:dyDescent="0.3">
      <c r="B6" t="s">
        <v>0</v>
      </c>
      <c r="C6" s="21">
        <v>115605156</v>
      </c>
      <c r="D6" s="21">
        <v>139657195</v>
      </c>
      <c r="E6" s="21">
        <v>150741129</v>
      </c>
      <c r="F6" s="120"/>
      <c r="G6" s="21">
        <v>151966413</v>
      </c>
      <c r="H6" s="21">
        <v>163675312</v>
      </c>
      <c r="I6" s="21">
        <v>280386944</v>
      </c>
      <c r="J6" s="94">
        <f>J7+J10+J13+J14+J15</f>
        <v>348708883.58401507</v>
      </c>
      <c r="K6" s="94">
        <f>K7+K10+K13+K14+K15</f>
        <v>362864826.49157625</v>
      </c>
      <c r="L6" s="94">
        <f>L7+L10+L13+L14+L15</f>
        <v>412721431.7687695</v>
      </c>
      <c r="M6" s="94">
        <f>M7+M10+M13+M14+M15</f>
        <v>464648276.74563396</v>
      </c>
      <c r="N6" s="12"/>
      <c r="O6" s="12">
        <f>P6/9*12</f>
        <v>341283818.66666669</v>
      </c>
      <c r="P6" s="33">
        <v>255962864</v>
      </c>
      <c r="Q6" s="21">
        <v>167668267</v>
      </c>
      <c r="R6" s="21">
        <v>119517450</v>
      </c>
      <c r="S6" s="12">
        <f>Q6*2</f>
        <v>335336534</v>
      </c>
    </row>
    <row r="7" spans="2:19" x14ac:dyDescent="0.3">
      <c r="B7" t="s">
        <v>1</v>
      </c>
      <c r="C7" s="22">
        <v>104049102</v>
      </c>
      <c r="D7" s="22">
        <v>118551239</v>
      </c>
      <c r="E7" s="22">
        <v>129287743</v>
      </c>
      <c r="F7" s="121"/>
      <c r="G7" s="22">
        <v>124087713</v>
      </c>
      <c r="H7" s="22">
        <v>132818178</v>
      </c>
      <c r="I7" s="22">
        <v>222393079</v>
      </c>
      <c r="J7" s="95">
        <f>Drivers!I7</f>
        <v>305857340.25651371</v>
      </c>
      <c r="K7" s="95">
        <f>Drivers!J7</f>
        <v>295139360.82759655</v>
      </c>
      <c r="L7" s="95">
        <f>Drivers!K7</f>
        <v>337849476.98441112</v>
      </c>
      <c r="M7" s="95">
        <f>Drivers!L7</f>
        <v>381754847.54438692</v>
      </c>
      <c r="N7" s="12"/>
      <c r="O7" s="12">
        <f t="shared" ref="O7:O33" si="0">P7/9*12</f>
        <v>299426685.33333331</v>
      </c>
      <c r="P7" s="33">
        <v>224570014</v>
      </c>
      <c r="Q7" s="22">
        <v>150811644</v>
      </c>
      <c r="R7" s="22">
        <v>88116673</v>
      </c>
      <c r="S7" s="12">
        <f t="shared" ref="S7:S30" si="1">Q7*2</f>
        <v>301623288</v>
      </c>
    </row>
    <row r="8" spans="2:19" x14ac:dyDescent="0.3">
      <c r="B8" t="s">
        <v>2</v>
      </c>
      <c r="C8" s="22">
        <v>64481804</v>
      </c>
      <c r="D8" s="22">
        <v>72933030</v>
      </c>
      <c r="E8" s="22">
        <v>80931352</v>
      </c>
      <c r="F8" s="122"/>
      <c r="G8" s="22">
        <v>73218911</v>
      </c>
      <c r="H8" s="22">
        <v>66401846</v>
      </c>
      <c r="I8" s="22">
        <v>137727868</v>
      </c>
      <c r="J8" s="95">
        <f>Drivers!I58</f>
        <v>222694934.72680619</v>
      </c>
      <c r="K8" s="95">
        <f>Drivers!J58</f>
        <v>232020487.58764628</v>
      </c>
      <c r="L8" s="95">
        <f>Drivers!K58</f>
        <v>266158409.24064526</v>
      </c>
      <c r="M8" s="95">
        <f>Drivers!L58</f>
        <v>300807884.65727943</v>
      </c>
      <c r="N8" s="12"/>
      <c r="O8" s="12">
        <f t="shared" si="0"/>
        <v>218251002.66666669</v>
      </c>
      <c r="P8" s="33">
        <v>163688252</v>
      </c>
      <c r="Q8" s="22">
        <v>113361974</v>
      </c>
      <c r="R8" s="22">
        <v>47404088</v>
      </c>
      <c r="S8" s="12">
        <f t="shared" si="1"/>
        <v>226723948</v>
      </c>
    </row>
    <row r="9" spans="2:19" x14ac:dyDescent="0.3">
      <c r="B9" s="2" t="s">
        <v>3</v>
      </c>
      <c r="C9" s="21">
        <v>39567298</v>
      </c>
      <c r="D9" s="21">
        <v>45618209</v>
      </c>
      <c r="E9" s="21">
        <v>48356391</v>
      </c>
      <c r="F9" s="120"/>
      <c r="G9" s="21">
        <v>50868802</v>
      </c>
      <c r="H9" s="21">
        <v>66416332</v>
      </c>
      <c r="I9" s="21">
        <v>84665211</v>
      </c>
      <c r="J9" s="94">
        <f>J7-J8</f>
        <v>83162405.529707521</v>
      </c>
      <c r="K9" s="94">
        <f>K7-K8</f>
        <v>63118873.239950269</v>
      </c>
      <c r="L9" s="94">
        <f>L7-L8</f>
        <v>71691067.743765861</v>
      </c>
      <c r="M9" s="94">
        <f>M7-M8</f>
        <v>80946962.887107491</v>
      </c>
      <c r="N9" s="12"/>
      <c r="O9" s="12">
        <f t="shared" si="0"/>
        <v>81175682.666666657</v>
      </c>
      <c r="P9" s="33">
        <v>60881762</v>
      </c>
      <c r="Q9" s="21">
        <v>37449670</v>
      </c>
      <c r="R9" s="21">
        <v>40712585</v>
      </c>
      <c r="S9" s="12">
        <f t="shared" si="1"/>
        <v>74899340</v>
      </c>
    </row>
    <row r="10" spans="2:19" x14ac:dyDescent="0.3">
      <c r="B10" t="s">
        <v>4</v>
      </c>
      <c r="C10" s="22">
        <v>10510800</v>
      </c>
      <c r="D10" s="22">
        <v>12494090</v>
      </c>
      <c r="E10" s="22">
        <v>12874966</v>
      </c>
      <c r="F10" s="122"/>
      <c r="G10" s="22">
        <v>11839689</v>
      </c>
      <c r="H10" s="22">
        <v>15917337</v>
      </c>
      <c r="I10" s="22">
        <v>26191530</v>
      </c>
      <c r="J10" s="95">
        <f>Drivers!I78</f>
        <v>30373716.660834748</v>
      </c>
      <c r="K10" s="95">
        <f>Drivers!J78</f>
        <v>35658825.793979719</v>
      </c>
      <c r="L10" s="95">
        <f>Drivers!K78</f>
        <v>41280197.603658363</v>
      </c>
      <c r="M10" s="95">
        <f>Drivers!L78</f>
        <v>47701080.991139993</v>
      </c>
      <c r="N10" s="12"/>
      <c r="O10" s="12">
        <f t="shared" si="0"/>
        <v>29379306.666666664</v>
      </c>
      <c r="P10" s="33">
        <v>22034480</v>
      </c>
      <c r="Q10" s="22">
        <v>14377446</v>
      </c>
      <c r="R10" s="22">
        <v>11758745</v>
      </c>
      <c r="S10" s="12">
        <f t="shared" si="1"/>
        <v>28754892</v>
      </c>
    </row>
    <row r="11" spans="2:19" x14ac:dyDescent="0.3">
      <c r="B11" t="s">
        <v>5</v>
      </c>
      <c r="C11" s="22">
        <v>1586334</v>
      </c>
      <c r="D11" s="22">
        <v>1859698</v>
      </c>
      <c r="E11" s="22">
        <v>2123128</v>
      </c>
      <c r="F11" s="122"/>
      <c r="G11" s="22">
        <v>2018014</v>
      </c>
      <c r="H11" s="22">
        <v>3675143</v>
      </c>
      <c r="I11" s="22">
        <v>6022429</v>
      </c>
      <c r="J11" s="95">
        <f>Drivers!I93</f>
        <v>7593429.1652086871</v>
      </c>
      <c r="K11" s="95">
        <f>Drivers!J93</f>
        <v>8201529.932615336</v>
      </c>
      <c r="L11" s="95">
        <f>Drivers!K93</f>
        <v>9494445.4488414247</v>
      </c>
      <c r="M11" s="95">
        <f>Drivers!L93</f>
        <v>10971248.627962198</v>
      </c>
      <c r="N11" s="12"/>
      <c r="O11" s="12">
        <f t="shared" si="0"/>
        <v>7766089.333333334</v>
      </c>
      <c r="P11" s="33">
        <v>5824567</v>
      </c>
      <c r="Q11" s="22">
        <v>3786488</v>
      </c>
      <c r="R11" s="22">
        <v>2881243</v>
      </c>
      <c r="S11" s="12">
        <f t="shared" si="1"/>
        <v>7572976</v>
      </c>
    </row>
    <row r="12" spans="2:19" x14ac:dyDescent="0.3">
      <c r="B12" s="2" t="s">
        <v>6</v>
      </c>
      <c r="C12" s="21">
        <v>8924466</v>
      </c>
      <c r="D12" s="21">
        <v>10634392</v>
      </c>
      <c r="E12" s="21">
        <v>10751838</v>
      </c>
      <c r="F12" s="120"/>
      <c r="G12" s="21">
        <v>9821675</v>
      </c>
      <c r="H12" s="21">
        <v>12242194</v>
      </c>
      <c r="I12" s="21">
        <v>20169101</v>
      </c>
      <c r="J12" s="94">
        <f>J10-J11</f>
        <v>22780287.495626062</v>
      </c>
      <c r="K12" s="94">
        <f>K10-K11</f>
        <v>27457295.861364383</v>
      </c>
      <c r="L12" s="94">
        <f>L10-L11</f>
        <v>31785752.15481694</v>
      </c>
      <c r="M12" s="94">
        <f>M10-M11</f>
        <v>36729832.363177791</v>
      </c>
      <c r="N12" s="12"/>
      <c r="O12" s="12">
        <f t="shared" si="0"/>
        <v>21613217.333333336</v>
      </c>
      <c r="P12" s="33">
        <v>16209913</v>
      </c>
      <c r="Q12" s="21">
        <v>10590958</v>
      </c>
      <c r="R12" s="21">
        <v>8877502</v>
      </c>
      <c r="S12" s="12">
        <f t="shared" si="1"/>
        <v>21181916</v>
      </c>
    </row>
    <row r="13" spans="2:19" x14ac:dyDescent="0.3">
      <c r="B13" t="s">
        <v>7</v>
      </c>
      <c r="C13" s="22">
        <v>233956</v>
      </c>
      <c r="D13" s="22">
        <v>-3033236</v>
      </c>
      <c r="E13" s="22">
        <v>1360833</v>
      </c>
      <c r="F13" s="122"/>
      <c r="G13" s="22">
        <v>1878060</v>
      </c>
      <c r="H13" s="22">
        <v>1936007</v>
      </c>
      <c r="I13" s="22">
        <v>35297450</v>
      </c>
      <c r="J13" s="95">
        <f>Drivers!I106</f>
        <v>-16199576</v>
      </c>
      <c r="K13" s="95">
        <f>Drivers!J106</f>
        <v>1955367.07</v>
      </c>
      <c r="L13" s="95">
        <f>Drivers!K106</f>
        <v>1974920.7407000002</v>
      </c>
      <c r="M13" s="95">
        <f>Drivers!L106</f>
        <v>1994669.9481070002</v>
      </c>
      <c r="N13" s="12"/>
      <c r="O13" s="12">
        <f t="shared" si="0"/>
        <v>-16199576</v>
      </c>
      <c r="P13" s="33">
        <v>-12149682</v>
      </c>
      <c r="Q13" s="22">
        <v>-15531353</v>
      </c>
      <c r="R13" s="22">
        <v>32101899</v>
      </c>
      <c r="S13" s="12">
        <f t="shared" si="1"/>
        <v>-31062706</v>
      </c>
    </row>
    <row r="14" spans="2:19" x14ac:dyDescent="0.3">
      <c r="B14" t="s">
        <v>8</v>
      </c>
      <c r="C14" s="22">
        <v>91272</v>
      </c>
      <c r="D14" s="22">
        <v>272004</v>
      </c>
      <c r="E14" s="22">
        <v>1135711</v>
      </c>
      <c r="F14" s="122"/>
      <c r="G14" s="22">
        <v>6390197</v>
      </c>
      <c r="H14" s="22">
        <v>3001574</v>
      </c>
      <c r="I14" s="22">
        <v>276884</v>
      </c>
      <c r="J14" s="95">
        <f>P14/9*12</f>
        <v>3517693.3333333335</v>
      </c>
      <c r="K14" s="95">
        <f>J14*1.05</f>
        <v>3693578.0000000005</v>
      </c>
      <c r="L14" s="95">
        <f>K14*1.05</f>
        <v>3878256.9000000008</v>
      </c>
      <c r="M14" s="95">
        <f>L14*1.05</f>
        <v>4072169.745000001</v>
      </c>
      <c r="N14" s="12"/>
      <c r="O14" s="12">
        <f t="shared" si="0"/>
        <v>3517693.3333333335</v>
      </c>
      <c r="P14" s="33">
        <v>2638270</v>
      </c>
      <c r="Q14" s="22">
        <v>924510</v>
      </c>
      <c r="R14" s="22">
        <v>64262</v>
      </c>
      <c r="S14" s="12">
        <f t="shared" si="1"/>
        <v>1849020</v>
      </c>
    </row>
    <row r="15" spans="2:19" x14ac:dyDescent="0.3">
      <c r="B15" t="s">
        <v>9</v>
      </c>
      <c r="C15" s="22">
        <v>720026</v>
      </c>
      <c r="D15" s="22">
        <v>11373098</v>
      </c>
      <c r="E15" s="22">
        <v>6081876</v>
      </c>
      <c r="F15" s="122"/>
      <c r="G15" s="22">
        <v>7770754</v>
      </c>
      <c r="H15" s="22">
        <v>10002216</v>
      </c>
      <c r="I15" s="22">
        <v>-3771999</v>
      </c>
      <c r="J15" s="95">
        <f>Drivers!I123</f>
        <v>25159709.333333336</v>
      </c>
      <c r="K15" s="95">
        <f>Drivers!J123</f>
        <v>26417694.800000004</v>
      </c>
      <c r="L15" s="95">
        <f>Drivers!K123</f>
        <v>27738579.540000007</v>
      </c>
      <c r="M15" s="95">
        <f>Drivers!L123</f>
        <v>29125508.517000008</v>
      </c>
      <c r="N15" s="12"/>
      <c r="O15" s="12">
        <f t="shared" si="0"/>
        <v>25159709.333333336</v>
      </c>
      <c r="P15" s="33">
        <v>18869782</v>
      </c>
      <c r="Q15" s="22">
        <v>17086020</v>
      </c>
      <c r="R15" s="22">
        <v>-12524129</v>
      </c>
      <c r="S15" s="12">
        <f t="shared" si="1"/>
        <v>34172040</v>
      </c>
    </row>
    <row r="16" spans="2:19" x14ac:dyDescent="0.3">
      <c r="B16" t="s">
        <v>10</v>
      </c>
      <c r="C16" s="21">
        <v>49537018</v>
      </c>
      <c r="D16" s="21">
        <v>64864467</v>
      </c>
      <c r="E16" s="21">
        <v>67686649</v>
      </c>
      <c r="F16" s="120"/>
      <c r="G16" s="21">
        <v>76729488</v>
      </c>
      <c r="H16" s="21">
        <v>93598323</v>
      </c>
      <c r="I16" s="21">
        <v>136636647</v>
      </c>
      <c r="J16" s="94">
        <f>J9+J12+J13+J14+J15</f>
        <v>118420519.69200024</v>
      </c>
      <c r="K16" s="94">
        <f>K9+K12+K13+K14+K15</f>
        <v>122642808.97131464</v>
      </c>
      <c r="L16" s="94">
        <f>L9+L12+L13+L14+L15</f>
        <v>137068577.07928282</v>
      </c>
      <c r="M16" s="94">
        <f>M9+M12+M13+M14+M15</f>
        <v>152869143.4603923</v>
      </c>
      <c r="N16" s="12"/>
      <c r="O16" s="12">
        <f t="shared" si="0"/>
        <v>115266726.66666667</v>
      </c>
      <c r="P16" s="33">
        <v>86450045</v>
      </c>
      <c r="Q16" s="21">
        <v>50519805</v>
      </c>
      <c r="R16" s="21">
        <v>69232119</v>
      </c>
      <c r="S16" s="12">
        <f t="shared" si="1"/>
        <v>101039610</v>
      </c>
    </row>
    <row r="17" spans="2:19" x14ac:dyDescent="0.3">
      <c r="B17" t="s">
        <v>11</v>
      </c>
      <c r="C17" s="22">
        <v>989315</v>
      </c>
      <c r="D17" s="22">
        <v>8833362</v>
      </c>
      <c r="E17" s="22">
        <v>11331523</v>
      </c>
      <c r="F17" s="121"/>
      <c r="G17" s="22">
        <v>21419532</v>
      </c>
      <c r="H17" s="22">
        <v>25139926</v>
      </c>
      <c r="I17" s="22">
        <v>71924260</v>
      </c>
      <c r="J17" s="95">
        <f>Drivers!I138</f>
        <v>35328925.595250003</v>
      </c>
      <c r="K17" s="95">
        <f>Drivers!J138</f>
        <v>30095010.692249998</v>
      </c>
      <c r="L17" s="95">
        <f>Drivers!K138</f>
        <v>34609262.296087496</v>
      </c>
      <c r="M17" s="95">
        <f>Drivers!L138</f>
        <v>39800651.64050062</v>
      </c>
      <c r="N17" s="12"/>
      <c r="O17" s="12">
        <f t="shared" si="0"/>
        <v>34376146.666666672</v>
      </c>
      <c r="P17" s="33">
        <v>25782110</v>
      </c>
      <c r="Q17" s="22">
        <v>13210963</v>
      </c>
      <c r="R17" s="22">
        <v>35218619</v>
      </c>
      <c r="S17" s="12">
        <f t="shared" si="1"/>
        <v>26421926</v>
      </c>
    </row>
    <row r="18" spans="2:19" x14ac:dyDescent="0.3">
      <c r="B18" s="2" t="s">
        <v>12</v>
      </c>
      <c r="C18" s="21">
        <v>48547703</v>
      </c>
      <c r="D18" s="21">
        <v>56031105</v>
      </c>
      <c r="E18" s="21">
        <v>56355126</v>
      </c>
      <c r="F18" s="120"/>
      <c r="G18" s="21">
        <v>55309956</v>
      </c>
      <c r="H18" s="21">
        <v>68458397</v>
      </c>
      <c r="I18" s="21">
        <v>64712387</v>
      </c>
      <c r="J18" s="94">
        <f>J16-J17</f>
        <v>83091594.09675023</v>
      </c>
      <c r="K18" s="94">
        <f>K16-K17</f>
        <v>92547798.27906464</v>
      </c>
      <c r="L18" s="94">
        <f>L16-L17</f>
        <v>102459314.78319532</v>
      </c>
      <c r="M18" s="94">
        <f>M16-M17</f>
        <v>113068491.81989168</v>
      </c>
      <c r="N18" s="12"/>
      <c r="O18" s="12">
        <f t="shared" si="0"/>
        <v>80890580</v>
      </c>
      <c r="P18" s="33">
        <v>60667935</v>
      </c>
      <c r="Q18" s="21">
        <v>37308842</v>
      </c>
      <c r="R18" s="21">
        <v>34013500</v>
      </c>
      <c r="S18" s="12">
        <f t="shared" si="1"/>
        <v>74617684</v>
      </c>
    </row>
    <row r="19" spans="2:19" x14ac:dyDescent="0.3">
      <c r="B19" t="s">
        <v>98</v>
      </c>
      <c r="F19" s="116"/>
      <c r="J19" s="95"/>
      <c r="K19" s="95"/>
      <c r="L19" s="95"/>
      <c r="M19" s="95"/>
      <c r="N19" s="12"/>
      <c r="O19" s="12">
        <f t="shared" si="0"/>
        <v>0</v>
      </c>
      <c r="P19" s="12"/>
      <c r="Q19" s="1"/>
      <c r="R19" s="1"/>
      <c r="S19" s="12">
        <f t="shared" si="1"/>
        <v>0</v>
      </c>
    </row>
    <row r="20" spans="2:19" x14ac:dyDescent="0.3">
      <c r="B20" s="3" t="s">
        <v>99</v>
      </c>
      <c r="C20" s="22">
        <v>11338517</v>
      </c>
      <c r="D20" s="22">
        <v>13289668</v>
      </c>
      <c r="E20" s="22">
        <v>14408914</v>
      </c>
      <c r="F20" s="121"/>
      <c r="G20" s="22">
        <v>14992748</v>
      </c>
      <c r="H20" s="22">
        <v>16799212</v>
      </c>
      <c r="I20" s="22">
        <v>19788283</v>
      </c>
      <c r="J20" s="95">
        <f>Drivers!I155</f>
        <v>21767111.300000001</v>
      </c>
      <c r="K20" s="95">
        <f>Drivers!J155</f>
        <v>23943822.430000003</v>
      </c>
      <c r="L20" s="95">
        <f>Drivers!K155</f>
        <v>26338204.673000004</v>
      </c>
      <c r="M20" s="95">
        <f>Drivers!L155</f>
        <v>28972025.140300006</v>
      </c>
      <c r="N20" s="12"/>
      <c r="O20" s="12">
        <f t="shared" si="0"/>
        <v>22412377.333333332</v>
      </c>
      <c r="P20" s="33">
        <v>16809283</v>
      </c>
      <c r="Q20" s="22">
        <v>11296515</v>
      </c>
      <c r="R20" s="22">
        <v>9584347</v>
      </c>
      <c r="S20" s="12">
        <f t="shared" si="1"/>
        <v>22593030</v>
      </c>
    </row>
    <row r="21" spans="2:19" x14ac:dyDescent="0.3">
      <c r="B21" t="s">
        <v>13</v>
      </c>
      <c r="C21" s="22">
        <v>1416927</v>
      </c>
      <c r="D21" s="22">
        <v>1603118</v>
      </c>
      <c r="E21" s="22">
        <v>2841264</v>
      </c>
      <c r="F21" s="122"/>
      <c r="G21" s="22">
        <v>3102695</v>
      </c>
      <c r="H21" s="22">
        <v>3220066</v>
      </c>
      <c r="I21" s="22">
        <v>3598371</v>
      </c>
      <c r="J21" s="95">
        <f>Drivers!I172</f>
        <v>4116991.05</v>
      </c>
      <c r="K21" s="95">
        <f>Drivers!J172</f>
        <v>4240227.2249999996</v>
      </c>
      <c r="L21" s="95">
        <f>Drivers!K172</f>
        <v>4381833.45</v>
      </c>
      <c r="M21" s="95">
        <f>Drivers!L172</f>
        <v>4529601.4837499997</v>
      </c>
      <c r="N21" s="12"/>
      <c r="O21" s="12">
        <f t="shared" si="0"/>
        <v>4106025.333333333</v>
      </c>
      <c r="P21" s="33">
        <v>3079519</v>
      </c>
      <c r="Q21" s="22">
        <v>2084338</v>
      </c>
      <c r="R21" s="22">
        <v>1724022</v>
      </c>
      <c r="S21" s="12">
        <f t="shared" si="1"/>
        <v>4168676</v>
      </c>
    </row>
    <row r="22" spans="2:19" x14ac:dyDescent="0.3">
      <c r="B22" t="s">
        <v>14</v>
      </c>
      <c r="C22" s="22">
        <v>7618993</v>
      </c>
      <c r="D22" s="22">
        <v>8993958</v>
      </c>
      <c r="E22" s="22">
        <v>8875316</v>
      </c>
      <c r="F22" s="122"/>
      <c r="G22" s="22">
        <v>8167170</v>
      </c>
      <c r="H22" s="22">
        <v>9638461</v>
      </c>
      <c r="I22" s="22">
        <v>12895587</v>
      </c>
      <c r="J22" s="95">
        <f>Drivers!I184</f>
        <v>16764263.100000001</v>
      </c>
      <c r="K22" s="95">
        <f>Drivers!J184</f>
        <v>20117115.720000003</v>
      </c>
      <c r="L22" s="95">
        <f>Drivers!K184</f>
        <v>24140538.864000004</v>
      </c>
      <c r="M22" s="95">
        <f>Drivers!L184</f>
        <v>28968646.636800002</v>
      </c>
      <c r="N22" s="12"/>
      <c r="O22" s="12">
        <f t="shared" si="0"/>
        <v>16116592</v>
      </c>
      <c r="P22" s="33">
        <v>12087444</v>
      </c>
      <c r="Q22" s="22">
        <v>7903941</v>
      </c>
      <c r="R22" s="22">
        <v>6723078</v>
      </c>
      <c r="S22" s="12">
        <f t="shared" si="1"/>
        <v>15807882</v>
      </c>
    </row>
    <row r="23" spans="2:19" x14ac:dyDescent="0.3">
      <c r="B23" s="2" t="s">
        <v>15</v>
      </c>
      <c r="C23" s="21">
        <v>20374437</v>
      </c>
      <c r="D23" s="21">
        <v>23886744</v>
      </c>
      <c r="E23" s="21">
        <v>26125494</v>
      </c>
      <c r="F23" s="120"/>
      <c r="G23" s="21">
        <v>26262613</v>
      </c>
      <c r="H23" s="21">
        <v>29657739</v>
      </c>
      <c r="I23" s="21">
        <v>36282241</v>
      </c>
      <c r="J23" s="94">
        <f>J20+J21+J22</f>
        <v>42648365.450000003</v>
      </c>
      <c r="K23" s="94">
        <f>K20+K21+K22</f>
        <v>48301165.375</v>
      </c>
      <c r="L23" s="94">
        <f>L20+L21+L22</f>
        <v>54860576.987000003</v>
      </c>
      <c r="M23" s="94">
        <f>M20+M21+M22</f>
        <v>62470273.260850012</v>
      </c>
      <c r="N23" s="12"/>
      <c r="O23" s="12">
        <f t="shared" si="0"/>
        <v>42634994.666666664</v>
      </c>
      <c r="P23" s="33">
        <v>31976246</v>
      </c>
      <c r="Q23" s="21">
        <v>21284794</v>
      </c>
      <c r="R23" s="21">
        <v>18031447</v>
      </c>
      <c r="S23" s="12">
        <f>Q23*2</f>
        <v>42569588</v>
      </c>
    </row>
    <row r="24" spans="2:19" x14ac:dyDescent="0.3">
      <c r="B24" t="s">
        <v>16</v>
      </c>
      <c r="C24" s="22">
        <v>28173266</v>
      </c>
      <c r="D24" s="22">
        <v>32144361</v>
      </c>
      <c r="E24" s="22">
        <v>30229632</v>
      </c>
      <c r="F24" s="122"/>
      <c r="G24" s="22">
        <v>29047343</v>
      </c>
      <c r="H24" s="22">
        <v>38800658</v>
      </c>
      <c r="I24" s="22">
        <v>28430146</v>
      </c>
      <c r="J24" s="95">
        <f>J18-J23</f>
        <v>40443228.646750227</v>
      </c>
      <c r="K24" s="95">
        <f>K18-K23</f>
        <v>44246632.90406464</v>
      </c>
      <c r="L24" s="95">
        <f>L18-L23</f>
        <v>47598737.796195313</v>
      </c>
      <c r="M24" s="95">
        <f>M18-M23</f>
        <v>50598218.559041664</v>
      </c>
      <c r="N24" s="12"/>
      <c r="O24" s="12">
        <f t="shared" si="0"/>
        <v>38255585.333333336</v>
      </c>
      <c r="P24" s="33">
        <v>28691689</v>
      </c>
      <c r="Q24" s="22">
        <v>16024048</v>
      </c>
      <c r="R24" s="22">
        <v>15982053</v>
      </c>
      <c r="S24" s="12">
        <f t="shared" si="1"/>
        <v>32048096</v>
      </c>
    </row>
    <row r="25" spans="2:19" x14ac:dyDescent="0.3">
      <c r="B25" t="s">
        <v>17</v>
      </c>
      <c r="C25" s="22">
        <v>4896620</v>
      </c>
      <c r="D25" s="22">
        <v>6051861</v>
      </c>
      <c r="E25" s="22">
        <v>7255728</v>
      </c>
      <c r="F25" s="122"/>
      <c r="G25" s="22">
        <v>4531381</v>
      </c>
      <c r="H25" s="22">
        <v>5845230</v>
      </c>
      <c r="I25" s="22">
        <v>3921381</v>
      </c>
      <c r="J25" s="95">
        <f>Drivers!I196</f>
        <v>4893717.4441042198</v>
      </c>
      <c r="K25" s="95">
        <f>Drivers!J196</f>
        <v>5902787.2165519306</v>
      </c>
      <c r="L25" s="95">
        <f>Drivers!K196</f>
        <v>6756989.5396882221</v>
      </c>
      <c r="M25" s="95">
        <f>Drivers!L196</f>
        <v>7635096.9508877387</v>
      </c>
      <c r="N25" s="12"/>
      <c r="O25" s="12">
        <f t="shared" si="0"/>
        <v>4886169.333333333</v>
      </c>
      <c r="P25" s="33">
        <v>3664627</v>
      </c>
      <c r="Q25" s="22">
        <v>1933968</v>
      </c>
      <c r="R25" s="22">
        <v>2602781</v>
      </c>
      <c r="S25" s="12">
        <f t="shared" si="1"/>
        <v>3867936</v>
      </c>
    </row>
    <row r="26" spans="2:19" x14ac:dyDescent="0.3">
      <c r="B26" s="2" t="s">
        <v>18</v>
      </c>
      <c r="C26" s="21">
        <v>23276646</v>
      </c>
      <c r="D26" s="21">
        <v>26092500</v>
      </c>
      <c r="E26" s="21">
        <v>22973904</v>
      </c>
      <c r="F26" s="120"/>
      <c r="G26" s="21">
        <v>24515962</v>
      </c>
      <c r="H26" s="21">
        <v>32955428</v>
      </c>
      <c r="I26" s="21">
        <v>24508765</v>
      </c>
      <c r="J26" s="94">
        <f>J24-J25</f>
        <v>35549511.20264601</v>
      </c>
      <c r="K26" s="94">
        <f>K24-K25</f>
        <v>38343845.687512711</v>
      </c>
      <c r="L26" s="94">
        <f>L24-L25</f>
        <v>40841748.256507091</v>
      </c>
      <c r="M26" s="94">
        <f>M24-M25</f>
        <v>42963121.608153924</v>
      </c>
      <c r="N26" s="12"/>
      <c r="O26" s="12">
        <f t="shared" si="0"/>
        <v>33369416</v>
      </c>
      <c r="P26" s="33">
        <v>25027062</v>
      </c>
      <c r="Q26" s="21">
        <v>14090080</v>
      </c>
      <c r="R26" s="21">
        <v>13379272</v>
      </c>
      <c r="S26" s="12">
        <f t="shared" si="1"/>
        <v>28180160</v>
      </c>
    </row>
    <row r="27" spans="2:19" x14ac:dyDescent="0.3">
      <c r="B27" t="s">
        <v>19</v>
      </c>
      <c r="C27" s="22">
        <v>3678</v>
      </c>
      <c r="D27" s="22">
        <v>6048</v>
      </c>
      <c r="E27" s="22">
        <v>9992</v>
      </c>
      <c r="F27" s="122"/>
      <c r="G27" s="22">
        <v>3898</v>
      </c>
      <c r="H27" s="22">
        <v>1896</v>
      </c>
      <c r="I27" s="22">
        <v>-3727</v>
      </c>
      <c r="J27" s="95">
        <f>P27/9*12</f>
        <v>5197.333333333333</v>
      </c>
      <c r="K27" s="95">
        <f>J27*1.01</f>
        <v>5249.3066666666664</v>
      </c>
      <c r="L27" s="95">
        <f>K27*1.01</f>
        <v>5301.7997333333333</v>
      </c>
      <c r="M27" s="95">
        <f>L27*1.01</f>
        <v>5354.8177306666666</v>
      </c>
      <c r="N27" s="12"/>
      <c r="O27" s="12">
        <f t="shared" si="0"/>
        <v>5197.333333333333</v>
      </c>
      <c r="P27" s="33">
        <v>3898</v>
      </c>
      <c r="Q27" s="22">
        <v>2352</v>
      </c>
      <c r="R27" s="22">
        <v>-3476</v>
      </c>
      <c r="S27" s="12">
        <f t="shared" si="1"/>
        <v>4704</v>
      </c>
    </row>
    <row r="28" spans="2:19" x14ac:dyDescent="0.3">
      <c r="B28" s="2" t="s">
        <v>20</v>
      </c>
      <c r="C28" s="22">
        <v>23280324</v>
      </c>
      <c r="D28" s="22">
        <v>26098548</v>
      </c>
      <c r="E28" s="23">
        <v>22983896</v>
      </c>
      <c r="F28" s="123"/>
      <c r="G28" s="23">
        <v>24519860</v>
      </c>
      <c r="H28" s="23">
        <v>32957324</v>
      </c>
      <c r="I28" s="23">
        <v>24505038</v>
      </c>
      <c r="J28" s="95">
        <f>J26+J27</f>
        <v>35554708.535979345</v>
      </c>
      <c r="K28" s="95">
        <f>K26+K27</f>
        <v>38349094.994179375</v>
      </c>
      <c r="L28" s="95">
        <f>L26+L27</f>
        <v>40847050.056240425</v>
      </c>
      <c r="M28" s="95">
        <f>M26+M27</f>
        <v>42968476.42588459</v>
      </c>
      <c r="N28" s="12"/>
      <c r="O28" s="12">
        <f t="shared" si="0"/>
        <v>33374613.333333336</v>
      </c>
      <c r="P28" s="33">
        <v>25030960</v>
      </c>
      <c r="Q28" s="22">
        <v>14092432</v>
      </c>
      <c r="R28" s="22">
        <v>13375796</v>
      </c>
      <c r="S28" s="12">
        <f t="shared" si="1"/>
        <v>28184864</v>
      </c>
    </row>
    <row r="29" spans="2:19" x14ac:dyDescent="0.3">
      <c r="B29" t="s">
        <v>21</v>
      </c>
      <c r="C29" s="22">
        <v>6653817</v>
      </c>
      <c r="D29" s="22">
        <v>8235717</v>
      </c>
      <c r="E29" s="23">
        <v>5563500</v>
      </c>
      <c r="F29" s="123"/>
      <c r="G29" s="23">
        <v>7433063</v>
      </c>
      <c r="H29" s="23">
        <v>8667036</v>
      </c>
      <c r="I29" s="23">
        <v>105566</v>
      </c>
      <c r="J29" s="95">
        <f>Drivers!I206</f>
        <v>14932977.585111324</v>
      </c>
      <c r="K29" s="95">
        <f>Drivers!J206</f>
        <v>11504728.498253813</v>
      </c>
      <c r="L29" s="95">
        <f>Drivers!K206</f>
        <v>12254115.016872127</v>
      </c>
      <c r="M29" s="95">
        <f>Drivers!L206</f>
        <v>12890542.927765377</v>
      </c>
      <c r="N29" s="12"/>
      <c r="O29" s="12">
        <f t="shared" si="0"/>
        <v>13689806.666666668</v>
      </c>
      <c r="P29" s="33">
        <v>10267355</v>
      </c>
      <c r="Q29" s="22">
        <v>5801958</v>
      </c>
      <c r="R29" s="22">
        <v>4198046</v>
      </c>
      <c r="S29" s="12">
        <f t="shared" si="1"/>
        <v>11603916</v>
      </c>
    </row>
    <row r="30" spans="2:19" ht="15" thickBot="1" x14ac:dyDescent="0.35">
      <c r="B30" s="2" t="s">
        <v>22</v>
      </c>
      <c r="C30" s="24">
        <v>16626507</v>
      </c>
      <c r="D30" s="24">
        <v>17862831</v>
      </c>
      <c r="E30" s="24">
        <v>17420396</v>
      </c>
      <c r="F30" s="124"/>
      <c r="G30" s="24">
        <v>17086797</v>
      </c>
      <c r="H30" s="24">
        <v>24290288</v>
      </c>
      <c r="I30" s="24">
        <v>24399472</v>
      </c>
      <c r="J30" s="96">
        <f>J28-J29</f>
        <v>20621730.950868022</v>
      </c>
      <c r="K30" s="96">
        <f>K28-K29</f>
        <v>26844366.495925561</v>
      </c>
      <c r="L30" s="96">
        <f>L28-L29</f>
        <v>28592935.039368298</v>
      </c>
      <c r="M30" s="96">
        <f>M28-M29</f>
        <v>30077933.498119213</v>
      </c>
      <c r="N30" s="12"/>
      <c r="O30" s="12">
        <f t="shared" si="0"/>
        <v>19684806.666666664</v>
      </c>
      <c r="P30" s="33">
        <v>14763605</v>
      </c>
      <c r="Q30" s="24">
        <v>8290474</v>
      </c>
      <c r="R30" s="24">
        <v>9177750</v>
      </c>
      <c r="S30" s="12">
        <f t="shared" si="1"/>
        <v>16580948</v>
      </c>
    </row>
    <row r="31" spans="2:19" ht="15" thickTop="1" x14ac:dyDescent="0.3">
      <c r="B31" t="s">
        <v>23</v>
      </c>
      <c r="C31" s="22">
        <v>16605963</v>
      </c>
      <c r="D31" s="22">
        <v>17734706</v>
      </c>
      <c r="E31" s="22">
        <v>17263259</v>
      </c>
      <c r="F31" s="122"/>
      <c r="G31" s="22">
        <v>16939950</v>
      </c>
      <c r="H31" s="22">
        <v>24062469</v>
      </c>
      <c r="I31" s="22">
        <v>23811914</v>
      </c>
      <c r="J31" s="95">
        <f>J30*0.96</f>
        <v>19796861.7128333</v>
      </c>
      <c r="K31" s="95">
        <f>K30*0.96</f>
        <v>25770591.836088538</v>
      </c>
      <c r="L31" s="95">
        <f>L30*0.96</f>
        <v>27449217.637793563</v>
      </c>
      <c r="M31" s="95">
        <f>M30*0.96</f>
        <v>28874816.158194441</v>
      </c>
      <c r="N31" s="12"/>
      <c r="O31" s="12">
        <f t="shared" si="0"/>
        <v>18933237.333333332</v>
      </c>
      <c r="P31" s="33">
        <v>14199928</v>
      </c>
      <c r="Q31" s="22">
        <v>7966526</v>
      </c>
      <c r="R31" s="22">
        <v>8940996</v>
      </c>
    </row>
    <row r="32" spans="2:19" x14ac:dyDescent="0.3">
      <c r="B32" t="s">
        <v>24</v>
      </c>
      <c r="C32" s="22">
        <v>20544</v>
      </c>
      <c r="D32" s="22">
        <v>128125</v>
      </c>
      <c r="E32" s="22">
        <v>157137</v>
      </c>
      <c r="F32" s="122"/>
      <c r="G32" s="22">
        <v>146847</v>
      </c>
      <c r="H32" s="22">
        <v>227819</v>
      </c>
      <c r="I32" s="22">
        <v>587558</v>
      </c>
      <c r="J32" s="95">
        <f>J30*0.04</f>
        <v>824869.23803472088</v>
      </c>
      <c r="K32" s="95">
        <f>K30*0.04</f>
        <v>1073774.6598370224</v>
      </c>
      <c r="L32" s="95">
        <f>L30*0.04</f>
        <v>1143717.401574732</v>
      </c>
      <c r="M32" s="95">
        <f>M30*0.04</f>
        <v>1203117.3399247685</v>
      </c>
      <c r="N32" s="12"/>
      <c r="O32" s="12">
        <f t="shared" si="0"/>
        <v>751569.33333333337</v>
      </c>
      <c r="P32" s="33">
        <v>563677</v>
      </c>
      <c r="Q32" s="22">
        <v>323948</v>
      </c>
      <c r="R32" s="22">
        <v>236754</v>
      </c>
    </row>
    <row r="33" spans="2:18" x14ac:dyDescent="0.3">
      <c r="B33" t="s">
        <v>22</v>
      </c>
      <c r="C33" s="22">
        <v>16626507</v>
      </c>
      <c r="D33" s="22">
        <v>17862831</v>
      </c>
      <c r="E33" s="22">
        <v>17420396</v>
      </c>
      <c r="F33" s="122"/>
      <c r="G33" s="22">
        <v>17086797</v>
      </c>
      <c r="H33" s="22">
        <v>24290288</v>
      </c>
      <c r="I33" s="22">
        <v>24399472</v>
      </c>
      <c r="J33" s="95">
        <f>J30</f>
        <v>20621730.950868022</v>
      </c>
      <c r="K33" s="95">
        <f>K30</f>
        <v>26844366.495925561</v>
      </c>
      <c r="L33" s="95">
        <f>L30</f>
        <v>28592935.039368298</v>
      </c>
      <c r="M33" s="95">
        <f>M30</f>
        <v>30077933.498119213</v>
      </c>
      <c r="N33" s="12"/>
      <c r="O33" s="12">
        <f t="shared" si="0"/>
        <v>19684806.666666664</v>
      </c>
      <c r="P33" s="1">
        <f>P30</f>
        <v>14763605</v>
      </c>
      <c r="Q33" s="1">
        <f>Q30</f>
        <v>8290474</v>
      </c>
      <c r="R33" s="1">
        <f>R30</f>
        <v>9177750</v>
      </c>
    </row>
    <row r="34" spans="2:18" x14ac:dyDescent="0.3">
      <c r="B34" t="s">
        <v>25</v>
      </c>
      <c r="C34" s="25">
        <v>17.05</v>
      </c>
      <c r="D34" s="25">
        <v>17.55</v>
      </c>
      <c r="E34" s="25">
        <v>16.41</v>
      </c>
      <c r="F34" s="125"/>
      <c r="G34" s="25">
        <v>15.7</v>
      </c>
      <c r="H34" s="25">
        <v>19.41</v>
      </c>
      <c r="I34" s="25">
        <v>19.21</v>
      </c>
      <c r="J34" s="97">
        <f>J31*1000/Drivers!I586</f>
        <v>15.064716098859725</v>
      </c>
      <c r="K34" s="97">
        <f>K31*1000/Drivers!J586</f>
        <v>19.610514804909627</v>
      </c>
      <c r="L34" s="97">
        <f>L31*1000/Drivers!K586</f>
        <v>20.887890052851784</v>
      </c>
      <c r="M34" s="97">
        <f>M31*1000/Drivers!L586</f>
        <v>21.972720431137031</v>
      </c>
      <c r="N34" s="12"/>
      <c r="O34" s="12"/>
      <c r="P34">
        <v>10.81</v>
      </c>
      <c r="Q34" s="47">
        <v>6.07</v>
      </c>
      <c r="R34" s="47">
        <v>7.21</v>
      </c>
    </row>
    <row r="35" spans="2:18" x14ac:dyDescent="0.3">
      <c r="B35" t="s">
        <v>26</v>
      </c>
      <c r="C35" s="25">
        <v>17.03</v>
      </c>
      <c r="D35" s="25">
        <v>17.55</v>
      </c>
      <c r="E35" s="25">
        <v>16.41</v>
      </c>
      <c r="F35" s="125"/>
      <c r="G35" s="25">
        <v>15.7</v>
      </c>
      <c r="H35" s="25">
        <v>19.41</v>
      </c>
      <c r="I35" s="25">
        <v>19.21</v>
      </c>
      <c r="J35" s="95"/>
      <c r="K35" s="97"/>
      <c r="L35" s="95"/>
      <c r="M35" s="95"/>
      <c r="N35" s="12"/>
      <c r="O35" s="12"/>
      <c r="P35">
        <v>10.81</v>
      </c>
      <c r="Q35" s="47">
        <v>6.07</v>
      </c>
      <c r="R35" s="47">
        <v>7.21</v>
      </c>
    </row>
    <row r="36" spans="2:18" x14ac:dyDescent="0.3">
      <c r="B36" t="s">
        <v>371</v>
      </c>
      <c r="C36" s="25"/>
      <c r="D36" s="25">
        <v>6.5</v>
      </c>
      <c r="E36" s="25">
        <v>6.5</v>
      </c>
      <c r="F36" s="125"/>
      <c r="G36" s="25">
        <v>6.5</v>
      </c>
      <c r="H36" s="25">
        <v>7.5</v>
      </c>
      <c r="I36" s="25">
        <v>4.5</v>
      </c>
      <c r="J36" s="97" t="e">
        <f>#REF!</f>
        <v>#REF!</v>
      </c>
      <c r="K36" s="97">
        <f>-Drivers!J619*1000/Drivers!J586</f>
        <v>6.8636801817183679</v>
      </c>
      <c r="L36" s="97">
        <f>-Drivers!K619*1000/Drivers!K586</f>
        <v>7.3107615184981238</v>
      </c>
      <c r="M36" s="97">
        <f>-Drivers!L619*1000/Drivers!L586</f>
        <v>7.6904521508979604</v>
      </c>
      <c r="N36" s="12"/>
      <c r="O36" s="12"/>
      <c r="Q36" s="47"/>
      <c r="R36" s="47"/>
    </row>
    <row r="37" spans="2:18" x14ac:dyDescent="0.3">
      <c r="F37" s="116"/>
      <c r="J37" s="95"/>
      <c r="K37" s="95"/>
      <c r="L37" s="95"/>
      <c r="M37" s="95"/>
      <c r="N37" s="12"/>
      <c r="O37" s="12"/>
      <c r="P37" s="12"/>
      <c r="Q37" s="12"/>
      <c r="R37" s="12"/>
    </row>
    <row r="38" spans="2:18" x14ac:dyDescent="0.3">
      <c r="B38" t="s">
        <v>94</v>
      </c>
      <c r="F38" s="116"/>
      <c r="J38" s="95"/>
      <c r="K38" s="95"/>
      <c r="L38" s="95"/>
      <c r="M38" s="95"/>
      <c r="N38" s="12"/>
      <c r="O38" s="12"/>
      <c r="P38" s="12"/>
      <c r="Q38" s="12"/>
      <c r="R38" s="12"/>
    </row>
    <row r="39" spans="2:18" x14ac:dyDescent="0.3">
      <c r="B39" t="s">
        <v>95</v>
      </c>
      <c r="F39" s="126"/>
      <c r="H39" s="22">
        <v>0</v>
      </c>
      <c r="I39" s="22">
        <v>26481256</v>
      </c>
      <c r="J39" s="95"/>
      <c r="K39" s="95"/>
      <c r="L39" s="95"/>
      <c r="M39" s="95"/>
      <c r="N39" s="12"/>
      <c r="O39" s="12"/>
      <c r="P39" s="12"/>
      <c r="Q39" s="12"/>
      <c r="R39" s="12"/>
    </row>
    <row r="40" spans="2:18" x14ac:dyDescent="0.3">
      <c r="F40" s="116"/>
      <c r="J40" s="95"/>
      <c r="K40" s="95"/>
      <c r="L40" s="95"/>
      <c r="M40" s="95"/>
      <c r="N40" s="12"/>
      <c r="O40" s="12"/>
      <c r="P40" s="12"/>
      <c r="Q40" s="12"/>
      <c r="R40" s="12"/>
    </row>
    <row r="41" spans="2:18" s="28" customFormat="1" x14ac:dyDescent="0.3">
      <c r="B41" s="28" t="s">
        <v>143</v>
      </c>
      <c r="C41" s="30" t="str">
        <f t="shared" ref="C41:I41" si="2">IF(C18-C23-C25+C27-C29-C30+C31+C32-C33=0,"OK","FLAG")</f>
        <v>OK</v>
      </c>
      <c r="D41" s="30" t="str">
        <f t="shared" si="2"/>
        <v>OK</v>
      </c>
      <c r="E41" s="30" t="str">
        <f t="shared" si="2"/>
        <v>OK</v>
      </c>
      <c r="F41" s="117"/>
      <c r="G41" s="30" t="str">
        <f t="shared" si="2"/>
        <v>OK</v>
      </c>
      <c r="H41" s="30" t="str">
        <f t="shared" si="2"/>
        <v>OK</v>
      </c>
      <c r="I41" s="30" t="str">
        <f t="shared" si="2"/>
        <v>OK</v>
      </c>
      <c r="J41" s="98">
        <f>J18-J23-J25+J27-J29-J30+J31+J32-J33</f>
        <v>0</v>
      </c>
      <c r="K41" s="98">
        <f>K18-K23-K25+K27-K29-K30+K31+K32-K33</f>
        <v>0</v>
      </c>
      <c r="L41" s="98">
        <f>L18-L23-L25+L27-L29-L30+L31+L32-L33</f>
        <v>0</v>
      </c>
      <c r="M41" s="98">
        <f>M18-M23-M25+M27-M29-M30+M31+M32-M33</f>
        <v>0</v>
      </c>
      <c r="N41" s="39"/>
      <c r="O41" s="39"/>
      <c r="P41" s="39"/>
      <c r="Q41" s="30" t="str">
        <f>IF(Q18-Q23-Q25+Q27-Q29-Q30=0,"OK","FLAG")</f>
        <v>OK</v>
      </c>
      <c r="R41" s="30" t="str">
        <f>IF(R18-R23-R25+R27-R29-R30=0,"OK","FLAG")</f>
        <v>OK</v>
      </c>
    </row>
    <row r="42" spans="2:18" x14ac:dyDescent="0.3">
      <c r="F42" s="116"/>
      <c r="J42" s="95"/>
      <c r="K42" s="95"/>
      <c r="L42" s="102"/>
      <c r="M42" s="95"/>
      <c r="N42" s="12"/>
      <c r="O42" s="12"/>
      <c r="P42" s="12"/>
      <c r="Q42" s="12"/>
      <c r="R42" s="12"/>
    </row>
    <row r="43" spans="2:18" s="7" customFormat="1" x14ac:dyDescent="0.3">
      <c r="B43" s="10" t="s">
        <v>114</v>
      </c>
      <c r="C43" s="11"/>
      <c r="D43" s="11"/>
      <c r="E43" s="11"/>
      <c r="F43" s="118"/>
      <c r="G43" s="11"/>
      <c r="H43" s="11"/>
      <c r="I43" s="11"/>
      <c r="J43" s="41"/>
      <c r="K43" s="41"/>
      <c r="L43" s="41"/>
      <c r="M43" s="41"/>
      <c r="N43" s="41"/>
      <c r="O43" s="41"/>
      <c r="P43" s="41"/>
      <c r="Q43" s="41"/>
      <c r="R43" s="41"/>
    </row>
    <row r="44" spans="2:18" x14ac:dyDescent="0.3">
      <c r="B44" s="2" t="s">
        <v>92</v>
      </c>
      <c r="F44" s="116"/>
      <c r="I44" s="37"/>
      <c r="J44" s="12"/>
      <c r="K44" s="12"/>
      <c r="L44" s="12"/>
      <c r="M44" s="12"/>
      <c r="N44" s="12"/>
      <c r="O44" s="12"/>
      <c r="P44" s="12"/>
      <c r="Q44" s="12"/>
      <c r="R44" s="12"/>
    </row>
    <row r="45" spans="2:18" x14ac:dyDescent="0.3">
      <c r="B45" s="3" t="s">
        <v>93</v>
      </c>
      <c r="C45" s="22">
        <v>34673424</v>
      </c>
      <c r="D45" s="22">
        <v>44355962</v>
      </c>
      <c r="E45" s="22">
        <v>53681118</v>
      </c>
      <c r="F45" s="121"/>
      <c r="G45" s="22">
        <v>51255030</v>
      </c>
      <c r="H45" s="22">
        <v>69335379</v>
      </c>
      <c r="I45" s="22">
        <v>151109490</v>
      </c>
      <c r="J45" s="12">
        <f>J62-SUM(J46:J61)</f>
        <v>105916320.05488253</v>
      </c>
      <c r="K45" s="12">
        <f>K62-SUM(K46:K61)</f>
        <v>109690083.67676783</v>
      </c>
      <c r="L45" s="12">
        <f>L62-SUM(L46:L61)</f>
        <v>159083791.51399279</v>
      </c>
      <c r="M45" s="12">
        <f>M62-SUM(M46:M61)</f>
        <v>168133547.49022007</v>
      </c>
      <c r="N45" s="12"/>
      <c r="O45" s="12"/>
      <c r="P45" s="33">
        <v>114518140</v>
      </c>
      <c r="Q45" s="22">
        <v>112544293</v>
      </c>
      <c r="R45" s="22">
        <v>151109490</v>
      </c>
    </row>
    <row r="46" spans="2:18" x14ac:dyDescent="0.3">
      <c r="B46" t="s">
        <v>27</v>
      </c>
      <c r="C46" s="22">
        <v>45546349</v>
      </c>
      <c r="D46" s="22">
        <v>55406535</v>
      </c>
      <c r="E46" s="22">
        <v>46101232</v>
      </c>
      <c r="F46" s="121"/>
      <c r="G46" s="22">
        <v>115358732</v>
      </c>
      <c r="H46" s="22">
        <v>56777465</v>
      </c>
      <c r="I46" s="22">
        <v>78597120</v>
      </c>
      <c r="J46" s="12">
        <f>Drivers!I234</f>
        <v>52339149.030000001</v>
      </c>
      <c r="K46" s="12">
        <f>Drivers!J234</f>
        <v>94799283.6805875</v>
      </c>
      <c r="L46" s="12">
        <f>Drivers!K234</f>
        <v>109019176.23267561</v>
      </c>
      <c r="M46" s="12">
        <f>Drivers!L234</f>
        <v>125372052.66757694</v>
      </c>
      <c r="N46" s="12"/>
      <c r="O46" s="12"/>
      <c r="P46" s="12">
        <v>37516912</v>
      </c>
      <c r="Q46" s="22">
        <v>61871953</v>
      </c>
      <c r="R46" s="22">
        <v>78597120</v>
      </c>
    </row>
    <row r="47" spans="2:18" x14ac:dyDescent="0.3">
      <c r="B47" t="s">
        <v>28</v>
      </c>
      <c r="C47" s="22">
        <v>17633269</v>
      </c>
      <c r="D47" s="22">
        <v>19898515</v>
      </c>
      <c r="E47" s="22">
        <v>24903809</v>
      </c>
      <c r="F47" s="121"/>
      <c r="G47" s="22">
        <v>16421867</v>
      </c>
      <c r="H47" s="22">
        <v>12498709</v>
      </c>
      <c r="I47" s="22">
        <v>96082937</v>
      </c>
      <c r="J47" s="12">
        <f>Drivers!I252</f>
        <v>76866349.600000009</v>
      </c>
      <c r="K47" s="12">
        <f>Drivers!J252</f>
        <v>80709667.080000013</v>
      </c>
      <c r="L47" s="12">
        <f>Drivers!K252</f>
        <v>84745150.434000015</v>
      </c>
      <c r="M47" s="12">
        <f>Drivers!L252</f>
        <v>88982407.955700025</v>
      </c>
      <c r="N47" s="12"/>
      <c r="O47" s="12"/>
      <c r="P47" s="12">
        <v>66538167</v>
      </c>
      <c r="Q47" s="22">
        <v>53920816</v>
      </c>
      <c r="R47" s="22">
        <v>96082937</v>
      </c>
    </row>
    <row r="48" spans="2:18" x14ac:dyDescent="0.3">
      <c r="B48" t="s">
        <v>29</v>
      </c>
      <c r="C48" s="22">
        <v>0</v>
      </c>
      <c r="D48" s="22">
        <v>9513512</v>
      </c>
      <c r="E48" s="22">
        <v>13147534</v>
      </c>
      <c r="F48" s="121"/>
      <c r="G48" s="22">
        <v>0</v>
      </c>
      <c r="H48" s="22">
        <v>3000490</v>
      </c>
      <c r="I48" s="22">
        <v>1517308</v>
      </c>
      <c r="J48" s="12">
        <f>Drivers!I264</f>
        <v>606923.20000000007</v>
      </c>
      <c r="K48" s="12">
        <f>Drivers!J264</f>
        <v>637269.3600000001</v>
      </c>
      <c r="L48" s="12">
        <f>Drivers!K264</f>
        <v>669132.8280000001</v>
      </c>
      <c r="M48" s="12">
        <f>Drivers!L264</f>
        <v>702589.46940000018</v>
      </c>
      <c r="N48" s="12"/>
      <c r="O48" s="12"/>
      <c r="P48" s="12">
        <v>549770</v>
      </c>
      <c r="Q48" s="22">
        <v>3378561</v>
      </c>
      <c r="R48" s="22">
        <v>1517308</v>
      </c>
    </row>
    <row r="49" spans="2:18" x14ac:dyDescent="0.3">
      <c r="B49" t="s">
        <v>30</v>
      </c>
      <c r="C49" s="26">
        <v>2334536</v>
      </c>
      <c r="D49" s="26">
        <v>7909962</v>
      </c>
      <c r="E49" s="22">
        <v>1830927</v>
      </c>
      <c r="F49" s="121"/>
      <c r="G49" s="22">
        <v>2636717</v>
      </c>
      <c r="H49" s="22">
        <v>3245120</v>
      </c>
      <c r="I49" s="22">
        <v>8345091</v>
      </c>
      <c r="J49" s="12">
        <f>Drivers!I266</f>
        <v>5841563.6999999993</v>
      </c>
      <c r="K49" s="12">
        <f>Drivers!J266</f>
        <v>6133641.8849999998</v>
      </c>
      <c r="L49" s="12">
        <f>Drivers!K266</f>
        <v>6440323.9792499999</v>
      </c>
      <c r="M49" s="12">
        <f>Drivers!L266</f>
        <v>6762340.1782125002</v>
      </c>
      <c r="N49" s="12"/>
      <c r="O49" s="12"/>
      <c r="P49" s="12">
        <v>6091290</v>
      </c>
      <c r="Q49" s="22">
        <v>7032972</v>
      </c>
      <c r="R49" s="22">
        <v>8345091</v>
      </c>
    </row>
    <row r="50" spans="2:18" x14ac:dyDescent="0.3">
      <c r="B50" t="s">
        <v>31</v>
      </c>
      <c r="C50" s="26">
        <v>4410913</v>
      </c>
      <c r="D50" s="26">
        <v>5520167</v>
      </c>
      <c r="E50" s="22">
        <v>21468033</v>
      </c>
      <c r="F50" s="121"/>
      <c r="G50" s="22">
        <v>35189471</v>
      </c>
      <c r="H50" s="22">
        <v>23436123</v>
      </c>
      <c r="I50" s="22">
        <v>24873057</v>
      </c>
      <c r="J50" s="12">
        <f>Drivers!I271</f>
        <v>98932873</v>
      </c>
      <c r="K50" s="12">
        <f>Drivers!J271</f>
        <v>155960062.40000001</v>
      </c>
      <c r="L50" s="12">
        <f>Drivers!K271</f>
        <v>171556068.64000002</v>
      </c>
      <c r="M50" s="12">
        <f>Drivers!L271</f>
        <v>188711675.50400004</v>
      </c>
      <c r="N50" s="12"/>
      <c r="O50" s="12"/>
      <c r="P50" s="12">
        <v>98042540</v>
      </c>
      <c r="Q50" s="22">
        <v>50791983</v>
      </c>
      <c r="R50" s="22">
        <v>24873057</v>
      </c>
    </row>
    <row r="51" spans="2:18" x14ac:dyDescent="0.3">
      <c r="B51" t="s">
        <v>96</v>
      </c>
      <c r="C51" s="26">
        <v>640512</v>
      </c>
      <c r="D51" s="26">
        <v>763074</v>
      </c>
      <c r="E51" s="22">
        <v>757787</v>
      </c>
      <c r="F51" s="122"/>
      <c r="G51" s="22">
        <v>779705</v>
      </c>
      <c r="H51" s="1">
        <v>0</v>
      </c>
      <c r="I51" s="1">
        <v>0</v>
      </c>
      <c r="J51" s="12"/>
      <c r="K51" s="12"/>
      <c r="L51" s="12"/>
      <c r="M51" s="12"/>
      <c r="N51" s="12"/>
      <c r="O51" s="12"/>
      <c r="P51" s="12"/>
      <c r="Q51" s="1"/>
    </row>
    <row r="52" spans="2:18" x14ac:dyDescent="0.3">
      <c r="B52" t="s">
        <v>32</v>
      </c>
      <c r="C52" s="26">
        <v>742444130</v>
      </c>
      <c r="D52" s="26">
        <v>867611976</v>
      </c>
      <c r="E52" s="22">
        <v>893919311</v>
      </c>
      <c r="F52" s="122"/>
      <c r="G52" s="22">
        <v>909829172</v>
      </c>
      <c r="H52" s="22">
        <v>1029584075</v>
      </c>
      <c r="I52" s="22">
        <v>1155492527</v>
      </c>
      <c r="J52" s="12">
        <f>Drivers!I289</f>
        <v>1214948666.4333899</v>
      </c>
      <c r="K52" s="12">
        <f>Drivers!J289</f>
        <v>1426353031.7591887</v>
      </c>
      <c r="L52" s="12">
        <f>Drivers!K289</f>
        <v>1651207904.1463344</v>
      </c>
      <c r="M52" s="12">
        <f>Drivers!L289</f>
        <v>1908043239.6455996</v>
      </c>
      <c r="N52" s="12"/>
      <c r="O52" s="12"/>
      <c r="P52" s="12">
        <v>1148276787</v>
      </c>
      <c r="Q52" s="22">
        <v>1096826774</v>
      </c>
      <c r="R52" s="22">
        <v>1155492527</v>
      </c>
    </row>
    <row r="53" spans="2:18" x14ac:dyDescent="0.3">
      <c r="B53" t="s">
        <v>33</v>
      </c>
      <c r="C53" s="22">
        <v>118078273</v>
      </c>
      <c r="D53" s="22">
        <v>89274413</v>
      </c>
      <c r="E53" s="22">
        <v>107059021</v>
      </c>
      <c r="F53" s="122"/>
      <c r="G53" s="22">
        <v>302059529</v>
      </c>
      <c r="H53" s="22">
        <v>385390598</v>
      </c>
      <c r="I53" s="22">
        <v>761650234</v>
      </c>
      <c r="J53" s="12">
        <f>Drivers!I341</f>
        <v>709291118.42399991</v>
      </c>
      <c r="K53" s="12">
        <f>Drivers!J341</f>
        <v>668358324.86000013</v>
      </c>
      <c r="L53" s="12">
        <f>Drivers!K341</f>
        <v>737754178.87780023</v>
      </c>
      <c r="M53" s="12">
        <f>Drivers!L341</f>
        <v>791175567.27385437</v>
      </c>
      <c r="N53" s="12"/>
      <c r="O53" s="12"/>
      <c r="P53" s="12">
        <v>706747778</v>
      </c>
      <c r="Q53" s="22">
        <v>740197253</v>
      </c>
      <c r="R53" s="22">
        <v>761650234</v>
      </c>
    </row>
    <row r="54" spans="2:18" x14ac:dyDescent="0.3">
      <c r="B54" t="s">
        <v>34</v>
      </c>
      <c r="C54" s="22">
        <v>154913643</v>
      </c>
      <c r="D54" s="22">
        <v>176760611</v>
      </c>
      <c r="E54" s="22">
        <v>197825017</v>
      </c>
      <c r="F54" s="121"/>
      <c r="G54" s="22">
        <v>278716794</v>
      </c>
      <c r="H54" s="22">
        <v>335953802</v>
      </c>
      <c r="I54" s="22">
        <v>118652257</v>
      </c>
      <c r="J54" s="12">
        <f>Drivers!I384</f>
        <v>296954728</v>
      </c>
      <c r="K54" s="12">
        <f>Drivers!J384</f>
        <v>326650200.80000001</v>
      </c>
      <c r="L54" s="12">
        <f>Drivers!K384</f>
        <v>359315220.88</v>
      </c>
      <c r="M54" s="12">
        <f>Drivers!L384</f>
        <v>395246742.96800005</v>
      </c>
      <c r="N54" s="12"/>
      <c r="O54" s="12"/>
      <c r="P54" s="12">
        <v>246477855</v>
      </c>
      <c r="Q54" s="22">
        <v>230826265</v>
      </c>
      <c r="R54" s="22">
        <v>118652257</v>
      </c>
    </row>
    <row r="55" spans="2:18" x14ac:dyDescent="0.3">
      <c r="B55" t="s">
        <v>35</v>
      </c>
      <c r="C55" s="22">
        <v>0</v>
      </c>
      <c r="D55" s="22">
        <v>0</v>
      </c>
      <c r="E55" s="22">
        <v>0</v>
      </c>
      <c r="F55" s="121"/>
      <c r="G55" s="22">
        <v>0</v>
      </c>
      <c r="H55" s="22">
        <v>0</v>
      </c>
      <c r="I55" s="22">
        <v>0</v>
      </c>
      <c r="J55" s="12">
        <f>I55</f>
        <v>0</v>
      </c>
      <c r="K55" s="12">
        <f>J55</f>
        <v>0</v>
      </c>
      <c r="L55" s="12">
        <f>K55</f>
        <v>0</v>
      </c>
      <c r="M55" s="12">
        <f>L55</f>
        <v>0</v>
      </c>
      <c r="N55" s="12"/>
      <c r="O55" s="12"/>
      <c r="P55" s="12">
        <v>0</v>
      </c>
      <c r="Q55" s="1"/>
      <c r="R55" s="1"/>
    </row>
    <row r="56" spans="2:18" x14ac:dyDescent="0.3">
      <c r="B56" t="s">
        <v>36</v>
      </c>
      <c r="C56" s="22">
        <v>109844</v>
      </c>
      <c r="D56" s="22">
        <v>105320</v>
      </c>
      <c r="E56" s="22">
        <v>56821</v>
      </c>
      <c r="F56" s="122"/>
      <c r="G56" s="22">
        <v>64155</v>
      </c>
      <c r="H56" s="22">
        <v>60428</v>
      </c>
      <c r="I56" s="22">
        <v>55302</v>
      </c>
      <c r="J56" s="12">
        <f>Drivers!I396</f>
        <v>55302</v>
      </c>
      <c r="K56" s="12">
        <f>Drivers!J396</f>
        <v>55302</v>
      </c>
      <c r="L56" s="12">
        <f>Drivers!K396</f>
        <v>55302</v>
      </c>
      <c r="M56" s="12">
        <f>Drivers!L396</f>
        <v>55302</v>
      </c>
      <c r="N56" s="12"/>
      <c r="O56" s="12"/>
      <c r="P56" s="12">
        <v>59475</v>
      </c>
      <c r="Q56" s="22">
        <v>57856</v>
      </c>
      <c r="R56" s="22">
        <v>55302</v>
      </c>
    </row>
    <row r="57" spans="2:18" x14ac:dyDescent="0.3">
      <c r="B57" t="s">
        <v>37</v>
      </c>
      <c r="C57" s="22">
        <v>16317044</v>
      </c>
      <c r="D57" s="22">
        <v>17015236</v>
      </c>
      <c r="E57" s="22">
        <v>22524658</v>
      </c>
      <c r="F57" s="121"/>
      <c r="G57" s="22">
        <v>25386630</v>
      </c>
      <c r="H57" s="22">
        <v>24744634</v>
      </c>
      <c r="I57" s="22">
        <v>27446607</v>
      </c>
      <c r="J57" s="12">
        <f>Drivers!I401</f>
        <v>28268181.5</v>
      </c>
      <c r="K57" s="12">
        <f>Drivers!J401</f>
        <v>29212223</v>
      </c>
      <c r="L57" s="12">
        <f>Drivers!K401</f>
        <v>30197343.225000001</v>
      </c>
      <c r="M57" s="12">
        <f>Drivers!L401</f>
        <v>31229665.525000002</v>
      </c>
      <c r="N57" s="12"/>
      <c r="O57" s="12"/>
      <c r="P57" s="12">
        <v>26538514</v>
      </c>
      <c r="Q57" s="22">
        <v>26649043</v>
      </c>
      <c r="R57" s="22">
        <v>27446607</v>
      </c>
    </row>
    <row r="58" spans="2:18" x14ac:dyDescent="0.3">
      <c r="B58" t="s">
        <v>38</v>
      </c>
      <c r="C58" s="22">
        <v>104516</v>
      </c>
      <c r="D58" s="22">
        <v>103064</v>
      </c>
      <c r="E58" s="22">
        <v>46350</v>
      </c>
      <c r="F58" s="122"/>
      <c r="G58" s="22">
        <v>67116</v>
      </c>
      <c r="H58" s="22">
        <v>72400</v>
      </c>
      <c r="I58" s="22">
        <v>80350</v>
      </c>
      <c r="J58" s="12">
        <f>Drivers!I430</f>
        <v>642800</v>
      </c>
      <c r="K58" s="12">
        <f>Drivers!J430</f>
        <v>707080</v>
      </c>
      <c r="L58" s="12">
        <f>Drivers!K430</f>
        <v>777788.00000000012</v>
      </c>
      <c r="M58" s="12">
        <f>Drivers!L430</f>
        <v>855566.80000000016</v>
      </c>
      <c r="N58" s="12"/>
      <c r="O58" s="12"/>
      <c r="P58" s="12">
        <v>545850</v>
      </c>
      <c r="Q58" s="22">
        <v>424550</v>
      </c>
      <c r="R58" s="22">
        <v>80350</v>
      </c>
    </row>
    <row r="59" spans="2:18" x14ac:dyDescent="0.3">
      <c r="B59" t="s">
        <v>39</v>
      </c>
      <c r="C59" s="22">
        <v>1251226</v>
      </c>
      <c r="D59" s="22">
        <v>1433931</v>
      </c>
      <c r="E59" s="22">
        <v>1645714</v>
      </c>
      <c r="F59" s="122"/>
      <c r="G59" s="22">
        <v>1800516</v>
      </c>
      <c r="H59" s="22">
        <v>2272639</v>
      </c>
      <c r="I59" s="22">
        <v>4113200</v>
      </c>
      <c r="J59" s="12">
        <f>Drivers!I435</f>
        <v>4090774.4800000004</v>
      </c>
      <c r="K59" s="12">
        <f>Drivers!J435</f>
        <v>4409448.7120000012</v>
      </c>
      <c r="L59" s="12">
        <f>Drivers!K435</f>
        <v>7206711.8784000017</v>
      </c>
      <c r="M59" s="12">
        <f>Drivers!L435</f>
        <v>7793697.8688000012</v>
      </c>
      <c r="N59" s="12"/>
      <c r="O59" s="12"/>
      <c r="P59" s="12">
        <v>4061409</v>
      </c>
      <c r="Q59" s="22">
        <v>4042878</v>
      </c>
      <c r="R59" s="22">
        <v>4113200</v>
      </c>
    </row>
    <row r="60" spans="2:18" x14ac:dyDescent="0.3">
      <c r="B60" t="s">
        <v>40</v>
      </c>
      <c r="C60" s="22">
        <v>0</v>
      </c>
      <c r="D60" s="22">
        <v>188487</v>
      </c>
      <c r="E60" s="22">
        <v>530165</v>
      </c>
      <c r="F60" s="122"/>
      <c r="G60" s="22">
        <v>2735566</v>
      </c>
      <c r="H60" s="22">
        <v>10036105</v>
      </c>
      <c r="I60" s="22">
        <v>30727213</v>
      </c>
      <c r="J60" s="12">
        <f>Drivers!I462</f>
        <v>32878117.91</v>
      </c>
      <c r="K60" s="12">
        <f>Drivers!J462</f>
        <v>16439058.955</v>
      </c>
      <c r="L60" s="12">
        <f>Drivers!K462</f>
        <v>17261011.90275</v>
      </c>
      <c r="M60" s="12">
        <f>Drivers!L462</f>
        <v>18124062.4978875</v>
      </c>
      <c r="N60" s="12"/>
      <c r="O60" s="12"/>
      <c r="P60" s="12">
        <v>32664942</v>
      </c>
      <c r="Q60" s="22">
        <v>30251431</v>
      </c>
      <c r="R60" s="22">
        <v>30727213</v>
      </c>
    </row>
    <row r="61" spans="2:18" x14ac:dyDescent="0.3">
      <c r="B61" t="s">
        <v>41</v>
      </c>
      <c r="C61" s="22">
        <v>17362977</v>
      </c>
      <c r="D61" s="22">
        <v>24051472</v>
      </c>
      <c r="E61" s="22">
        <v>23443869</v>
      </c>
      <c r="F61" s="121"/>
      <c r="G61" s="22">
        <v>20195153</v>
      </c>
      <c r="H61" s="22">
        <v>27083177</v>
      </c>
      <c r="I61" s="22">
        <v>40811211</v>
      </c>
      <c r="J61" s="12">
        <f>Drivers!I468</f>
        <v>34689529.350000001</v>
      </c>
      <c r="K61" s="12">
        <f>Drivers!J468</f>
        <v>32955052.8825</v>
      </c>
      <c r="L61" s="12">
        <f>Drivers!K468</f>
        <v>33614153.94015</v>
      </c>
      <c r="M61" s="12">
        <f>Drivers!L468</f>
        <v>34286437.018953003</v>
      </c>
      <c r="N61" s="12"/>
      <c r="O61" s="12"/>
      <c r="P61" s="12">
        <v>36882221</v>
      </c>
      <c r="Q61" s="22">
        <v>43351569</v>
      </c>
      <c r="R61" s="22">
        <v>40811211</v>
      </c>
    </row>
    <row r="62" spans="2:18" ht="15" thickBot="1" x14ac:dyDescent="0.35">
      <c r="B62" s="2" t="s">
        <v>42</v>
      </c>
      <c r="C62" s="24">
        <v>1155820656</v>
      </c>
      <c r="D62" s="24">
        <v>1319912237</v>
      </c>
      <c r="E62" s="24">
        <v>1408941366</v>
      </c>
      <c r="F62" s="127"/>
      <c r="G62" s="24">
        <v>1762496153</v>
      </c>
      <c r="H62" s="24">
        <v>1983491144</v>
      </c>
      <c r="I62" s="24">
        <v>2499553904</v>
      </c>
      <c r="J62" s="15">
        <f>J83</f>
        <v>2662322396.682272</v>
      </c>
      <c r="K62" s="15">
        <f>K83</f>
        <v>2953069731.0510445</v>
      </c>
      <c r="L62" s="15">
        <f>L83</f>
        <v>3368903258.478353</v>
      </c>
      <c r="M62" s="15">
        <f>M83</f>
        <v>3765474894.8632045</v>
      </c>
      <c r="N62" s="12"/>
      <c r="O62" s="12"/>
      <c r="P62" s="15">
        <v>2525511650</v>
      </c>
      <c r="Q62" s="24">
        <v>2462168197</v>
      </c>
      <c r="R62" s="24">
        <v>2499553904</v>
      </c>
    </row>
    <row r="63" spans="2:18" ht="15" thickTop="1" x14ac:dyDescent="0.3">
      <c r="B63" s="2" t="s">
        <v>100</v>
      </c>
      <c r="F63" s="116"/>
      <c r="J63" s="12"/>
      <c r="K63" s="12"/>
      <c r="L63" s="12"/>
      <c r="M63" s="12"/>
      <c r="N63" s="12"/>
      <c r="O63" s="12"/>
      <c r="P63" s="12"/>
      <c r="Q63" s="1"/>
      <c r="R63" s="1"/>
    </row>
    <row r="64" spans="2:18" x14ac:dyDescent="0.3">
      <c r="B64" s="3" t="s">
        <v>101</v>
      </c>
      <c r="C64" s="22">
        <v>60244892</v>
      </c>
      <c r="D64" s="22">
        <v>52362052</v>
      </c>
      <c r="E64" s="22">
        <v>53807425</v>
      </c>
      <c r="F64" s="121"/>
      <c r="G64" s="22">
        <v>88248056</v>
      </c>
      <c r="H64" s="22">
        <v>73801195</v>
      </c>
      <c r="I64" s="22">
        <v>64971170</v>
      </c>
      <c r="J64" s="12">
        <f>Drivers!I475</f>
        <v>39254361.772500001</v>
      </c>
      <c r="K64" s="12">
        <f>Drivers!J475</f>
        <v>60190021.384499997</v>
      </c>
      <c r="L64" s="12">
        <f>Drivers!K475</f>
        <v>69218524.592174992</v>
      </c>
      <c r="M64" s="12">
        <f>Drivers!L475</f>
        <v>79601303.28100124</v>
      </c>
      <c r="N64" s="12"/>
      <c r="O64" s="12"/>
      <c r="P64" s="12">
        <v>48268948</v>
      </c>
      <c r="Q64" s="22">
        <v>50020369</v>
      </c>
      <c r="R64" s="22">
        <v>64971170</v>
      </c>
    </row>
    <row r="65" spans="2:18" x14ac:dyDescent="0.3">
      <c r="B65" t="s">
        <v>43</v>
      </c>
      <c r="C65" s="22">
        <v>3678494</v>
      </c>
      <c r="D65" s="22">
        <v>8021783</v>
      </c>
      <c r="E65" s="22">
        <v>1495317</v>
      </c>
      <c r="F65" s="121"/>
      <c r="G65" s="22">
        <v>1501262</v>
      </c>
      <c r="H65" s="22">
        <v>2092198</v>
      </c>
      <c r="I65" s="22">
        <v>2880667</v>
      </c>
      <c r="J65" s="12">
        <f>Drivers!I488</f>
        <v>1440333.5</v>
      </c>
      <c r="K65" s="12">
        <f>Drivers!J488</f>
        <v>1584366.85</v>
      </c>
      <c r="L65" s="12">
        <f>Drivers!K488</f>
        <v>1742803.5350000001</v>
      </c>
      <c r="M65" s="12">
        <f>Drivers!L488</f>
        <v>1917083.8885000004</v>
      </c>
      <c r="N65" s="12"/>
      <c r="O65" s="12"/>
      <c r="P65" s="12">
        <v>1560980</v>
      </c>
      <c r="Q65" s="22">
        <v>5309026</v>
      </c>
      <c r="R65" s="22">
        <v>2880667</v>
      </c>
    </row>
    <row r="66" spans="2:18" x14ac:dyDescent="0.3">
      <c r="B66" t="s">
        <v>44</v>
      </c>
      <c r="C66" s="22">
        <v>49532385</v>
      </c>
      <c r="D66" s="22">
        <v>48951394</v>
      </c>
      <c r="E66" s="22">
        <v>51117342</v>
      </c>
      <c r="F66" s="121"/>
      <c r="G66" s="22">
        <v>91411522</v>
      </c>
      <c r="H66" s="22">
        <v>151424854</v>
      </c>
      <c r="I66" s="22">
        <v>97726435</v>
      </c>
      <c r="J66" s="12">
        <f>Drivers!I494</f>
        <v>107949494.87437499</v>
      </c>
      <c r="K66" s="12">
        <f>Drivers!J494</f>
        <v>118122916.96708126</v>
      </c>
      <c r="L66" s="12">
        <f>Drivers!K494</f>
        <v>134110891.39733905</v>
      </c>
      <c r="M66" s="12">
        <f>Drivers!L494</f>
        <v>149252443.65187731</v>
      </c>
      <c r="N66" s="12"/>
      <c r="O66" s="12"/>
      <c r="P66" s="12">
        <v>117895187</v>
      </c>
      <c r="Q66" s="22">
        <v>133588179</v>
      </c>
      <c r="R66" s="22">
        <v>97726435</v>
      </c>
    </row>
    <row r="67" spans="2:18" x14ac:dyDescent="0.3">
      <c r="B67" t="s">
        <v>45</v>
      </c>
      <c r="C67" s="22">
        <v>857269981</v>
      </c>
      <c r="D67" s="22">
        <v>994370875</v>
      </c>
      <c r="E67" s="22">
        <v>1068982587</v>
      </c>
      <c r="F67" s="121"/>
      <c r="G67" s="22">
        <v>1286616399</v>
      </c>
      <c r="H67" s="22">
        <v>1472640456</v>
      </c>
      <c r="I67" s="22">
        <v>1977743661</v>
      </c>
      <c r="J67" s="12">
        <f>Drivers!I501</f>
        <v>2158989897.4874997</v>
      </c>
      <c r="K67" s="12">
        <f>Drivers!J501</f>
        <v>2362458339.3416252</v>
      </c>
      <c r="L67" s="12">
        <f>Drivers!K501</f>
        <v>2682217827.9467807</v>
      </c>
      <c r="M67" s="12">
        <f>Drivers!L501</f>
        <v>2985048873.0375462</v>
      </c>
      <c r="N67" s="12"/>
      <c r="O67" s="12"/>
      <c r="P67" s="12">
        <v>2038498641</v>
      </c>
      <c r="Q67" s="22">
        <v>1958690813</v>
      </c>
      <c r="R67" s="22">
        <v>1977743661</v>
      </c>
    </row>
    <row r="68" spans="2:18" x14ac:dyDescent="0.3">
      <c r="B68" t="s">
        <v>46</v>
      </c>
      <c r="C68" s="22">
        <v>23786094</v>
      </c>
      <c r="D68" s="22">
        <v>25361912</v>
      </c>
      <c r="E68" s="22">
        <v>23248893</v>
      </c>
      <c r="F68" s="121"/>
      <c r="G68" s="22">
        <v>54555933</v>
      </c>
      <c r="H68" s="22">
        <v>32587051</v>
      </c>
      <c r="I68" s="22">
        <v>16150356</v>
      </c>
      <c r="J68" s="12">
        <f>Drivers!I534</f>
        <v>23481198</v>
      </c>
      <c r="K68" s="12">
        <f>Drivers!J534</f>
        <v>35221797</v>
      </c>
      <c r="L68" s="12">
        <f>Drivers!K534</f>
        <v>52832695.5</v>
      </c>
      <c r="M68" s="12">
        <f>Drivers!L534</f>
        <v>79249043.25</v>
      </c>
      <c r="N68" s="12"/>
      <c r="O68" s="12"/>
      <c r="P68" s="12">
        <v>13243625</v>
      </c>
      <c r="Q68" s="22">
        <v>11481198</v>
      </c>
      <c r="R68" s="22">
        <v>16150356</v>
      </c>
    </row>
    <row r="69" spans="2:18" x14ac:dyDescent="0.3">
      <c r="B69" t="s">
        <v>47</v>
      </c>
      <c r="C69" s="22">
        <v>4202850</v>
      </c>
      <c r="D69" s="22">
        <v>6735997</v>
      </c>
      <c r="E69" s="22">
        <v>5197188</v>
      </c>
      <c r="F69" s="121"/>
      <c r="G69" s="22">
        <v>6991005</v>
      </c>
      <c r="H69" s="22">
        <v>9486772</v>
      </c>
      <c r="I69" s="22">
        <v>24916074</v>
      </c>
      <c r="J69" s="12">
        <f>Drivers!I546</f>
        <v>9913347.5146077722</v>
      </c>
      <c r="K69" s="12">
        <f>Drivers!J546</f>
        <v>8703757.8574028723</v>
      </c>
      <c r="L69" s="12">
        <f>Drivers!K546</f>
        <v>9505552.2782801744</v>
      </c>
      <c r="M69" s="12">
        <f>Drivers!L546</f>
        <v>10262819.939326558</v>
      </c>
      <c r="N69" s="12"/>
      <c r="O69" s="12"/>
      <c r="P69" s="12">
        <v>14420344</v>
      </c>
      <c r="Q69" s="22">
        <v>23513300</v>
      </c>
      <c r="R69" s="22">
        <v>24916074</v>
      </c>
    </row>
    <row r="70" spans="2:18" x14ac:dyDescent="0.3">
      <c r="B70" t="s">
        <v>48</v>
      </c>
      <c r="C70" s="22">
        <v>3565215</v>
      </c>
      <c r="D70" s="22">
        <v>971424</v>
      </c>
      <c r="E70" s="22">
        <v>416458</v>
      </c>
      <c r="F70" s="121"/>
      <c r="G70" s="22">
        <v>403846</v>
      </c>
      <c r="H70" s="22">
        <v>349106</v>
      </c>
      <c r="I70" s="22">
        <v>437123</v>
      </c>
      <c r="J70" s="12">
        <f>Drivers!I547</f>
        <v>437123</v>
      </c>
      <c r="K70" s="12">
        <f>Drivers!J547</f>
        <v>437123</v>
      </c>
      <c r="L70" s="12">
        <f>Drivers!K547</f>
        <v>437123</v>
      </c>
      <c r="M70" s="12">
        <f>Drivers!L547</f>
        <v>437123</v>
      </c>
      <c r="N70" s="12"/>
      <c r="O70" s="12"/>
      <c r="P70" s="12">
        <v>431708</v>
      </c>
      <c r="Q70" s="22">
        <v>433316</v>
      </c>
      <c r="R70" s="22">
        <v>437123</v>
      </c>
    </row>
    <row r="71" spans="2:18" x14ac:dyDescent="0.3">
      <c r="B71" t="s">
        <v>49</v>
      </c>
      <c r="C71" s="22">
        <v>19508115</v>
      </c>
      <c r="D71" s="22">
        <v>24547513</v>
      </c>
      <c r="E71" s="22">
        <v>30775884</v>
      </c>
      <c r="F71" s="121"/>
      <c r="G71" s="22">
        <v>33572283</v>
      </c>
      <c r="H71" s="22">
        <v>33253518</v>
      </c>
      <c r="I71" s="22">
        <v>40354877</v>
      </c>
      <c r="J71" s="12">
        <f>Drivers!I553</f>
        <v>53974747.437187493</v>
      </c>
      <c r="K71" s="12">
        <f>Drivers!J553</f>
        <v>59061458.483540632</v>
      </c>
      <c r="L71" s="12">
        <f>Drivers!K553</f>
        <v>67055445.698669523</v>
      </c>
      <c r="M71" s="12">
        <f>Drivers!L553</f>
        <v>74626221.825938657</v>
      </c>
      <c r="N71" s="12"/>
      <c r="O71" s="12"/>
      <c r="P71" s="12">
        <v>48296812</v>
      </c>
      <c r="Q71" s="22">
        <v>36253554</v>
      </c>
      <c r="R71" s="22">
        <v>40354877</v>
      </c>
    </row>
    <row r="72" spans="2:18" x14ac:dyDescent="0.3">
      <c r="B72" t="s">
        <v>50</v>
      </c>
      <c r="C72" s="22">
        <v>0</v>
      </c>
      <c r="D72" s="22">
        <v>0</v>
      </c>
      <c r="E72" s="22">
        <v>0</v>
      </c>
      <c r="F72" s="122"/>
      <c r="G72" s="22">
        <v>0</v>
      </c>
      <c r="H72" s="22">
        <v>0</v>
      </c>
      <c r="I72" s="22">
        <v>0</v>
      </c>
      <c r="J72" s="12"/>
      <c r="K72" s="12"/>
      <c r="L72" s="12"/>
      <c r="M72" s="12"/>
      <c r="N72" s="12"/>
      <c r="O72" s="12"/>
      <c r="P72" s="12">
        <v>0</v>
      </c>
      <c r="Q72" s="1"/>
      <c r="R72" s="1"/>
    </row>
    <row r="73" spans="2:18" x14ac:dyDescent="0.3">
      <c r="B73" t="s">
        <v>51</v>
      </c>
      <c r="C73" s="22">
        <v>25165924</v>
      </c>
      <c r="D73" s="22">
        <v>37992457</v>
      </c>
      <c r="E73" s="22">
        <v>37886789</v>
      </c>
      <c r="F73" s="121"/>
      <c r="G73" s="22">
        <v>38247138</v>
      </c>
      <c r="H73" s="22">
        <v>38303466</v>
      </c>
      <c r="I73" s="22">
        <v>61400967</v>
      </c>
      <c r="J73" s="12">
        <f>Drivers!I559</f>
        <v>32384848.462312493</v>
      </c>
      <c r="K73" s="12">
        <f>Drivers!J559</f>
        <v>47249166.786832504</v>
      </c>
      <c r="L73" s="12">
        <f>Drivers!K559</f>
        <v>67055445.698669523</v>
      </c>
      <c r="M73" s="12">
        <f>Drivers!L559</f>
        <v>74626221.825938657</v>
      </c>
      <c r="N73" s="12"/>
      <c r="O73" s="12"/>
      <c r="P73" s="12">
        <v>24869883</v>
      </c>
      <c r="Q73" s="22">
        <v>33262957</v>
      </c>
      <c r="R73" s="22">
        <v>61400967</v>
      </c>
    </row>
    <row r="74" spans="2:18" ht="15" thickBot="1" x14ac:dyDescent="0.35">
      <c r="B74" s="2" t="s">
        <v>52</v>
      </c>
      <c r="C74" s="31">
        <v>1046953950</v>
      </c>
      <c r="D74" s="31">
        <v>1199315407</v>
      </c>
      <c r="E74" s="31">
        <v>1272927883</v>
      </c>
      <c r="F74" s="128"/>
      <c r="G74" s="31">
        <v>1601547444</v>
      </c>
      <c r="H74" s="31">
        <v>1813938616</v>
      </c>
      <c r="I74" s="31">
        <v>2286581330</v>
      </c>
      <c r="J74" s="42">
        <f>SUM(J64:J73)</f>
        <v>2427825352.0484829</v>
      </c>
      <c r="K74" s="42">
        <f>SUM(K64:K73)</f>
        <v>2693028947.6709824</v>
      </c>
      <c r="L74" s="42">
        <f>SUM(L64:L73)</f>
        <v>3084176309.646914</v>
      </c>
      <c r="M74" s="42">
        <f>SUM(M64:M73)</f>
        <v>3455021133.700129</v>
      </c>
      <c r="N74" s="12"/>
      <c r="O74" s="12"/>
      <c r="P74" s="15">
        <v>2307486128</v>
      </c>
      <c r="Q74" s="31">
        <v>2252552712</v>
      </c>
      <c r="R74" s="31">
        <v>2286581330</v>
      </c>
    </row>
    <row r="75" spans="2:18" ht="15" thickTop="1" x14ac:dyDescent="0.3">
      <c r="B75" s="2" t="s">
        <v>102</v>
      </c>
      <c r="F75" s="116"/>
      <c r="J75" s="12"/>
      <c r="K75" s="12"/>
      <c r="L75" s="12"/>
      <c r="M75" s="12"/>
      <c r="N75" s="12"/>
      <c r="O75" s="12"/>
      <c r="P75" s="12"/>
      <c r="Q75" s="1"/>
      <c r="R75" s="1"/>
    </row>
    <row r="76" spans="2:18" x14ac:dyDescent="0.3">
      <c r="B76" s="3" t="s">
        <v>103</v>
      </c>
      <c r="C76" s="22">
        <v>37143541</v>
      </c>
      <c r="D76" s="22">
        <v>39147882</v>
      </c>
      <c r="E76" s="22">
        <v>40916958</v>
      </c>
      <c r="F76" s="121"/>
      <c r="G76" s="22">
        <v>52187747</v>
      </c>
      <c r="H76" s="22">
        <v>54566957</v>
      </c>
      <c r="I76" s="22">
        <v>58149621</v>
      </c>
      <c r="J76" s="12">
        <f>Drivers!I599</f>
        <v>62948003</v>
      </c>
      <c r="K76" s="12">
        <f>Drivers!J599</f>
        <v>69242803.300000012</v>
      </c>
      <c r="L76" s="12">
        <f>Drivers!K599</f>
        <v>72704943.465000018</v>
      </c>
      <c r="M76" s="12">
        <f>Drivers!L599</f>
        <v>76340190.638250023</v>
      </c>
      <c r="N76" s="12"/>
      <c r="O76" s="12"/>
      <c r="P76" s="12">
        <v>62948003</v>
      </c>
      <c r="Q76" s="22">
        <v>62891772</v>
      </c>
      <c r="R76" s="22">
        <v>58149621</v>
      </c>
    </row>
    <row r="77" spans="2:18" x14ac:dyDescent="0.3">
      <c r="B77" t="s">
        <v>53</v>
      </c>
      <c r="C77" s="22">
        <v>6492552</v>
      </c>
      <c r="D77" s="22">
        <v>7444178</v>
      </c>
      <c r="E77" s="22">
        <v>8387701</v>
      </c>
      <c r="F77" s="121"/>
      <c r="G77" s="22">
        <v>9285233</v>
      </c>
      <c r="H77" s="22">
        <v>10590338</v>
      </c>
      <c r="I77" s="22">
        <v>12079670</v>
      </c>
      <c r="J77" s="12">
        <f>Drivers!I609</f>
        <v>15112929.282412499</v>
      </c>
      <c r="K77" s="12">
        <f>Drivers!J609</f>
        <v>16537208.375391377</v>
      </c>
      <c r="L77" s="12">
        <f>Drivers!K609</f>
        <v>18775524.795627464</v>
      </c>
      <c r="M77" s="12">
        <f>Drivers!L609</f>
        <v>20895342.111262824</v>
      </c>
      <c r="N77" s="12"/>
      <c r="O77" s="12"/>
      <c r="P77" s="12">
        <v>12079670</v>
      </c>
      <c r="Q77" s="22">
        <v>12079670</v>
      </c>
      <c r="R77" s="22">
        <v>12079670</v>
      </c>
    </row>
    <row r="78" spans="2:18" x14ac:dyDescent="0.3">
      <c r="B78" t="s">
        <v>54</v>
      </c>
      <c r="C78" s="22">
        <v>5086609</v>
      </c>
      <c r="D78" s="22">
        <v>4949955</v>
      </c>
      <c r="E78" s="22">
        <v>5182185</v>
      </c>
      <c r="F78" s="121"/>
      <c r="G78" s="22">
        <v>8124261</v>
      </c>
      <c r="H78" s="22">
        <v>9890762</v>
      </c>
      <c r="I78" s="22">
        <v>6790304</v>
      </c>
      <c r="J78" s="12">
        <f>Drivers!I615</f>
        <v>15698891.770774985</v>
      </c>
      <c r="K78" s="12">
        <f>Drivers!J615</f>
        <v>26007128.5052104</v>
      </c>
      <c r="L78" s="12">
        <f>Drivers!K615</f>
        <v>35614354.678438142</v>
      </c>
      <c r="M78" s="12">
        <f>Drivers!L615</f>
        <v>45720540.333806194</v>
      </c>
      <c r="N78" s="12"/>
      <c r="O78" s="12"/>
      <c r="P78" s="12">
        <v>15470462</v>
      </c>
      <c r="Q78" s="22">
        <v>9216216</v>
      </c>
      <c r="R78" s="22">
        <v>6790304</v>
      </c>
    </row>
    <row r="79" spans="2:18" x14ac:dyDescent="0.3">
      <c r="B79" t="s">
        <v>55</v>
      </c>
      <c r="C79" s="22">
        <v>59272098</v>
      </c>
      <c r="D79" s="22">
        <v>67855834</v>
      </c>
      <c r="E79" s="22">
        <v>79937405</v>
      </c>
      <c r="F79" s="121"/>
      <c r="G79" s="22">
        <v>89595571</v>
      </c>
      <c r="H79" s="22">
        <v>92426660</v>
      </c>
      <c r="I79" s="22">
        <v>131845571</v>
      </c>
      <c r="J79" s="12">
        <f>Drivers!I631</f>
        <v>135804943.34256667</v>
      </c>
      <c r="K79" s="12">
        <f>Drivers!J631</f>
        <v>142247591.30158877</v>
      </c>
      <c r="L79" s="12">
        <f>Drivers!K631</f>
        <v>150482356.59292686</v>
      </c>
      <c r="M79" s="12">
        <f>Drivers!L631</f>
        <v>159144801.44038519</v>
      </c>
      <c r="N79" s="12"/>
      <c r="O79" s="12"/>
      <c r="P79" s="12">
        <v>123309743</v>
      </c>
      <c r="Q79" s="22">
        <v>121617007</v>
      </c>
      <c r="R79" s="22">
        <v>131845571</v>
      </c>
    </row>
    <row r="80" spans="2:18" x14ac:dyDescent="0.3">
      <c r="B80" s="2" t="s">
        <v>56</v>
      </c>
      <c r="C80" s="31">
        <v>107994800</v>
      </c>
      <c r="D80" s="31">
        <v>119397849</v>
      </c>
      <c r="E80" s="31">
        <v>134424249</v>
      </c>
      <c r="F80" s="128"/>
      <c r="G80" s="31">
        <v>159192812</v>
      </c>
      <c r="H80" s="31">
        <v>167474717</v>
      </c>
      <c r="I80" s="31">
        <v>208865166</v>
      </c>
      <c r="J80" s="42">
        <f>SUM(J76:J79)</f>
        <v>229564767.39575416</v>
      </c>
      <c r="K80" s="42">
        <f>SUM(K76:K79)</f>
        <v>254034731.48219055</v>
      </c>
      <c r="L80" s="42">
        <f>SUM(L76:L79)</f>
        <v>277577179.5319925</v>
      </c>
      <c r="M80" s="42">
        <f>SUM(M76:M79)</f>
        <v>302100874.52370423</v>
      </c>
      <c r="N80" s="12"/>
      <c r="O80" s="12"/>
      <c r="P80" s="42">
        <v>213807878</v>
      </c>
      <c r="Q80" s="31">
        <v>205804665</v>
      </c>
      <c r="R80" s="31">
        <v>208865166</v>
      </c>
    </row>
    <row r="81" spans="2:18" x14ac:dyDescent="0.3">
      <c r="B81" t="s">
        <v>24</v>
      </c>
      <c r="C81" s="22">
        <v>871906</v>
      </c>
      <c r="D81" s="22">
        <v>1198981</v>
      </c>
      <c r="E81" s="22">
        <v>1589234</v>
      </c>
      <c r="F81" s="121"/>
      <c r="G81" s="22">
        <v>1755897</v>
      </c>
      <c r="H81" s="22">
        <v>2077811</v>
      </c>
      <c r="I81" s="22">
        <v>4107408</v>
      </c>
      <c r="J81" s="12">
        <f>I81+J32</f>
        <v>4932277.2380347205</v>
      </c>
      <c r="K81" s="12">
        <f>J81+K32</f>
        <v>6006051.897871743</v>
      </c>
      <c r="L81" s="12">
        <f>K81+L32</f>
        <v>7149769.2994464748</v>
      </c>
      <c r="M81" s="12">
        <f>L81+M32</f>
        <v>8352886.6393712433</v>
      </c>
      <c r="N81" s="12"/>
      <c r="O81" s="12"/>
      <c r="P81" s="12">
        <v>4217644</v>
      </c>
      <c r="Q81" s="22">
        <v>3810820</v>
      </c>
      <c r="R81" s="22">
        <v>4107408</v>
      </c>
    </row>
    <row r="82" spans="2:18" x14ac:dyDescent="0.3">
      <c r="B82" s="2" t="s">
        <v>57</v>
      </c>
      <c r="C82" s="21">
        <v>108866706</v>
      </c>
      <c r="D82" s="31">
        <v>120596830</v>
      </c>
      <c r="E82" s="31">
        <v>136013483</v>
      </c>
      <c r="F82" s="128"/>
      <c r="G82" s="31">
        <v>160948709</v>
      </c>
      <c r="H82" s="31">
        <v>169552528</v>
      </c>
      <c r="I82" s="31">
        <v>212972574</v>
      </c>
      <c r="J82" s="42">
        <f>J80+J81</f>
        <v>234497044.63378888</v>
      </c>
      <c r="K82" s="42">
        <f>K80+K81</f>
        <v>260040783.38006228</v>
      </c>
      <c r="L82" s="42">
        <f>L80+L81</f>
        <v>284726948.83143896</v>
      </c>
      <c r="M82" s="42">
        <f>M80+M81</f>
        <v>310453761.16307545</v>
      </c>
      <c r="N82" s="12"/>
      <c r="O82" s="12"/>
      <c r="P82" s="42">
        <v>218025522</v>
      </c>
      <c r="Q82" s="31">
        <v>209615485</v>
      </c>
      <c r="R82" s="31">
        <v>212972574</v>
      </c>
    </row>
    <row r="83" spans="2:18" ht="15" thickBot="1" x14ac:dyDescent="0.35">
      <c r="B83" s="2" t="s">
        <v>58</v>
      </c>
      <c r="C83" s="24">
        <v>1155820656</v>
      </c>
      <c r="D83" s="24">
        <v>1319912237</v>
      </c>
      <c r="E83" s="24">
        <v>1408941366</v>
      </c>
      <c r="F83" s="127"/>
      <c r="G83" s="24">
        <v>1762496153</v>
      </c>
      <c r="H83" s="24">
        <v>1983491144</v>
      </c>
      <c r="I83" s="24">
        <v>2499553904</v>
      </c>
      <c r="J83" s="15">
        <f>J74+J82</f>
        <v>2662322396.682272</v>
      </c>
      <c r="K83" s="15">
        <f>K74+K82</f>
        <v>2953069731.0510445</v>
      </c>
      <c r="L83" s="15">
        <f>L74+L82</f>
        <v>3368903258.478353</v>
      </c>
      <c r="M83" s="15">
        <f>M74+M82</f>
        <v>3765474894.8632045</v>
      </c>
      <c r="N83" s="12"/>
      <c r="O83" s="12"/>
      <c r="P83" s="15">
        <v>2525511650</v>
      </c>
      <c r="Q83" s="24">
        <v>2462168197</v>
      </c>
      <c r="R83" s="24">
        <v>2499553904</v>
      </c>
    </row>
    <row r="84" spans="2:18" ht="15" thickTop="1" x14ac:dyDescent="0.3">
      <c r="B84" t="s">
        <v>59</v>
      </c>
      <c r="C84" s="22">
        <v>565277821</v>
      </c>
      <c r="D84" s="22">
        <v>658860264</v>
      </c>
      <c r="E84" s="22">
        <v>580961807</v>
      </c>
      <c r="F84" s="121"/>
      <c r="G84" s="22">
        <v>730561685</v>
      </c>
      <c r="H84" s="22">
        <v>685379028</v>
      </c>
      <c r="I84" s="22">
        <v>555531537</v>
      </c>
      <c r="J84" s="12"/>
      <c r="K84" s="12"/>
      <c r="L84" s="12"/>
      <c r="M84" s="12"/>
      <c r="N84" s="12"/>
      <c r="O84" s="12"/>
      <c r="P84" s="12"/>
      <c r="Q84" s="22">
        <v>605333607</v>
      </c>
      <c r="R84" s="22">
        <v>555531537</v>
      </c>
    </row>
    <row r="85" spans="2:18" x14ac:dyDescent="0.3">
      <c r="B85" s="2" t="s">
        <v>60</v>
      </c>
      <c r="C85" s="25">
        <v>108.44</v>
      </c>
      <c r="D85" s="25">
        <v>118.13</v>
      </c>
      <c r="E85" s="25">
        <v>130.83000000000001</v>
      </c>
      <c r="F85" s="125"/>
      <c r="G85" s="25">
        <v>136.41999999999999</v>
      </c>
      <c r="H85" s="25">
        <v>140.24</v>
      </c>
      <c r="I85" s="25">
        <v>168.47</v>
      </c>
      <c r="J85" s="93">
        <f>Drivers!I595</f>
        <v>174.6907210487785</v>
      </c>
      <c r="K85" s="93">
        <f>Drivers!J595</f>
        <v>193.31150384045156</v>
      </c>
      <c r="L85" s="93">
        <f>Drivers!K595</f>
        <v>211.22647952129455</v>
      </c>
      <c r="M85" s="93">
        <f>Drivers!L595</f>
        <v>229.8881496437703</v>
      </c>
      <c r="N85" s="12"/>
      <c r="O85" s="12"/>
      <c r="P85" s="93">
        <v>162.69999999999999</v>
      </c>
      <c r="Q85" s="47">
        <v>156.68</v>
      </c>
      <c r="R85" s="47">
        <v>168.47</v>
      </c>
    </row>
    <row r="86" spans="2:18" s="18" customFormat="1" x14ac:dyDescent="0.3">
      <c r="B86" s="18" t="s">
        <v>122</v>
      </c>
      <c r="C86" s="19"/>
      <c r="D86" s="19"/>
      <c r="E86" s="19"/>
      <c r="F86" s="119"/>
      <c r="G86" s="19"/>
      <c r="H86" s="19"/>
      <c r="I86" s="19"/>
      <c r="J86" s="43"/>
      <c r="K86" s="43"/>
      <c r="L86" s="43"/>
      <c r="M86" s="43"/>
      <c r="N86" s="43"/>
      <c r="O86" s="43"/>
      <c r="P86" s="43"/>
      <c r="Q86" s="43"/>
      <c r="R86" s="43"/>
    </row>
    <row r="87" spans="2:18" s="18" customFormat="1" x14ac:dyDescent="0.3">
      <c r="B87" s="18" t="s">
        <v>121</v>
      </c>
      <c r="C87" s="27">
        <v>4982</v>
      </c>
      <c r="D87" s="27">
        <v>5027</v>
      </c>
      <c r="E87" s="27">
        <v>5062</v>
      </c>
      <c r="F87" s="129"/>
      <c r="G87" s="27">
        <v>5057</v>
      </c>
      <c r="H87" s="27">
        <v>5072</v>
      </c>
      <c r="I87" s="27">
        <v>5121</v>
      </c>
      <c r="J87" s="43">
        <f>I87*1.01</f>
        <v>5172.21</v>
      </c>
      <c r="K87" s="43">
        <f>J87*1.01</f>
        <v>5223.9321</v>
      </c>
      <c r="L87" s="43">
        <f>K87*1.01</f>
        <v>5276.171421</v>
      </c>
      <c r="M87" s="43">
        <f>L87*1.01</f>
        <v>5328.9331352099998</v>
      </c>
      <c r="N87" s="43"/>
      <c r="O87" s="43"/>
      <c r="P87" s="111"/>
      <c r="Q87" s="43"/>
      <c r="R87" s="43"/>
    </row>
    <row r="88" spans="2:18" s="18" customFormat="1" x14ac:dyDescent="0.3">
      <c r="B88" s="18" t="s">
        <v>61</v>
      </c>
      <c r="C88" s="27">
        <v>280</v>
      </c>
      <c r="D88" s="27">
        <v>285</v>
      </c>
      <c r="E88" s="27">
        <v>287</v>
      </c>
      <c r="F88" s="129"/>
      <c r="G88" s="27">
        <v>287</v>
      </c>
      <c r="H88" s="27">
        <v>287</v>
      </c>
      <c r="I88" s="27">
        <v>289</v>
      </c>
      <c r="J88" s="43">
        <f>I88*1.005</f>
        <v>290.44499999999999</v>
      </c>
      <c r="K88" s="43">
        <f>J88*1.005</f>
        <v>291.89722499999993</v>
      </c>
      <c r="L88" s="43">
        <f>K88*1.005</f>
        <v>293.35671112499989</v>
      </c>
      <c r="M88" s="43">
        <f>L88*1.005</f>
        <v>294.82349468062483</v>
      </c>
      <c r="N88" s="43"/>
      <c r="O88" s="43"/>
      <c r="P88" s="43"/>
      <c r="Q88" s="43"/>
      <c r="R88" s="43"/>
    </row>
    <row r="89" spans="2:18" x14ac:dyDescent="0.3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2:18" s="28" customFormat="1" x14ac:dyDescent="0.3">
      <c r="B90" s="28" t="s">
        <v>144</v>
      </c>
      <c r="C90" s="29">
        <f t="shared" ref="C90:I90" si="3">SUM(C45:C61)-SUM(C64:C73)-SUM(C76:C79)-C81</f>
        <v>0</v>
      </c>
      <c r="D90" s="29">
        <f t="shared" si="3"/>
        <v>0</v>
      </c>
      <c r="E90" s="29">
        <f t="shared" si="3"/>
        <v>0</v>
      </c>
      <c r="F90" s="130"/>
      <c r="G90" s="29">
        <f t="shared" si="3"/>
        <v>0</v>
      </c>
      <c r="H90" s="29">
        <f t="shared" si="3"/>
        <v>0</v>
      </c>
      <c r="I90" s="29">
        <f t="shared" si="3"/>
        <v>0</v>
      </c>
      <c r="J90" s="39"/>
      <c r="K90" s="39"/>
      <c r="L90" s="39"/>
      <c r="M90" s="39"/>
      <c r="N90" s="39"/>
      <c r="O90" s="39"/>
      <c r="P90" s="39"/>
      <c r="Q90" s="29">
        <f>SUM(Q45:Q61)-SUM(Q64:Q73)-SUM(Q76:Q79)-Q81</f>
        <v>0</v>
      </c>
      <c r="R90" s="29">
        <f>SUM(R45:R61)-SUM(R64:R73)-SUM(R76:R79)-R81</f>
        <v>0</v>
      </c>
    </row>
    <row r="91" spans="2:18" x14ac:dyDescent="0.3">
      <c r="F91" s="116"/>
      <c r="J91" s="12"/>
      <c r="K91" s="12"/>
      <c r="L91" s="12"/>
      <c r="M91" s="12"/>
      <c r="N91" s="12"/>
      <c r="O91" s="12"/>
      <c r="P91" s="12"/>
      <c r="Q91" s="12"/>
      <c r="R91" s="12"/>
    </row>
    <row r="92" spans="2:18" x14ac:dyDescent="0.3">
      <c r="B92" t="s">
        <v>364</v>
      </c>
      <c r="C92" s="88">
        <f t="shared" ref="C92:M92" si="4">C45/C62</f>
        <v>2.9998965514248431E-2</v>
      </c>
      <c r="D92" s="88">
        <f t="shared" si="4"/>
        <v>3.3605235830539544E-2</v>
      </c>
      <c r="E92" s="88">
        <f t="shared" si="4"/>
        <v>3.8100320776585109E-2</v>
      </c>
      <c r="F92" s="131"/>
      <c r="G92" s="88">
        <f t="shared" si="4"/>
        <v>2.9080931559911326E-2</v>
      </c>
      <c r="H92" s="88">
        <f t="shared" si="4"/>
        <v>3.4956233210184678E-2</v>
      </c>
      <c r="I92" s="88">
        <f t="shared" si="4"/>
        <v>6.0454583419137981E-2</v>
      </c>
      <c r="J92" s="88">
        <f t="shared" si="4"/>
        <v>3.9783431257939733E-2</v>
      </c>
      <c r="K92" s="88">
        <f t="shared" si="4"/>
        <v>3.7144427211926144E-2</v>
      </c>
      <c r="L92" s="88">
        <f t="shared" si="4"/>
        <v>4.7221240655585597E-2</v>
      </c>
      <c r="M92" s="88">
        <f t="shared" si="4"/>
        <v>4.4651352667251863E-2</v>
      </c>
      <c r="N92" s="12"/>
      <c r="O92" s="12"/>
      <c r="P92" s="88">
        <f>P45/P62</f>
        <v>4.5344530483555676E-2</v>
      </c>
      <c r="Q92" s="12"/>
      <c r="R92" s="12"/>
    </row>
    <row r="93" spans="2:18" x14ac:dyDescent="0.3">
      <c r="F93" s="116"/>
      <c r="I93" s="88">
        <f>((I88/E88)^(1/3))-1</f>
        <v>2.3175053914445964E-3</v>
      </c>
      <c r="J93" s="12"/>
      <c r="K93" s="12"/>
      <c r="L93" s="12"/>
      <c r="M93" s="12"/>
      <c r="N93" s="12"/>
      <c r="O93" s="12"/>
      <c r="P93" s="12"/>
      <c r="Q93" s="12"/>
      <c r="R93" s="12"/>
    </row>
    <row r="94" spans="2:18" s="7" customFormat="1" x14ac:dyDescent="0.3">
      <c r="B94" s="10" t="s">
        <v>116</v>
      </c>
      <c r="C94" s="11"/>
      <c r="D94" s="11"/>
      <c r="E94" s="11"/>
      <c r="F94" s="118"/>
      <c r="G94" s="11"/>
      <c r="H94" s="11"/>
      <c r="I94" s="11"/>
      <c r="J94" s="41"/>
      <c r="K94" s="41"/>
      <c r="L94" s="41"/>
      <c r="M94" s="41"/>
      <c r="N94" s="41"/>
      <c r="O94" s="41"/>
      <c r="P94" s="41"/>
      <c r="Q94" s="41"/>
      <c r="R94" s="41"/>
    </row>
    <row r="95" spans="2:18" x14ac:dyDescent="0.3">
      <c r="F95" s="116"/>
      <c r="J95" s="12"/>
      <c r="K95" s="12"/>
      <c r="L95" s="12"/>
      <c r="M95" s="12"/>
      <c r="N95" s="12"/>
      <c r="O95" s="12"/>
      <c r="P95" s="12"/>
      <c r="Q95" s="12"/>
      <c r="R95" s="12"/>
    </row>
    <row r="96" spans="2:18" x14ac:dyDescent="0.3">
      <c r="B96" t="s">
        <v>63</v>
      </c>
      <c r="C96" s="22">
        <v>23280324</v>
      </c>
      <c r="D96" s="22">
        <v>26098548</v>
      </c>
      <c r="E96" s="22">
        <v>22983896</v>
      </c>
      <c r="F96" s="121"/>
      <c r="G96" s="22">
        <v>24519860</v>
      </c>
      <c r="H96" s="22">
        <v>32957324</v>
      </c>
      <c r="I96" s="22">
        <v>24505038</v>
      </c>
      <c r="J96" s="12"/>
      <c r="K96" s="12"/>
      <c r="L96" s="12"/>
      <c r="M96" s="12"/>
      <c r="N96" s="12"/>
      <c r="O96" s="12"/>
      <c r="P96" s="12"/>
      <c r="Q96" s="12"/>
      <c r="R96" s="12"/>
    </row>
    <row r="97" spans="2:18" x14ac:dyDescent="0.3">
      <c r="B97" t="s">
        <v>105</v>
      </c>
      <c r="F97" s="116"/>
      <c r="J97" s="12"/>
      <c r="K97" s="12"/>
      <c r="L97" s="12"/>
      <c r="M97" s="12"/>
      <c r="N97" s="12"/>
      <c r="O97" s="12"/>
      <c r="P97" s="12"/>
      <c r="Q97" s="12"/>
      <c r="R97" s="12"/>
    </row>
    <row r="98" spans="2:18" x14ac:dyDescent="0.3">
      <c r="B98" t="s">
        <v>104</v>
      </c>
      <c r="C98" s="22">
        <v>1078540</v>
      </c>
      <c r="D98" s="22">
        <v>12380685</v>
      </c>
      <c r="E98" s="22">
        <v>14014272</v>
      </c>
      <c r="F98" s="121"/>
      <c r="G98" s="22">
        <v>24764927</v>
      </c>
      <c r="H98" s="22">
        <v>30473593</v>
      </c>
      <c r="I98" s="22">
        <v>91299070</v>
      </c>
      <c r="J98" s="12"/>
      <c r="K98" s="12"/>
      <c r="L98" s="12"/>
      <c r="M98" s="12"/>
      <c r="N98" s="12"/>
      <c r="O98" s="12"/>
      <c r="P98" s="12"/>
      <c r="Q98" s="12"/>
      <c r="R98" s="12"/>
    </row>
    <row r="99" spans="2:18" x14ac:dyDescent="0.3">
      <c r="B99" t="s">
        <v>64</v>
      </c>
      <c r="C99" s="22">
        <v>-125489870</v>
      </c>
      <c r="D99" s="22">
        <v>-169379105</v>
      </c>
      <c r="E99" s="22">
        <v>-84218375</v>
      </c>
      <c r="F99" s="121"/>
      <c r="G99" s="22">
        <v>-374761711</v>
      </c>
      <c r="H99" s="22">
        <v>-230261220</v>
      </c>
      <c r="I99" s="22">
        <v>-463345077</v>
      </c>
      <c r="J99" s="12"/>
      <c r="K99" s="12"/>
      <c r="L99" s="12"/>
      <c r="M99" s="12"/>
      <c r="N99" s="12"/>
      <c r="O99" s="12"/>
      <c r="P99" s="12"/>
      <c r="Q99" s="12"/>
      <c r="R99" s="12"/>
    </row>
    <row r="100" spans="2:18" x14ac:dyDescent="0.3">
      <c r="B100" t="s">
        <v>65</v>
      </c>
      <c r="C100" s="22">
        <v>100265879</v>
      </c>
      <c r="D100" s="22">
        <v>138876499</v>
      </c>
      <c r="E100" s="22">
        <v>69879669</v>
      </c>
      <c r="F100" s="121"/>
      <c r="G100" s="22">
        <v>325708382</v>
      </c>
      <c r="H100" s="22">
        <v>208070200</v>
      </c>
      <c r="I100" s="22">
        <v>430778836</v>
      </c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2:18" x14ac:dyDescent="0.3">
      <c r="B101" t="s">
        <v>66</v>
      </c>
      <c r="C101" s="22">
        <v>18774</v>
      </c>
      <c r="D101" s="22">
        <v>-9311</v>
      </c>
      <c r="E101" s="22">
        <v>-19731</v>
      </c>
      <c r="F101" s="121"/>
      <c r="G101" s="22">
        <v>-5820</v>
      </c>
      <c r="H101" s="22">
        <v>-4054</v>
      </c>
      <c r="I101" s="22">
        <v>-20118</v>
      </c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2:18" x14ac:dyDescent="0.3">
      <c r="B102" t="s">
        <v>67</v>
      </c>
      <c r="C102" s="22">
        <v>-3678</v>
      </c>
      <c r="D102" s="22">
        <v>-6048</v>
      </c>
      <c r="E102" s="22">
        <v>-9992</v>
      </c>
      <c r="F102" s="121"/>
      <c r="G102" s="22">
        <v>-3898</v>
      </c>
      <c r="H102" s="22">
        <v>-1896</v>
      </c>
      <c r="I102" s="22">
        <v>3727</v>
      </c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2:18" x14ac:dyDescent="0.3">
      <c r="B103" t="s">
        <v>68</v>
      </c>
      <c r="C103" s="22">
        <v>0</v>
      </c>
      <c r="D103" s="22">
        <v>0</v>
      </c>
      <c r="E103" s="22">
        <v>0</v>
      </c>
      <c r="F103" s="121"/>
      <c r="G103" s="22">
        <v>0</v>
      </c>
      <c r="H103" s="22">
        <v>0</v>
      </c>
      <c r="I103" s="22">
        <v>0</v>
      </c>
      <c r="J103" s="12"/>
      <c r="K103" s="12"/>
      <c r="L103" s="12"/>
      <c r="M103" s="12"/>
      <c r="N103" s="12"/>
      <c r="O103" s="12"/>
      <c r="P103" s="12"/>
      <c r="Q103" s="12"/>
      <c r="R103" s="12"/>
    </row>
    <row r="104" spans="2:18" x14ac:dyDescent="0.3">
      <c r="B104" t="s">
        <v>69</v>
      </c>
      <c r="C104" s="22">
        <v>2377694</v>
      </c>
      <c r="D104" s="22">
        <v>3105553</v>
      </c>
      <c r="E104" s="22">
        <v>3848979</v>
      </c>
      <c r="F104" s="122"/>
      <c r="G104" s="22">
        <v>3756921</v>
      </c>
      <c r="H104" s="22">
        <v>3398554</v>
      </c>
      <c r="I104" s="22">
        <v>4843571</v>
      </c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2:18" x14ac:dyDescent="0.3">
      <c r="B105" t="s">
        <v>70</v>
      </c>
      <c r="C105" s="22">
        <v>-503140</v>
      </c>
      <c r="D105" s="22">
        <v>3003952</v>
      </c>
      <c r="E105" s="22">
        <v>-396201</v>
      </c>
      <c r="F105" s="121"/>
      <c r="G105" s="22">
        <v>596723</v>
      </c>
      <c r="H105" s="22">
        <v>1278891</v>
      </c>
      <c r="I105" s="22">
        <v>18347815</v>
      </c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2:18" x14ac:dyDescent="0.3">
      <c r="B106" t="s">
        <v>71</v>
      </c>
      <c r="C106" s="22">
        <v>-184464</v>
      </c>
      <c r="D106" s="22">
        <v>-382409</v>
      </c>
      <c r="E106" s="22">
        <v>-198799</v>
      </c>
      <c r="F106" s="121"/>
      <c r="G106" s="22">
        <v>-673106</v>
      </c>
      <c r="H106" s="22">
        <v>-1116195</v>
      </c>
      <c r="I106" s="22">
        <v>-780828</v>
      </c>
      <c r="J106" s="12"/>
      <c r="K106" s="12"/>
      <c r="L106" s="12"/>
      <c r="M106" s="12"/>
      <c r="N106" s="12"/>
      <c r="O106" s="12"/>
      <c r="P106" s="12"/>
      <c r="Q106" s="12"/>
      <c r="R106" s="12"/>
    </row>
    <row r="107" spans="2:18" x14ac:dyDescent="0.3">
      <c r="B107" t="s">
        <v>72</v>
      </c>
      <c r="C107" s="22">
        <v>-3810701</v>
      </c>
      <c r="D107" s="22">
        <v>-5971026</v>
      </c>
      <c r="E107" s="22">
        <v>-8301839</v>
      </c>
      <c r="F107" s="121"/>
      <c r="G107" s="22">
        <v>-7748870</v>
      </c>
      <c r="H107" s="22">
        <v>-8963620</v>
      </c>
      <c r="I107" s="22">
        <v>-11143271</v>
      </c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2:18" x14ac:dyDescent="0.3">
      <c r="B108" t="s">
        <v>73</v>
      </c>
      <c r="C108" s="22">
        <v>0</v>
      </c>
      <c r="D108" s="22">
        <v>0</v>
      </c>
      <c r="E108" s="22">
        <v>0</v>
      </c>
      <c r="F108" s="122"/>
      <c r="G108" s="22">
        <v>0</v>
      </c>
      <c r="H108" s="22">
        <v>0</v>
      </c>
      <c r="I108" s="22">
        <v>-5216574</v>
      </c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2:18" x14ac:dyDescent="0.3">
      <c r="B109" s="2" t="s">
        <v>74</v>
      </c>
      <c r="C109" s="22">
        <v>-2970642</v>
      </c>
      <c r="D109" s="22">
        <v>7717338</v>
      </c>
      <c r="E109" s="22">
        <v>17581879</v>
      </c>
      <c r="F109" s="121"/>
      <c r="G109" s="22">
        <v>-3846592</v>
      </c>
      <c r="H109" s="22">
        <v>35831577</v>
      </c>
      <c r="I109" s="22">
        <v>89272189</v>
      </c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2:18" x14ac:dyDescent="0.3">
      <c r="B110" s="2" t="s">
        <v>107</v>
      </c>
      <c r="F110" s="116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2:18" x14ac:dyDescent="0.3">
      <c r="B111" t="s">
        <v>106</v>
      </c>
      <c r="C111" s="22">
        <v>-2163733</v>
      </c>
      <c r="D111" s="22">
        <v>-2079875</v>
      </c>
      <c r="E111" s="22">
        <v>-1372832</v>
      </c>
      <c r="F111" s="121"/>
      <c r="G111" s="22">
        <v>-1159712</v>
      </c>
      <c r="H111" s="22">
        <v>-1034299</v>
      </c>
      <c r="I111" s="22">
        <v>-3370339</v>
      </c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2:18" x14ac:dyDescent="0.3">
      <c r="B112" t="s">
        <v>75</v>
      </c>
      <c r="C112" s="22">
        <v>58032</v>
      </c>
      <c r="D112" s="22">
        <v>53314</v>
      </c>
      <c r="E112" s="22">
        <v>24189</v>
      </c>
      <c r="F112" s="121"/>
      <c r="G112" s="22">
        <v>8901</v>
      </c>
      <c r="H112" s="22">
        <v>49463</v>
      </c>
      <c r="I112" s="22">
        <v>47856</v>
      </c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2:18" x14ac:dyDescent="0.3">
      <c r="B113" t="s">
        <v>76</v>
      </c>
      <c r="C113" s="22">
        <v>-179751</v>
      </c>
      <c r="D113" s="22">
        <v>-697591</v>
      </c>
      <c r="E113" s="22">
        <v>-95031</v>
      </c>
      <c r="F113" s="122"/>
      <c r="G113" s="22">
        <v>-300000</v>
      </c>
      <c r="H113" s="22">
        <v>-5607000</v>
      </c>
      <c r="I113" s="22">
        <v>-1200000</v>
      </c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2:18" x14ac:dyDescent="0.3">
      <c r="B114" t="s">
        <v>77</v>
      </c>
      <c r="C114" s="22">
        <v>3530785</v>
      </c>
      <c r="D114" s="22">
        <v>2096712</v>
      </c>
      <c r="E114" s="22">
        <v>3428080</v>
      </c>
      <c r="F114" s="122"/>
      <c r="G114" s="22">
        <v>2368509</v>
      </c>
      <c r="H114" s="22">
        <v>484800</v>
      </c>
      <c r="I114" s="22">
        <v>952369</v>
      </c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2:18" x14ac:dyDescent="0.3">
      <c r="B115" t="s">
        <v>78</v>
      </c>
      <c r="C115" s="22">
        <v>-352329</v>
      </c>
      <c r="D115" s="22">
        <v>-406641</v>
      </c>
      <c r="E115" s="22">
        <v>-415088</v>
      </c>
      <c r="F115" s="121"/>
      <c r="G115" s="22">
        <v>-460053</v>
      </c>
      <c r="H115" s="22">
        <v>-810454</v>
      </c>
      <c r="I115" s="22">
        <v>-2224915</v>
      </c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2:18" x14ac:dyDescent="0.3">
      <c r="B116" t="s">
        <v>68</v>
      </c>
      <c r="C116" s="22">
        <v>4111</v>
      </c>
      <c r="E116" s="22">
        <v>0</v>
      </c>
      <c r="F116" s="121"/>
      <c r="G116" s="22">
        <v>0</v>
      </c>
      <c r="H116" s="22">
        <v>0</v>
      </c>
      <c r="I116" s="22">
        <v>0</v>
      </c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2:18" x14ac:dyDescent="0.3">
      <c r="B117" t="s">
        <v>97</v>
      </c>
      <c r="C117" s="22">
        <v>7803</v>
      </c>
      <c r="D117" s="22">
        <v>4962</v>
      </c>
      <c r="E117" s="22">
        <v>-70213</v>
      </c>
      <c r="F117" s="121"/>
      <c r="G117" s="22">
        <v>-41</v>
      </c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2:18" x14ac:dyDescent="0.3">
      <c r="B118" s="2" t="s">
        <v>79</v>
      </c>
      <c r="C118" s="22">
        <v>904918</v>
      </c>
      <c r="D118" s="22">
        <v>-1029119</v>
      </c>
      <c r="E118" s="22">
        <v>1499105</v>
      </c>
      <c r="F118" s="121"/>
      <c r="G118" s="22">
        <v>457604</v>
      </c>
      <c r="H118" s="22">
        <v>-6917490</v>
      </c>
      <c r="I118" s="22">
        <v>-5795029</v>
      </c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2:18" x14ac:dyDescent="0.3">
      <c r="B119" s="2" t="s">
        <v>109</v>
      </c>
      <c r="F119" s="116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2:18" x14ac:dyDescent="0.3">
      <c r="B120" t="s">
        <v>108</v>
      </c>
      <c r="C120" s="1">
        <f>10143872+386311</f>
        <v>10530183</v>
      </c>
      <c r="D120" s="22">
        <v>203083</v>
      </c>
      <c r="E120" s="22">
        <v>30128</v>
      </c>
      <c r="F120" s="121"/>
      <c r="G120" s="22">
        <v>0</v>
      </c>
      <c r="H120" s="22">
        <v>40866</v>
      </c>
      <c r="I120" s="22">
        <v>0</v>
      </c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2:18" x14ac:dyDescent="0.3">
      <c r="B121" t="s">
        <v>80</v>
      </c>
      <c r="C121" s="22">
        <v>0</v>
      </c>
      <c r="D121" s="22">
        <v>10000000</v>
      </c>
      <c r="E121" s="22">
        <v>0</v>
      </c>
      <c r="F121" s="122"/>
      <c r="G121" s="22">
        <v>9215775</v>
      </c>
      <c r="H121" s="22">
        <v>8595470</v>
      </c>
      <c r="I121" s="22">
        <v>10000000</v>
      </c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2:18" x14ac:dyDescent="0.3">
      <c r="B122" t="s">
        <v>81</v>
      </c>
      <c r="C122" s="22">
        <v>0</v>
      </c>
      <c r="D122" s="22">
        <v>0</v>
      </c>
      <c r="E122" s="22">
        <v>0</v>
      </c>
      <c r="F122" s="122"/>
      <c r="G122" s="22">
        <v>0</v>
      </c>
      <c r="H122" s="22">
        <v>-9502140</v>
      </c>
      <c r="I122" s="22">
        <v>0</v>
      </c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2:18" x14ac:dyDescent="0.3">
      <c r="B123" t="s">
        <v>82</v>
      </c>
      <c r="C123" s="22">
        <v>-2362270</v>
      </c>
      <c r="D123" s="22">
        <v>-2496230</v>
      </c>
      <c r="E123" s="22">
        <v>-3873107</v>
      </c>
      <c r="F123" s="122"/>
      <c r="G123" s="22">
        <v>-3802023</v>
      </c>
      <c r="H123" s="22">
        <v>-3422766</v>
      </c>
      <c r="I123" s="22">
        <v>-4283280</v>
      </c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2:18" x14ac:dyDescent="0.3">
      <c r="B124" t="s">
        <v>83</v>
      </c>
      <c r="E124" s="22">
        <v>-1049004</v>
      </c>
      <c r="F124" s="121"/>
      <c r="G124" s="22">
        <v>-1354902</v>
      </c>
      <c r="H124" s="22">
        <v>-1366628</v>
      </c>
      <c r="I124" s="22">
        <v>-2055498</v>
      </c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2:18" x14ac:dyDescent="0.3">
      <c r="B125" t="s">
        <v>84</v>
      </c>
      <c r="C125" s="22">
        <v>-3690</v>
      </c>
      <c r="D125" s="22">
        <v>-4218</v>
      </c>
      <c r="E125" s="22">
        <v>-4988</v>
      </c>
      <c r="F125" s="121"/>
      <c r="G125" s="22">
        <v>-15996</v>
      </c>
      <c r="H125" s="22">
        <v>-15168</v>
      </c>
      <c r="I125" s="22">
        <v>-14365</v>
      </c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2:18" x14ac:dyDescent="0.3">
      <c r="B126" t="s">
        <v>85</v>
      </c>
      <c r="C126" s="22">
        <v>-4349302</v>
      </c>
      <c r="D126" s="22">
        <v>-4703903</v>
      </c>
      <c r="E126" s="22">
        <v>-4857563</v>
      </c>
      <c r="F126" s="121"/>
      <c r="G126" s="22">
        <v>-3082420</v>
      </c>
      <c r="H126" s="22">
        <v>-5159000</v>
      </c>
      <c r="I126" s="22">
        <v>-5343490</v>
      </c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2:18" x14ac:dyDescent="0.3">
      <c r="B127" s="2" t="s">
        <v>86</v>
      </c>
      <c r="C127" s="22">
        <v>3814921</v>
      </c>
      <c r="D127" s="22">
        <v>2998732</v>
      </c>
      <c r="E127" s="22">
        <v>-9754534</v>
      </c>
      <c r="F127" s="121"/>
      <c r="G127" s="22">
        <v>960434</v>
      </c>
      <c r="H127" s="22">
        <v>-10829366</v>
      </c>
      <c r="I127" s="22">
        <v>-1696633</v>
      </c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2:18" x14ac:dyDescent="0.3">
      <c r="B128" t="s">
        <v>87</v>
      </c>
      <c r="C128" s="22">
        <v>1749197</v>
      </c>
      <c r="D128" s="22">
        <v>9686951</v>
      </c>
      <c r="E128" s="22">
        <v>9326450</v>
      </c>
      <c r="F128" s="121"/>
      <c r="G128" s="22">
        <v>-2428554</v>
      </c>
      <c r="H128" s="22">
        <v>18084721</v>
      </c>
      <c r="I128" s="22">
        <v>81780527</v>
      </c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2:18" x14ac:dyDescent="0.3">
      <c r="B129" t="s">
        <v>88</v>
      </c>
      <c r="C129" s="22">
        <v>32924227</v>
      </c>
      <c r="D129" s="22">
        <v>34673424</v>
      </c>
      <c r="E129" s="22">
        <v>44360375</v>
      </c>
      <c r="F129" s="121"/>
      <c r="G129" s="22">
        <v>53686825</v>
      </c>
      <c r="H129" s="22">
        <v>51258271</v>
      </c>
      <c r="I129" s="22">
        <v>69342992</v>
      </c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2:18" x14ac:dyDescent="0.3">
      <c r="B130" t="s">
        <v>89</v>
      </c>
      <c r="C130" s="22">
        <v>34673424</v>
      </c>
      <c r="D130" s="22">
        <v>44360375</v>
      </c>
      <c r="E130" s="22">
        <v>53686825</v>
      </c>
      <c r="F130" s="121"/>
      <c r="G130" s="22">
        <v>51258271</v>
      </c>
      <c r="H130" s="22">
        <v>69342992</v>
      </c>
      <c r="I130" s="22">
        <v>151123519</v>
      </c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2:18" x14ac:dyDescent="0.3">
      <c r="B131" t="s">
        <v>90</v>
      </c>
      <c r="C131" s="22">
        <v>0</v>
      </c>
      <c r="D131" s="22">
        <v>-4413</v>
      </c>
      <c r="E131" s="22">
        <v>-5707</v>
      </c>
      <c r="F131" s="121"/>
      <c r="G131" s="22">
        <v>-3241</v>
      </c>
      <c r="H131" s="22">
        <v>-7613</v>
      </c>
      <c r="I131" s="22">
        <v>-14029</v>
      </c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2:18" x14ac:dyDescent="0.3">
      <c r="B132" s="2" t="s">
        <v>91</v>
      </c>
      <c r="C132" s="22">
        <v>34673424</v>
      </c>
      <c r="D132" s="22">
        <v>44355962</v>
      </c>
      <c r="E132" s="22">
        <v>53681118</v>
      </c>
      <c r="F132" s="121"/>
      <c r="G132" s="22">
        <v>51255030</v>
      </c>
      <c r="H132" s="22">
        <v>69335379</v>
      </c>
      <c r="I132" s="22">
        <v>151109490</v>
      </c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2:18" x14ac:dyDescent="0.3"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2:18" x14ac:dyDescent="0.3"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2:18" x14ac:dyDescent="0.3"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2:18" x14ac:dyDescent="0.3">
      <c r="J136" s="12"/>
      <c r="K136" s="12"/>
      <c r="L136" s="12"/>
      <c r="M136" s="12"/>
      <c r="N136" s="12"/>
      <c r="O136" s="12"/>
      <c r="P136" s="12"/>
      <c r="Q136" s="12"/>
      <c r="R136" s="12"/>
    </row>
  </sheetData>
  <conditionalFormatting sqref="J45:M45">
    <cfRule type="cellIs" dxfId="0" priority="1" operator="lessThan">
      <formula>0</formula>
    </cfRule>
  </conditionalFormatting>
  <pageMargins left="0.7" right="0.7" top="0.75" bottom="0.75" header="0.3" footer="0.3"/>
  <pageSetup paperSize="9" scale="65" orientation="landscape" r:id="rId1"/>
  <rowBreaks count="2" manualBreakCount="2">
    <brk id="41" max="16383" man="1"/>
    <brk id="93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B582-14D1-4F06-A99C-667C602F1E9A}">
  <dimension ref="A2:U681"/>
  <sheetViews>
    <sheetView zoomScale="99" zoomScaleNormal="99" workbookViewId="0">
      <pane xSplit="2" ySplit="4" topLeftCell="F215" activePane="bottomRight" state="frozen"/>
      <selection activeCell="G59" sqref="G59"/>
      <selection pane="topRight" activeCell="G59" sqref="G59"/>
      <selection pane="bottomLeft" activeCell="G59" sqref="G59"/>
      <selection pane="bottomRight" activeCell="A151" sqref="A151"/>
    </sheetView>
  </sheetViews>
  <sheetFormatPr defaultRowHeight="14.4" x14ac:dyDescent="0.3"/>
  <cols>
    <col min="2" max="2" width="65.109375" bestFit="1" customWidth="1"/>
    <col min="3" max="8" width="14.21875" style="1" customWidth="1"/>
    <col min="9" max="12" width="14.88671875" customWidth="1"/>
    <col min="14" max="14" width="15.6640625" customWidth="1"/>
    <col min="15" max="15" width="16.33203125" customWidth="1"/>
    <col min="16" max="16" width="13.33203125" customWidth="1"/>
    <col min="17" max="18" width="12.109375" bestFit="1" customWidth="1"/>
  </cols>
  <sheetData>
    <row r="2" spans="1:21" x14ac:dyDescent="0.3">
      <c r="C2" s="12"/>
      <c r="D2" s="12"/>
      <c r="E2" s="12"/>
      <c r="F2" s="12"/>
      <c r="G2" s="12"/>
      <c r="H2" s="12"/>
    </row>
    <row r="3" spans="1:21" x14ac:dyDescent="0.3">
      <c r="B3" t="s">
        <v>62</v>
      </c>
      <c r="N3" t="s">
        <v>348</v>
      </c>
      <c r="P3" t="s">
        <v>336</v>
      </c>
      <c r="Q3" t="s">
        <v>335</v>
      </c>
    </row>
    <row r="4" spans="1:21" x14ac:dyDescent="0.3">
      <c r="B4" t="s">
        <v>110</v>
      </c>
      <c r="C4" s="4">
        <v>2017</v>
      </c>
      <c r="D4" s="4">
        <v>2018</v>
      </c>
      <c r="E4" s="4">
        <v>2019</v>
      </c>
      <c r="F4" s="4">
        <v>2020</v>
      </c>
      <c r="G4" s="4">
        <v>2021</v>
      </c>
      <c r="H4" s="4">
        <v>2022</v>
      </c>
      <c r="I4" s="84" t="s">
        <v>117</v>
      </c>
      <c r="J4" s="84" t="s">
        <v>118</v>
      </c>
      <c r="K4" s="84" t="s">
        <v>119</v>
      </c>
      <c r="L4" s="84" t="s">
        <v>120</v>
      </c>
      <c r="N4" s="83">
        <v>45192</v>
      </c>
      <c r="O4" s="89">
        <v>45100</v>
      </c>
      <c r="P4" s="87">
        <v>45078</v>
      </c>
    </row>
    <row r="5" spans="1:21" s="7" customFormat="1" x14ac:dyDescent="0.3">
      <c r="B5" s="10" t="s">
        <v>115</v>
      </c>
      <c r="C5" s="11"/>
      <c r="D5" s="11"/>
      <c r="E5" s="11"/>
      <c r="F5" s="11"/>
      <c r="G5" s="11"/>
      <c r="H5" s="11"/>
    </row>
    <row r="6" spans="1:21" x14ac:dyDescent="0.3">
      <c r="C6" s="48"/>
      <c r="D6" s="48"/>
      <c r="E6" s="48"/>
      <c r="F6" s="48"/>
      <c r="G6" s="48"/>
      <c r="H6" s="48"/>
      <c r="I6" s="49"/>
      <c r="J6" s="49"/>
      <c r="K6" s="49"/>
      <c r="L6" s="49"/>
      <c r="M6" s="35"/>
      <c r="N6" s="35"/>
      <c r="O6" s="35"/>
      <c r="P6" s="35"/>
      <c r="Q6" s="35"/>
      <c r="R6" s="35"/>
      <c r="S6" s="35"/>
      <c r="T6" s="35"/>
      <c r="U6" s="35"/>
    </row>
    <row r="7" spans="1:21" x14ac:dyDescent="0.3">
      <c r="A7" s="112"/>
      <c r="B7" t="s">
        <v>1</v>
      </c>
      <c r="C7" s="22">
        <v>104049102</v>
      </c>
      <c r="D7" s="22">
        <v>118551239</v>
      </c>
      <c r="E7" s="22">
        <v>129287743</v>
      </c>
      <c r="F7" s="22">
        <v>124087713</v>
      </c>
      <c r="G7" s="22">
        <v>132818178</v>
      </c>
      <c r="H7" s="22">
        <v>222393079</v>
      </c>
      <c r="I7" s="49">
        <f>I13+SUM(I14:I19)</f>
        <v>305857340.25651371</v>
      </c>
      <c r="J7" s="49">
        <f>J13+SUM(J14:J19)</f>
        <v>295139360.82759655</v>
      </c>
      <c r="K7" s="49">
        <f>K13+SUM(K14:K19)</f>
        <v>337849476.98441112</v>
      </c>
      <c r="L7" s="49">
        <f>L13+SUM(L14:L19)</f>
        <v>381754847.54438692</v>
      </c>
      <c r="M7" s="49"/>
      <c r="N7" s="49">
        <f>FS!P7/9*12</f>
        <v>299426685.33333331</v>
      </c>
      <c r="O7" s="49"/>
      <c r="P7" s="22">
        <v>150811644</v>
      </c>
      <c r="Q7" s="22">
        <v>88116673</v>
      </c>
      <c r="R7" s="49">
        <f>P7*2</f>
        <v>301623288</v>
      </c>
      <c r="S7" s="35"/>
      <c r="T7" s="35"/>
      <c r="U7" s="35"/>
    </row>
    <row r="8" spans="1:21" x14ac:dyDescent="0.3">
      <c r="C8" s="48"/>
      <c r="D8" s="48"/>
      <c r="E8" s="48"/>
      <c r="F8" s="48"/>
      <c r="G8" s="48"/>
      <c r="H8" s="48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x14ac:dyDescent="0.3">
      <c r="A9" s="113"/>
      <c r="B9" t="s">
        <v>93</v>
      </c>
      <c r="C9" s="23">
        <v>362695</v>
      </c>
      <c r="D9" s="23">
        <v>411412</v>
      </c>
      <c r="E9" s="23">
        <v>1290697</v>
      </c>
      <c r="F9" s="23">
        <v>1053757</v>
      </c>
      <c r="G9" s="23">
        <v>447742</v>
      </c>
      <c r="H9" s="23">
        <v>945450</v>
      </c>
      <c r="I9" s="49">
        <f>FS!I45*Drivers!I55</f>
        <v>2055089.0639999998</v>
      </c>
      <c r="J9" s="49">
        <f>FS!J45*Drivers!J55</f>
        <v>1440461.9527464022</v>
      </c>
      <c r="K9" s="49">
        <f>FS!K45*Drivers!K55</f>
        <v>1491785.1380040424</v>
      </c>
      <c r="L9" s="49">
        <f>FS!L45*Drivers!L55</f>
        <v>2163539.5645903018</v>
      </c>
      <c r="M9" s="35"/>
      <c r="N9" s="35"/>
      <c r="O9" s="35"/>
      <c r="P9" s="35"/>
      <c r="Q9" s="35"/>
      <c r="R9" s="35"/>
      <c r="S9" s="35"/>
      <c r="T9" s="35"/>
      <c r="U9" s="35"/>
    </row>
    <row r="10" spans="1:21" x14ac:dyDescent="0.3">
      <c r="A10" s="113"/>
      <c r="B10" t="s">
        <v>27</v>
      </c>
      <c r="C10" s="23">
        <v>4400</v>
      </c>
      <c r="D10" s="23">
        <v>26734</v>
      </c>
      <c r="E10" s="23">
        <v>62572</v>
      </c>
      <c r="F10" s="23">
        <v>1175509</v>
      </c>
      <c r="G10" s="23">
        <v>1299948</v>
      </c>
      <c r="H10" s="23">
        <v>815979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x14ac:dyDescent="0.3">
      <c r="A11" s="113"/>
      <c r="B11" t="s">
        <v>184</v>
      </c>
      <c r="C11" s="23">
        <v>215909</v>
      </c>
      <c r="D11" s="23">
        <v>529738</v>
      </c>
      <c r="E11" s="23">
        <v>931571</v>
      </c>
      <c r="F11" s="23">
        <v>777425</v>
      </c>
      <c r="G11" s="23">
        <v>778021</v>
      </c>
      <c r="H11" s="23">
        <v>1685996</v>
      </c>
      <c r="I11" s="49">
        <f>I252*I28</f>
        <v>1348796.8000000003</v>
      </c>
      <c r="J11" s="49">
        <f>J252*J28</f>
        <v>1416236.6400000004</v>
      </c>
      <c r="K11" s="49">
        <f>K252*K28</f>
        <v>1487048.4720000003</v>
      </c>
      <c r="L11" s="49">
        <f>L252*L28</f>
        <v>1561400.8956000006</v>
      </c>
      <c r="M11" s="35"/>
      <c r="N11" s="35"/>
      <c r="O11" s="35"/>
      <c r="P11" s="35"/>
      <c r="Q11" s="35"/>
      <c r="R11" s="35"/>
      <c r="S11" s="35"/>
      <c r="T11" s="35"/>
      <c r="U11" s="35"/>
    </row>
    <row r="12" spans="1:21" x14ac:dyDescent="0.3">
      <c r="A12" s="113"/>
      <c r="B12" t="s">
        <v>29</v>
      </c>
      <c r="C12" s="23">
        <v>139153</v>
      </c>
      <c r="D12" s="23">
        <v>508616</v>
      </c>
      <c r="E12" s="23">
        <v>1906902</v>
      </c>
      <c r="F12" s="23">
        <v>836773</v>
      </c>
      <c r="G12" s="23">
        <v>375398</v>
      </c>
      <c r="H12" s="23">
        <v>1133583</v>
      </c>
      <c r="I12" s="49">
        <f>I264*I29</f>
        <v>453433.20000000007</v>
      </c>
      <c r="J12" s="49">
        <f>J264*J29</f>
        <v>476104.8600000001</v>
      </c>
      <c r="K12" s="49">
        <f>K264*K29</f>
        <v>499910.10300000006</v>
      </c>
      <c r="L12" s="49">
        <f>L264*L29</f>
        <v>524905.6081500001</v>
      </c>
      <c r="M12" s="35"/>
      <c r="N12" s="35"/>
      <c r="O12" s="35"/>
      <c r="P12" s="35"/>
      <c r="Q12" s="35"/>
      <c r="R12" s="35"/>
      <c r="S12" s="35"/>
      <c r="T12" s="35"/>
      <c r="U12" s="35"/>
    </row>
    <row r="13" spans="1:21" x14ac:dyDescent="0.3">
      <c r="A13" s="113"/>
      <c r="B13" t="s">
        <v>185</v>
      </c>
      <c r="C13" s="31">
        <v>469012</v>
      </c>
      <c r="D13" s="31">
        <v>323335</v>
      </c>
      <c r="E13" s="31">
        <v>474478</v>
      </c>
      <c r="F13" s="31">
        <v>1831327</v>
      </c>
      <c r="G13" s="31">
        <v>1101385</v>
      </c>
      <c r="H13" s="31">
        <v>1516691</v>
      </c>
      <c r="I13" s="50">
        <f>SUM(I9:I12)</f>
        <v>3857319.0640000002</v>
      </c>
      <c r="J13" s="50">
        <f>SUM(J9:J12)</f>
        <v>3332803.4527464025</v>
      </c>
      <c r="K13" s="50">
        <f>SUM(K9:K12)</f>
        <v>3478743.7130040429</v>
      </c>
      <c r="L13" s="50">
        <f>SUM(L9:L12)</f>
        <v>4249846.0683403024</v>
      </c>
      <c r="M13" s="35"/>
      <c r="N13" s="35"/>
      <c r="O13" s="35"/>
      <c r="P13" s="35"/>
      <c r="Q13" s="35"/>
      <c r="R13" s="35"/>
      <c r="S13" s="35"/>
      <c r="T13" s="35"/>
      <c r="U13" s="35"/>
    </row>
    <row r="14" spans="1:21" x14ac:dyDescent="0.3">
      <c r="A14" s="113"/>
      <c r="B14" s="20" t="s">
        <v>186</v>
      </c>
      <c r="C14" s="23">
        <v>24111</v>
      </c>
      <c r="D14" s="23">
        <v>56173</v>
      </c>
      <c r="E14" s="23">
        <v>67453</v>
      </c>
      <c r="F14" s="23">
        <v>34902</v>
      </c>
      <c r="G14" s="23">
        <v>167377</v>
      </c>
      <c r="H14" s="23">
        <v>237438</v>
      </c>
      <c r="I14" s="49">
        <f>I266*I31</f>
        <v>166206.59999999998</v>
      </c>
      <c r="J14" s="49">
        <f>J266*J31</f>
        <v>174516.93</v>
      </c>
      <c r="K14" s="49">
        <f>K266*K31</f>
        <v>183242.77650000001</v>
      </c>
      <c r="L14" s="49">
        <f>L266*L31</f>
        <v>192404.91532500001</v>
      </c>
      <c r="M14" s="35"/>
      <c r="N14" s="35"/>
      <c r="O14" s="35"/>
      <c r="P14" s="35"/>
      <c r="Q14" s="35"/>
      <c r="R14" s="35"/>
      <c r="S14" s="35"/>
      <c r="T14" s="35"/>
      <c r="U14" s="35"/>
    </row>
    <row r="15" spans="1:21" x14ac:dyDescent="0.3">
      <c r="A15" s="113"/>
      <c r="B15" s="20" t="s">
        <v>187</v>
      </c>
      <c r="C15" s="23">
        <v>444901</v>
      </c>
      <c r="D15" s="23">
        <v>267162</v>
      </c>
      <c r="E15" s="23">
        <v>407025</v>
      </c>
      <c r="F15" s="23">
        <v>1796425</v>
      </c>
      <c r="G15" s="23">
        <v>934008</v>
      </c>
      <c r="H15" s="23">
        <v>1279253</v>
      </c>
      <c r="I15" s="49">
        <f>I271*I32</f>
        <v>4946643.6500000004</v>
      </c>
      <c r="J15" s="49">
        <f>J271*J32</f>
        <v>7798003.120000001</v>
      </c>
      <c r="K15" s="49">
        <f>K271*K32</f>
        <v>8577803.4320000019</v>
      </c>
      <c r="L15" s="49">
        <f>L271*L32</f>
        <v>9435583.7752000019</v>
      </c>
      <c r="M15" s="35"/>
      <c r="N15" s="35"/>
      <c r="O15" s="35"/>
      <c r="P15" s="35"/>
      <c r="Q15" s="35"/>
      <c r="R15" s="35"/>
      <c r="S15" s="35"/>
      <c r="T15" s="35"/>
      <c r="U15" s="35"/>
    </row>
    <row r="16" spans="1:21" x14ac:dyDescent="0.3">
      <c r="A16" s="113"/>
      <c r="B16" t="s">
        <v>188</v>
      </c>
      <c r="C16" s="23">
        <v>78132371</v>
      </c>
      <c r="D16" s="23">
        <v>95081154</v>
      </c>
      <c r="E16" s="23">
        <v>100444369</v>
      </c>
      <c r="F16" s="23">
        <v>84257196</v>
      </c>
      <c r="G16" s="23">
        <v>79654575</v>
      </c>
      <c r="H16" s="23">
        <v>144253496</v>
      </c>
      <c r="I16" s="49">
        <f>I33*I305</f>
        <v>202814202.49125001</v>
      </c>
      <c r="J16" s="49">
        <f>J33*J305</f>
        <v>187855412.43549913</v>
      </c>
      <c r="K16" s="49">
        <f>K33*K305</f>
        <v>219768815.58015558</v>
      </c>
      <c r="L16" s="49">
        <f>L33*L305</f>
        <v>252734137.91717893</v>
      </c>
      <c r="M16" s="35"/>
      <c r="N16" s="35"/>
      <c r="O16" s="35"/>
      <c r="P16" s="35"/>
      <c r="Q16" s="35"/>
      <c r="R16" s="35"/>
      <c r="S16" s="35"/>
      <c r="T16" s="35"/>
      <c r="U16" s="35"/>
    </row>
    <row r="17" spans="1:21" x14ac:dyDescent="0.3">
      <c r="A17" s="113"/>
      <c r="B17" t="s">
        <v>189</v>
      </c>
      <c r="C17" s="23">
        <v>8512118</v>
      </c>
      <c r="D17" s="23">
        <v>6828671</v>
      </c>
      <c r="E17" s="23">
        <v>7819563</v>
      </c>
      <c r="F17" s="23">
        <v>13194851</v>
      </c>
      <c r="G17" s="23">
        <v>25951467</v>
      </c>
      <c r="H17" s="23">
        <v>51750895</v>
      </c>
      <c r="I17" s="49">
        <f>I50*I341</f>
        <v>48193315.718186967</v>
      </c>
      <c r="J17" s="49">
        <f>J50*J341</f>
        <v>45412106.434415869</v>
      </c>
      <c r="K17" s="49">
        <f>K50*K341</f>
        <v>50127259.6561905</v>
      </c>
      <c r="L17" s="49">
        <f>L50*L341</f>
        <v>53757015.859532543</v>
      </c>
      <c r="M17" s="35"/>
      <c r="N17" s="35"/>
      <c r="O17" s="35"/>
      <c r="P17" s="35"/>
      <c r="Q17" s="35"/>
      <c r="R17" s="35"/>
      <c r="S17" s="35"/>
      <c r="T17" s="35"/>
      <c r="U17" s="35"/>
    </row>
    <row r="18" spans="1:21" x14ac:dyDescent="0.3">
      <c r="A18" s="113"/>
      <c r="B18" t="s">
        <v>34</v>
      </c>
      <c r="C18" s="23">
        <v>15349974</v>
      </c>
      <c r="D18" s="23">
        <v>14478042</v>
      </c>
      <c r="E18" s="23">
        <v>15091368</v>
      </c>
      <c r="F18" s="23">
        <v>18053545</v>
      </c>
      <c r="G18" s="23">
        <v>22034788</v>
      </c>
      <c r="H18" s="23">
        <v>18995711</v>
      </c>
      <c r="I18" s="49">
        <f>I52*I384</f>
        <v>44543209.199999996</v>
      </c>
      <c r="J18" s="49">
        <f>J52*J384</f>
        <v>48997530.119999997</v>
      </c>
      <c r="K18" s="49">
        <f>K52*K384</f>
        <v>53897283.131999999</v>
      </c>
      <c r="L18" s="49">
        <f>L52*L384</f>
        <v>59287011.445200004</v>
      </c>
      <c r="M18" s="35"/>
      <c r="N18" s="35"/>
      <c r="O18" s="35"/>
      <c r="P18" s="35"/>
      <c r="Q18" s="35"/>
      <c r="R18" s="35"/>
      <c r="S18" s="35"/>
      <c r="T18" s="35"/>
      <c r="U18" s="35"/>
    </row>
    <row r="19" spans="1:21" x14ac:dyDescent="0.3">
      <c r="A19" s="113"/>
      <c r="B19" t="s">
        <v>190</v>
      </c>
      <c r="C19" s="23">
        <v>861057</v>
      </c>
      <c r="D19" s="23">
        <v>360876</v>
      </c>
      <c r="E19" s="23">
        <v>1258339</v>
      </c>
      <c r="F19" s="23">
        <v>2895955</v>
      </c>
      <c r="G19" s="23">
        <v>1174854</v>
      </c>
      <c r="H19" s="23">
        <v>1295278</v>
      </c>
      <c r="I19" s="49">
        <f>I53*I289</f>
        <v>1336443.5330767289</v>
      </c>
      <c r="J19" s="49">
        <f>J53*J289</f>
        <v>1568988.3349351075</v>
      </c>
      <c r="K19" s="49">
        <f>K53*K289</f>
        <v>1816328.6945609679</v>
      </c>
      <c r="L19" s="49">
        <f>L53*L289</f>
        <v>2098847.5636101598</v>
      </c>
      <c r="M19" s="35"/>
      <c r="N19" s="35"/>
      <c r="O19" s="35"/>
      <c r="P19" s="35"/>
      <c r="Q19" s="35"/>
      <c r="R19" s="35"/>
      <c r="S19" s="35"/>
      <c r="T19" s="35"/>
      <c r="U19" s="35"/>
    </row>
    <row r="20" spans="1:21" x14ac:dyDescent="0.3">
      <c r="B20" s="3"/>
      <c r="C20" s="23">
        <v>2413</v>
      </c>
      <c r="D20" s="23">
        <v>2661</v>
      </c>
      <c r="E20" s="23">
        <v>7884</v>
      </c>
      <c r="F20" s="23">
        <v>11375</v>
      </c>
      <c r="G20" s="23">
        <v>0</v>
      </c>
      <c r="H20" s="23">
        <v>0</v>
      </c>
      <c r="I20" s="49"/>
      <c r="J20" s="49"/>
      <c r="K20" s="49"/>
      <c r="L20" s="49"/>
      <c r="M20" s="35"/>
      <c r="N20" s="35"/>
      <c r="O20" s="35"/>
      <c r="P20" s="35"/>
      <c r="Q20" s="35"/>
      <c r="R20" s="35"/>
      <c r="S20" s="35"/>
      <c r="T20" s="35"/>
      <c r="U20" s="35"/>
    </row>
    <row r="21" spans="1:21" x14ac:dyDescent="0.3">
      <c r="B21" s="3"/>
      <c r="C21" s="48"/>
      <c r="D21" s="48"/>
      <c r="E21" s="48"/>
      <c r="F21" s="48"/>
      <c r="G21" s="48"/>
      <c r="H21" s="48"/>
      <c r="I21" s="49"/>
      <c r="J21" s="49"/>
      <c r="K21" s="49"/>
      <c r="L21" s="49"/>
      <c r="M21" s="35"/>
      <c r="N21" s="35"/>
      <c r="O21" s="35"/>
      <c r="P21" s="35"/>
      <c r="Q21" s="35"/>
      <c r="R21" s="35"/>
      <c r="S21" s="35"/>
      <c r="T21" s="35"/>
      <c r="U21" s="35"/>
    </row>
    <row r="22" spans="1:21" x14ac:dyDescent="0.3">
      <c r="B22" s="44" t="s">
        <v>145</v>
      </c>
      <c r="C22" s="48">
        <f t="shared" ref="C22:H22" si="0">SUM(C9:C13)+C16+C17+C18+C19+C20-C7</f>
        <v>0</v>
      </c>
      <c r="D22" s="48">
        <f t="shared" si="0"/>
        <v>0</v>
      </c>
      <c r="E22" s="48">
        <f t="shared" si="0"/>
        <v>0</v>
      </c>
      <c r="F22" s="48">
        <f t="shared" si="0"/>
        <v>0</v>
      </c>
      <c r="G22" s="48">
        <f t="shared" si="0"/>
        <v>0</v>
      </c>
      <c r="H22" s="48">
        <f t="shared" si="0"/>
        <v>0</v>
      </c>
      <c r="I22" s="49"/>
      <c r="J22" s="49"/>
      <c r="K22" s="49"/>
      <c r="L22" s="49"/>
      <c r="M22" s="35"/>
      <c r="N22" s="35"/>
      <c r="O22" s="35"/>
      <c r="P22" s="35"/>
      <c r="Q22" s="35"/>
      <c r="R22" s="35"/>
      <c r="S22" s="35"/>
      <c r="T22" s="35"/>
      <c r="U22" s="35"/>
    </row>
    <row r="23" spans="1:21" x14ac:dyDescent="0.3">
      <c r="B23" s="3"/>
      <c r="C23" s="48"/>
      <c r="D23" s="48"/>
      <c r="E23" s="48"/>
      <c r="F23" s="48"/>
      <c r="G23" s="48"/>
      <c r="H23" s="48"/>
      <c r="I23" s="49"/>
      <c r="J23" s="49"/>
      <c r="K23" s="49"/>
      <c r="L23" s="49"/>
      <c r="M23" s="35"/>
      <c r="N23" s="35"/>
      <c r="O23" s="35"/>
      <c r="P23" s="35"/>
      <c r="Q23" s="35"/>
      <c r="R23" s="35"/>
      <c r="S23" s="35"/>
      <c r="T23" s="35"/>
      <c r="U23" s="35"/>
    </row>
    <row r="24" spans="1:21" x14ac:dyDescent="0.3">
      <c r="A24" s="113"/>
      <c r="B24" s="3" t="s">
        <v>306</v>
      </c>
      <c r="C24" s="48"/>
      <c r="D24" s="48"/>
      <c r="E24" s="48"/>
      <c r="F24" s="48"/>
      <c r="G24" s="48"/>
      <c r="H24" s="48"/>
      <c r="I24" s="49"/>
      <c r="J24" s="49"/>
      <c r="K24" s="49"/>
      <c r="L24" s="49"/>
      <c r="M24" s="35"/>
      <c r="N24" s="35"/>
      <c r="O24" s="35"/>
      <c r="P24" s="35"/>
      <c r="Q24" s="35"/>
      <c r="R24" s="35"/>
      <c r="S24" s="35"/>
      <c r="T24" s="35"/>
      <c r="U24" s="35"/>
    </row>
    <row r="25" spans="1:21" x14ac:dyDescent="0.3">
      <c r="B25" s="3"/>
      <c r="C25" s="48"/>
      <c r="D25" s="48"/>
      <c r="E25" s="48"/>
      <c r="F25" s="48"/>
      <c r="G25" s="48"/>
      <c r="H25" s="48"/>
      <c r="I25" s="49"/>
      <c r="J25" s="49"/>
      <c r="K25" s="49"/>
      <c r="L25" s="49"/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3">
      <c r="A26" s="113"/>
      <c r="B26" t="s">
        <v>93</v>
      </c>
      <c r="C26" s="73">
        <f>C9/FS!C45</f>
        <v>1.0460316812092167E-2</v>
      </c>
      <c r="D26" s="73">
        <f>D9/FS!D45</f>
        <v>9.2752356492685241E-3</v>
      </c>
      <c r="E26" s="73">
        <f>E9/FS!E45</f>
        <v>2.4043780161210504E-2</v>
      </c>
      <c r="F26" s="73">
        <f>F9/FS!G45</f>
        <v>2.055909439522326E-2</v>
      </c>
      <c r="G26" s="73">
        <f>G9/FS!H45</f>
        <v>6.4576267766561137E-3</v>
      </c>
      <c r="H26" s="73">
        <f>H9/FS!I45</f>
        <v>6.2567215335052745E-3</v>
      </c>
      <c r="I26" s="82">
        <v>6.2567215335052745E-3</v>
      </c>
      <c r="J26" s="82">
        <v>6.2567215335052745E-3</v>
      </c>
      <c r="K26" s="82">
        <v>6.2567215335052745E-3</v>
      </c>
      <c r="L26" s="82">
        <v>6.2567215335052745E-3</v>
      </c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3">
      <c r="A27" s="113"/>
      <c r="B27" t="s">
        <v>27</v>
      </c>
      <c r="C27" s="73">
        <f>C10/FS!C46</f>
        <v>9.660488923052866E-5</v>
      </c>
      <c r="D27" s="73">
        <f>D10/FS!D46</f>
        <v>4.8250626031748784E-4</v>
      </c>
      <c r="E27" s="73">
        <f>E10/FS!E46</f>
        <v>1.3572739227446242E-3</v>
      </c>
      <c r="F27" s="73">
        <f>F10/FS!G46</f>
        <v>1.0190030521486662E-2</v>
      </c>
      <c r="G27" s="73">
        <f>G10/FS!H46</f>
        <v>2.28954920759495E-2</v>
      </c>
      <c r="H27" s="73">
        <f>H10/FS!I46</f>
        <v>1.0381792615301935E-2</v>
      </c>
      <c r="I27" s="82">
        <v>1.0381792615301935E-2</v>
      </c>
      <c r="J27" s="82">
        <v>1.0381792615301935E-2</v>
      </c>
      <c r="K27" s="82">
        <v>1.0381792615301935E-2</v>
      </c>
      <c r="L27" s="82">
        <v>1.0381792615301935E-2</v>
      </c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3">
      <c r="A28" s="113"/>
      <c r="B28" t="s">
        <v>184</v>
      </c>
      <c r="C28" s="73">
        <f>C11/FS!C47</f>
        <v>1.2244411402105871E-2</v>
      </c>
      <c r="D28" s="73">
        <f>D11/FS!D47</f>
        <v>2.6621986615584129E-2</v>
      </c>
      <c r="E28" s="73">
        <f>E11/FS!E47</f>
        <v>3.7406767775965515E-2</v>
      </c>
      <c r="F28" s="73">
        <f>F11/FS!G47</f>
        <v>4.7340841330647726E-2</v>
      </c>
      <c r="G28" s="73">
        <f>G11/FS!H47</f>
        <v>6.2248108984695939E-2</v>
      </c>
      <c r="H28" s="73">
        <f>H11/FS!I47</f>
        <v>1.7547298746706713E-2</v>
      </c>
      <c r="I28" s="82">
        <v>1.7547298746706713E-2</v>
      </c>
      <c r="J28" s="82">
        <v>1.7547298746706713E-2</v>
      </c>
      <c r="K28" s="82">
        <v>1.7547298746706713E-2</v>
      </c>
      <c r="L28" s="82">
        <v>1.7547298746706713E-2</v>
      </c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3">
      <c r="A29" s="113"/>
      <c r="B29" t="s">
        <v>29</v>
      </c>
      <c r="C29" s="73" t="e">
        <f>C12/FS!C48</f>
        <v>#DIV/0!</v>
      </c>
      <c r="D29" s="73">
        <f>D12/FS!D48</f>
        <v>5.3462485778122737E-2</v>
      </c>
      <c r="E29" s="73">
        <f>E12/FS!E48</f>
        <v>0.1450387578385422</v>
      </c>
      <c r="F29" s="73" t="e">
        <f>F12/FS!G48</f>
        <v>#DIV/0!</v>
      </c>
      <c r="G29" s="73">
        <f>G12/FS!H48</f>
        <v>0.12511223166882743</v>
      </c>
      <c r="H29" s="73">
        <f>H12/FS!I48</f>
        <v>0.74710144545471324</v>
      </c>
      <c r="I29" s="82">
        <v>0.74710144545471324</v>
      </c>
      <c r="J29" s="82">
        <v>0.74710144545471324</v>
      </c>
      <c r="K29" s="82">
        <v>0.74710144545471324</v>
      </c>
      <c r="L29" s="82">
        <v>0.74710144545471324</v>
      </c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3">
      <c r="A30" s="113"/>
      <c r="B30" t="s">
        <v>185</v>
      </c>
      <c r="C30" s="48"/>
      <c r="D30" s="48"/>
      <c r="E30" s="48"/>
      <c r="F30" s="48"/>
      <c r="G30" s="48"/>
      <c r="H30" s="48"/>
      <c r="I30" s="82"/>
      <c r="J30" s="82"/>
      <c r="K30" s="82"/>
      <c r="L30" s="82"/>
      <c r="M30" s="35"/>
      <c r="N30" s="35"/>
      <c r="O30" s="35"/>
      <c r="P30" s="35"/>
      <c r="Q30" s="35"/>
      <c r="R30" s="35"/>
      <c r="S30" s="35"/>
      <c r="T30" s="35"/>
      <c r="U30" s="35"/>
    </row>
    <row r="31" spans="1:21" x14ac:dyDescent="0.3">
      <c r="A31" s="113"/>
      <c r="B31" s="20" t="s">
        <v>186</v>
      </c>
      <c r="C31" s="73">
        <f>C14/FS!C49</f>
        <v>1.0327962387386615E-2</v>
      </c>
      <c r="D31" s="73">
        <f>D14/FS!D49</f>
        <v>7.1015511831788829E-3</v>
      </c>
      <c r="E31" s="73">
        <f>E14/FS!E49</f>
        <v>3.6840900811446878E-2</v>
      </c>
      <c r="F31" s="73">
        <f>F14/FS!G49</f>
        <v>1.3236915452056477E-2</v>
      </c>
      <c r="G31" s="73">
        <f>G14/FS!H49</f>
        <v>5.1578061828222069E-2</v>
      </c>
      <c r="H31" s="73">
        <f>H14/FS!I49</f>
        <v>2.8452415917333915E-2</v>
      </c>
      <c r="I31" s="82">
        <v>2.8452415917333915E-2</v>
      </c>
      <c r="J31" s="82">
        <v>2.8452415917333915E-2</v>
      </c>
      <c r="K31" s="82">
        <v>2.8452415917333915E-2</v>
      </c>
      <c r="L31" s="82">
        <v>2.8452415917333915E-2</v>
      </c>
      <c r="M31" s="35"/>
      <c r="N31" s="35"/>
      <c r="O31" s="35"/>
      <c r="P31" s="35"/>
      <c r="Q31" s="35"/>
      <c r="R31" s="35"/>
      <c r="S31" s="35"/>
      <c r="T31" s="35"/>
      <c r="U31" s="35"/>
    </row>
    <row r="32" spans="1:21" x14ac:dyDescent="0.3">
      <c r="A32" s="113"/>
      <c r="B32" s="20" t="s">
        <v>187</v>
      </c>
      <c r="C32" s="73">
        <f t="shared" ref="C32:H32" si="1">C15/C271</f>
        <v>0.10086369873992074</v>
      </c>
      <c r="D32" s="73">
        <f t="shared" si="1"/>
        <v>4.8397448845297612E-2</v>
      </c>
      <c r="E32" s="73">
        <f t="shared" si="1"/>
        <v>1.8959585165534261E-2</v>
      </c>
      <c r="F32" s="73">
        <f t="shared" si="1"/>
        <v>5.1050071198853769E-2</v>
      </c>
      <c r="G32" s="73">
        <f t="shared" si="1"/>
        <v>3.9853349463987706E-2</v>
      </c>
      <c r="H32" s="73">
        <f t="shared" si="1"/>
        <v>5.1431273606617797E-2</v>
      </c>
      <c r="I32" s="82">
        <v>0.05</v>
      </c>
      <c r="J32" s="82">
        <v>0.05</v>
      </c>
      <c r="K32" s="82">
        <v>0.05</v>
      </c>
      <c r="L32" s="82">
        <v>0.05</v>
      </c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3">
      <c r="A33" s="113"/>
      <c r="B33" t="s">
        <v>188</v>
      </c>
      <c r="C33" s="73">
        <f>C16/FS!C52</f>
        <v>0.10523670111042564</v>
      </c>
      <c r="D33" s="73">
        <f>D16/FS!D52</f>
        <v>0.10958949003719147</v>
      </c>
      <c r="E33" s="73">
        <f>E16/FS!E52</f>
        <v>0.11236402185744927</v>
      </c>
      <c r="F33" s="73">
        <f>F16/FS!G52</f>
        <v>9.2607709878970559E-2</v>
      </c>
      <c r="G33" s="73">
        <f>G16/FS!H52</f>
        <v>7.7365779963137052E-2</v>
      </c>
      <c r="H33" s="73">
        <f>H16/FS!I52</f>
        <v>0.12484156550499266</v>
      </c>
      <c r="I33" s="82">
        <v>0.155</v>
      </c>
      <c r="J33" s="82">
        <v>0.12484156550499266</v>
      </c>
      <c r="K33" s="82">
        <v>0.127</v>
      </c>
      <c r="L33" s="82">
        <v>0.127</v>
      </c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3">
      <c r="A34" s="114"/>
      <c r="B34" s="74" t="s">
        <v>134</v>
      </c>
      <c r="C34" s="48"/>
      <c r="D34" s="48"/>
      <c r="E34" s="48"/>
      <c r="F34" s="48"/>
      <c r="G34" s="48"/>
      <c r="H34" s="77">
        <v>0.28000000000000003</v>
      </c>
      <c r="I34" s="82">
        <v>0.28000000000000003</v>
      </c>
      <c r="J34" s="82">
        <v>0.28000000000000003</v>
      </c>
      <c r="K34" s="82">
        <v>0.28000000000000003</v>
      </c>
      <c r="L34" s="82">
        <v>0.28000000000000003</v>
      </c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3">
      <c r="A35" s="114"/>
      <c r="B35" s="74" t="s">
        <v>123</v>
      </c>
      <c r="C35" s="48"/>
      <c r="D35" s="48"/>
      <c r="E35" s="48"/>
      <c r="F35" s="48"/>
      <c r="G35" s="48"/>
      <c r="H35" s="77">
        <v>0.155</v>
      </c>
      <c r="I35" s="82">
        <v>0.155</v>
      </c>
      <c r="J35" s="82">
        <v>0.155</v>
      </c>
      <c r="K35" s="82">
        <v>0.155</v>
      </c>
      <c r="L35" s="82">
        <v>0.155</v>
      </c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3">
      <c r="A36" s="114"/>
      <c r="B36" s="74" t="s">
        <v>124</v>
      </c>
      <c r="C36" s="48"/>
      <c r="D36" s="48"/>
      <c r="E36" s="48"/>
      <c r="F36" s="48"/>
      <c r="G36" s="48"/>
      <c r="H36" s="77">
        <v>0.16</v>
      </c>
      <c r="I36" s="82">
        <v>0.16</v>
      </c>
      <c r="J36" s="82">
        <v>0.16</v>
      </c>
      <c r="K36" s="82">
        <v>0.16</v>
      </c>
      <c r="L36" s="82">
        <v>0.16</v>
      </c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3">
      <c r="A37" s="114"/>
      <c r="B37" s="74" t="s">
        <v>125</v>
      </c>
      <c r="C37" s="48"/>
      <c r="D37" s="48"/>
      <c r="E37" s="48"/>
      <c r="F37" s="48"/>
      <c r="G37" s="48"/>
      <c r="H37" s="77">
        <v>0.28000000000000003</v>
      </c>
      <c r="I37" s="82">
        <v>0.28000000000000003</v>
      </c>
      <c r="J37" s="82">
        <v>0.28000000000000003</v>
      </c>
      <c r="K37" s="82">
        <v>0.28000000000000003</v>
      </c>
      <c r="L37" s="82">
        <v>0.28000000000000003</v>
      </c>
      <c r="M37" s="35"/>
      <c r="N37" s="35"/>
      <c r="O37" s="35"/>
      <c r="P37" s="35"/>
      <c r="Q37" s="35"/>
      <c r="R37" s="35"/>
      <c r="S37" s="35"/>
      <c r="T37" s="35"/>
      <c r="U37" s="35"/>
    </row>
    <row r="38" spans="1:21" x14ac:dyDescent="0.3">
      <c r="A38" s="114"/>
      <c r="B38" s="74" t="s">
        <v>126</v>
      </c>
      <c r="C38" s="48"/>
      <c r="D38" s="48"/>
      <c r="E38" s="48"/>
      <c r="F38" s="48"/>
      <c r="G38" s="48"/>
      <c r="H38" s="73"/>
      <c r="I38" s="82"/>
      <c r="J38" s="82"/>
      <c r="K38" s="82"/>
      <c r="L38" s="82"/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3">
      <c r="A39" s="114"/>
      <c r="B39" s="74" t="s">
        <v>127</v>
      </c>
      <c r="C39" s="48"/>
      <c r="D39" s="48"/>
      <c r="E39" s="48"/>
      <c r="F39" s="48"/>
      <c r="G39" s="48"/>
      <c r="H39" s="73"/>
      <c r="I39" s="82"/>
      <c r="J39" s="82"/>
      <c r="K39" s="82"/>
      <c r="L39" s="82"/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3">
      <c r="A40" s="114"/>
      <c r="B40" s="74" t="s">
        <v>128</v>
      </c>
      <c r="C40" s="48"/>
      <c r="D40" s="48"/>
      <c r="E40" s="48"/>
      <c r="F40" s="48"/>
      <c r="G40" s="48"/>
      <c r="H40" s="77">
        <v>0.15</v>
      </c>
      <c r="I40" s="82">
        <v>0.15</v>
      </c>
      <c r="J40" s="82">
        <v>0.15</v>
      </c>
      <c r="K40" s="82">
        <v>0.15</v>
      </c>
      <c r="L40" s="82">
        <v>0.15</v>
      </c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3">
      <c r="A41" s="114"/>
      <c r="B41" s="74" t="s">
        <v>129</v>
      </c>
      <c r="C41" s="48"/>
      <c r="D41" s="48"/>
      <c r="E41" s="48"/>
      <c r="F41" s="48"/>
      <c r="G41" s="48"/>
      <c r="H41" s="73"/>
      <c r="I41" s="82"/>
      <c r="J41" s="82"/>
      <c r="K41" s="82"/>
      <c r="L41" s="82"/>
      <c r="M41" s="35"/>
      <c r="N41" s="35"/>
      <c r="O41" s="35"/>
      <c r="P41" s="35"/>
      <c r="Q41" s="35"/>
      <c r="R41" s="35"/>
      <c r="S41" s="35"/>
      <c r="T41" s="35"/>
      <c r="U41" s="35"/>
    </row>
    <row r="42" spans="1:21" x14ac:dyDescent="0.3">
      <c r="A42" s="114"/>
      <c r="B42" s="74" t="s">
        <v>130</v>
      </c>
      <c r="C42" s="48"/>
      <c r="D42" s="48"/>
      <c r="E42" s="48"/>
      <c r="F42" s="48"/>
      <c r="G42" s="48"/>
      <c r="H42" s="73"/>
      <c r="I42" s="82"/>
      <c r="J42" s="82"/>
      <c r="K42" s="82"/>
      <c r="L42" s="82"/>
      <c r="M42" s="35"/>
      <c r="N42" s="35"/>
      <c r="O42" s="35"/>
      <c r="P42" s="35"/>
      <c r="Q42" s="35"/>
      <c r="R42" s="35"/>
      <c r="S42" s="35"/>
      <c r="T42" s="35"/>
      <c r="U42" s="35"/>
    </row>
    <row r="43" spans="1:21" x14ac:dyDescent="0.3">
      <c r="A43" s="114"/>
      <c r="B43" s="75" t="s">
        <v>131</v>
      </c>
      <c r="C43" s="48"/>
      <c r="D43" s="48"/>
      <c r="E43" s="48"/>
      <c r="F43" s="48"/>
      <c r="G43" s="48"/>
      <c r="H43" s="73"/>
      <c r="I43" s="82"/>
      <c r="J43" s="82"/>
      <c r="K43" s="82"/>
      <c r="L43" s="82"/>
      <c r="M43" s="35"/>
      <c r="N43" s="35"/>
      <c r="O43" s="35"/>
      <c r="P43" s="35"/>
      <c r="Q43" s="35"/>
      <c r="R43" s="35"/>
      <c r="S43" s="35"/>
      <c r="T43" s="35"/>
      <c r="U43" s="35"/>
    </row>
    <row r="44" spans="1:21" x14ac:dyDescent="0.3">
      <c r="A44" s="114"/>
      <c r="B44" s="75" t="s">
        <v>132</v>
      </c>
      <c r="C44" s="48"/>
      <c r="D44" s="48"/>
      <c r="E44" s="48"/>
      <c r="F44" s="48"/>
      <c r="G44" s="48"/>
      <c r="H44" s="73">
        <f>H47+2%</f>
        <v>0.16</v>
      </c>
      <c r="I44" s="82">
        <v>0.16</v>
      </c>
      <c r="J44" s="82">
        <v>0.16</v>
      </c>
      <c r="K44" s="82">
        <v>0.16</v>
      </c>
      <c r="L44" s="82">
        <v>0.16</v>
      </c>
      <c r="M44" s="35"/>
      <c r="N44" s="35"/>
      <c r="O44" s="35"/>
      <c r="P44" s="35"/>
      <c r="Q44" s="35"/>
      <c r="R44" s="35"/>
      <c r="S44" s="35"/>
      <c r="T44" s="35"/>
      <c r="U44" s="35"/>
    </row>
    <row r="45" spans="1:21" x14ac:dyDescent="0.3">
      <c r="A45" s="114"/>
      <c r="B45" s="75" t="s">
        <v>133</v>
      </c>
      <c r="C45" s="48"/>
      <c r="D45" s="48"/>
      <c r="E45" s="48"/>
      <c r="F45" s="48"/>
      <c r="G45" s="48"/>
      <c r="H45" s="73"/>
      <c r="I45" s="82"/>
      <c r="J45" s="82"/>
      <c r="K45" s="82"/>
      <c r="L45" s="82"/>
      <c r="M45" s="35"/>
      <c r="N45" s="35"/>
      <c r="O45" s="35"/>
      <c r="P45" s="35"/>
      <c r="Q45" s="35"/>
      <c r="R45" s="35"/>
      <c r="S45" s="35"/>
      <c r="T45" s="35"/>
      <c r="U45" s="35"/>
    </row>
    <row r="46" spans="1:21" x14ac:dyDescent="0.3">
      <c r="C46" s="48"/>
      <c r="D46" s="48"/>
      <c r="E46" s="48"/>
      <c r="F46" s="48"/>
      <c r="G46" s="48"/>
      <c r="H46" s="48"/>
      <c r="I46" s="82"/>
      <c r="J46" s="82"/>
      <c r="K46" s="82"/>
      <c r="L46" s="82"/>
      <c r="M46" s="35"/>
      <c r="N46" s="35"/>
      <c r="O46" s="35"/>
      <c r="P46" s="35"/>
      <c r="Q46" s="35"/>
      <c r="R46" s="35"/>
      <c r="S46" s="35"/>
      <c r="T46" s="35"/>
      <c r="U46" s="35"/>
    </row>
    <row r="47" spans="1:21" x14ac:dyDescent="0.3">
      <c r="A47" s="114"/>
      <c r="B47" s="75" t="s">
        <v>309</v>
      </c>
      <c r="C47" s="48"/>
      <c r="D47" s="48"/>
      <c r="E47" s="48"/>
      <c r="F47" s="48"/>
      <c r="G47" s="48"/>
      <c r="H47" s="77">
        <v>0.14000000000000001</v>
      </c>
      <c r="I47" s="82">
        <v>0.14000000000000001</v>
      </c>
      <c r="J47" s="82">
        <v>0.14000000000000001</v>
      </c>
      <c r="K47" s="82">
        <v>0.14000000000000001</v>
      </c>
      <c r="L47" s="82">
        <v>0.14000000000000001</v>
      </c>
      <c r="M47" s="35"/>
      <c r="N47" s="35"/>
      <c r="O47" s="35"/>
      <c r="P47" s="35"/>
      <c r="Q47" s="35"/>
      <c r="R47" s="35"/>
      <c r="S47" s="35"/>
      <c r="T47" s="35"/>
      <c r="U47" s="35"/>
    </row>
    <row r="48" spans="1:21" x14ac:dyDescent="0.3">
      <c r="C48" s="48"/>
      <c r="D48" s="48"/>
      <c r="E48" s="48"/>
      <c r="F48" s="48"/>
      <c r="G48" s="48"/>
      <c r="H48" s="48"/>
      <c r="I48" s="82"/>
      <c r="J48" s="82"/>
      <c r="K48" s="82"/>
      <c r="L48" s="82"/>
      <c r="M48" s="35"/>
      <c r="N48" s="35"/>
      <c r="O48" s="35"/>
      <c r="P48" s="35"/>
      <c r="Q48" s="35"/>
      <c r="R48" s="35"/>
      <c r="S48" s="35"/>
      <c r="T48" s="35"/>
      <c r="U48" s="35"/>
    </row>
    <row r="49" spans="1:21" x14ac:dyDescent="0.3">
      <c r="C49" s="48"/>
      <c r="D49" s="48"/>
      <c r="E49" s="48"/>
      <c r="F49" s="48"/>
      <c r="G49" s="48"/>
      <c r="H49" s="48"/>
      <c r="I49" s="82"/>
      <c r="J49" s="82"/>
      <c r="K49" s="82"/>
      <c r="L49" s="82"/>
      <c r="M49" s="35"/>
      <c r="N49" s="35"/>
      <c r="O49" s="35"/>
      <c r="P49" s="35"/>
      <c r="Q49" s="35"/>
      <c r="R49" s="35"/>
      <c r="S49" s="35"/>
      <c r="T49" s="35"/>
      <c r="U49" s="35"/>
    </row>
    <row r="50" spans="1:21" x14ac:dyDescent="0.3">
      <c r="A50" s="113"/>
      <c r="B50" t="s">
        <v>189</v>
      </c>
      <c r="C50" s="73">
        <f>C17/FS!C53</f>
        <v>7.2088774536870126E-2</v>
      </c>
      <c r="D50" s="73">
        <f>D17/FS!D53</f>
        <v>7.6490796976732847E-2</v>
      </c>
      <c r="E50" s="73">
        <f>E17/FS!E53</f>
        <v>7.3039739453623437E-2</v>
      </c>
      <c r="F50" s="73">
        <f>F17/FS!G53</f>
        <v>4.3682948999102758E-2</v>
      </c>
      <c r="G50" s="73">
        <f>G17/FS!H53</f>
        <v>6.7338090588291932E-2</v>
      </c>
      <c r="H50" s="73">
        <f>H17/FS!I53</f>
        <v>6.7945748179209509E-2</v>
      </c>
      <c r="I50" s="82">
        <v>6.7945748179209509E-2</v>
      </c>
      <c r="J50" s="82">
        <v>6.7945748179209509E-2</v>
      </c>
      <c r="K50" s="82">
        <v>6.7945748179209509E-2</v>
      </c>
      <c r="L50" s="82">
        <v>6.7945748179209509E-2</v>
      </c>
      <c r="M50" s="35"/>
      <c r="N50" s="35"/>
      <c r="O50" s="35"/>
      <c r="P50" s="35"/>
      <c r="Q50" s="35"/>
      <c r="R50" s="35"/>
      <c r="S50" s="35"/>
      <c r="T50" s="35"/>
      <c r="U50" s="35"/>
    </row>
    <row r="51" spans="1:21" x14ac:dyDescent="0.3">
      <c r="C51" s="48"/>
      <c r="D51" s="48"/>
      <c r="E51" s="48"/>
      <c r="F51" s="48"/>
      <c r="G51" s="48"/>
      <c r="H51" s="48"/>
      <c r="I51" s="49"/>
      <c r="J51" s="49"/>
      <c r="K51" s="49"/>
      <c r="L51" s="49"/>
      <c r="M51" s="35"/>
      <c r="N51" s="35"/>
      <c r="O51" s="35"/>
      <c r="P51" s="35"/>
      <c r="Q51" s="35"/>
      <c r="R51" s="35"/>
      <c r="S51" s="35"/>
      <c r="T51" s="35"/>
      <c r="U51" s="35"/>
    </row>
    <row r="52" spans="1:21" x14ac:dyDescent="0.3">
      <c r="A52" s="113"/>
      <c r="B52" t="s">
        <v>34</v>
      </c>
      <c r="C52" s="73">
        <f>C18/FS!C54</f>
        <v>9.9087296010461776E-2</v>
      </c>
      <c r="D52" s="73">
        <f>D18/FS!D54</f>
        <v>8.1907625902017278E-2</v>
      </c>
      <c r="E52" s="73">
        <f>E18/FS!E54</f>
        <v>7.6286448644662566E-2</v>
      </c>
      <c r="F52" s="73">
        <f>F18/FS!G54</f>
        <v>6.4773796874256523E-2</v>
      </c>
      <c r="G52" s="73">
        <f>G18/FS!H54</f>
        <v>6.5588744252401701E-2</v>
      </c>
      <c r="H52" s="73">
        <f>H18/FS!I54</f>
        <v>0.16009565667174794</v>
      </c>
      <c r="I52" s="91">
        <v>0.15</v>
      </c>
      <c r="J52" s="91">
        <v>0.15</v>
      </c>
      <c r="K52" s="91">
        <v>0.15</v>
      </c>
      <c r="L52" s="91">
        <v>0.15</v>
      </c>
      <c r="M52" s="35"/>
      <c r="N52" s="35"/>
      <c r="O52" s="35"/>
      <c r="P52" s="35"/>
      <c r="Q52" s="35"/>
      <c r="R52" s="35"/>
      <c r="S52" s="35"/>
      <c r="T52" s="35"/>
      <c r="U52" s="35"/>
    </row>
    <row r="53" spans="1:21" x14ac:dyDescent="0.3">
      <c r="A53" s="113"/>
      <c r="B53" t="s">
        <v>190</v>
      </c>
      <c r="C53" s="73">
        <f t="shared" ref="C53:H53" si="2">C19/C289</f>
        <v>1.1597599943311558E-3</v>
      </c>
      <c r="D53" s="73">
        <f t="shared" si="2"/>
        <v>4.1594169972591525E-4</v>
      </c>
      <c r="E53" s="73">
        <f t="shared" si="2"/>
        <v>1.4076650817536707E-3</v>
      </c>
      <c r="F53" s="73">
        <f t="shared" si="2"/>
        <v>3.1829656479733098E-3</v>
      </c>
      <c r="G53" s="73">
        <f t="shared" si="2"/>
        <v>1.1410957381018155E-3</v>
      </c>
      <c r="H53" s="73">
        <f t="shared" si="2"/>
        <v>1.1209747962307678E-3</v>
      </c>
      <c r="I53" s="61">
        <v>1.1000000000000001E-3</v>
      </c>
      <c r="J53" s="61">
        <v>1.1000000000000001E-3</v>
      </c>
      <c r="K53" s="61">
        <v>1.1000000000000001E-3</v>
      </c>
      <c r="L53" s="61">
        <v>1.1000000000000001E-3</v>
      </c>
      <c r="M53" s="35"/>
      <c r="N53" s="35"/>
      <c r="O53" s="35"/>
      <c r="P53" s="35"/>
      <c r="Q53" s="35"/>
      <c r="R53" s="35"/>
      <c r="S53" s="35"/>
      <c r="T53" s="35"/>
      <c r="U53" s="35"/>
    </row>
    <row r="54" spans="1:21" x14ac:dyDescent="0.3">
      <c r="B54" s="3"/>
      <c r="C54" s="48"/>
      <c r="D54" s="48"/>
      <c r="E54" s="48"/>
      <c r="F54" s="48"/>
      <c r="G54" s="48"/>
      <c r="H54" s="48"/>
      <c r="I54" s="49"/>
      <c r="J54" s="49"/>
      <c r="K54" s="49"/>
      <c r="L54" s="49"/>
      <c r="M54" s="35"/>
      <c r="N54" s="35"/>
      <c r="O54" s="35"/>
      <c r="P54" s="35"/>
      <c r="Q54" s="35"/>
      <c r="R54" s="35"/>
      <c r="S54" s="35"/>
      <c r="T54" s="35"/>
      <c r="U54" s="35"/>
    </row>
    <row r="55" spans="1:21" x14ac:dyDescent="0.3">
      <c r="A55" s="114"/>
      <c r="B55" s="3" t="s">
        <v>353</v>
      </c>
      <c r="C55" s="48"/>
      <c r="D55" s="48"/>
      <c r="E55" s="73">
        <f>E9/FS!D45</f>
        <v>2.9098613620419281E-2</v>
      </c>
      <c r="F55" s="73">
        <f>F9/FS!E45</f>
        <v>1.9629937662624688E-2</v>
      </c>
      <c r="G55" s="73">
        <f>G9/FS!G45</f>
        <v>8.7355719038697283E-3</v>
      </c>
      <c r="H55" s="73">
        <f>H9/FS!H45</f>
        <v>1.363589575244119E-2</v>
      </c>
      <c r="I55" s="61">
        <v>1.3599999999999999E-2</v>
      </c>
      <c r="J55" s="61">
        <v>1.3599999999999999E-2</v>
      </c>
      <c r="K55" s="61">
        <v>1.3599999999999999E-2</v>
      </c>
      <c r="L55" s="61">
        <v>1.3599999999999999E-2</v>
      </c>
      <c r="M55" s="35"/>
      <c r="N55" s="35"/>
      <c r="O55" s="35"/>
      <c r="P55" s="35"/>
      <c r="Q55" s="35"/>
      <c r="R55" s="35"/>
      <c r="S55" s="35"/>
      <c r="T55" s="35"/>
      <c r="U55" s="35"/>
    </row>
    <row r="56" spans="1:21" s="6" customFormat="1" x14ac:dyDescent="0.3">
      <c r="C56" s="51"/>
      <c r="D56" s="51"/>
      <c r="E56" s="51"/>
      <c r="F56" s="51"/>
      <c r="G56" s="51"/>
      <c r="H56" s="51"/>
      <c r="I56" s="52"/>
      <c r="J56" s="52"/>
      <c r="K56" s="52"/>
      <c r="L56" s="52"/>
      <c r="M56" s="55"/>
      <c r="N56" s="55"/>
      <c r="O56" s="55"/>
      <c r="P56" s="55"/>
      <c r="Q56" s="55"/>
      <c r="R56" s="55"/>
      <c r="S56" s="55"/>
      <c r="T56" s="55"/>
      <c r="U56" s="55"/>
    </row>
    <row r="57" spans="1:21" x14ac:dyDescent="0.3">
      <c r="C57" s="48"/>
      <c r="D57" s="48"/>
      <c r="E57" s="48"/>
      <c r="F57" s="48"/>
      <c r="G57" s="48"/>
      <c r="H57" s="48"/>
      <c r="I57" s="49"/>
      <c r="J57" s="49"/>
      <c r="K57" s="49"/>
      <c r="L57" s="49"/>
      <c r="M57" s="35"/>
      <c r="N57" s="35"/>
      <c r="O57" s="35"/>
      <c r="P57" s="35"/>
      <c r="Q57" s="35"/>
      <c r="R57" s="35"/>
      <c r="S57" s="35"/>
      <c r="T57" s="35"/>
      <c r="U57" s="35"/>
    </row>
    <row r="58" spans="1:21" x14ac:dyDescent="0.3">
      <c r="A58" s="113"/>
      <c r="B58" t="s">
        <v>191</v>
      </c>
      <c r="C58" s="22">
        <v>64481804</v>
      </c>
      <c r="D58" s="22">
        <v>72933030</v>
      </c>
      <c r="E58" s="22">
        <v>80931352</v>
      </c>
      <c r="F58" s="22">
        <v>73218911</v>
      </c>
      <c r="G58" s="22">
        <v>66401846</v>
      </c>
      <c r="H58" s="22">
        <v>137727868</v>
      </c>
      <c r="I58" s="49">
        <f>I63+I69</f>
        <v>222694934.72680619</v>
      </c>
      <c r="J58" s="49">
        <f>J63+J69</f>
        <v>232020487.58764628</v>
      </c>
      <c r="K58" s="49">
        <f>K63+K69</f>
        <v>266158409.24064526</v>
      </c>
      <c r="L58" s="49">
        <f>L63+L69</f>
        <v>300807884.65727943</v>
      </c>
      <c r="M58" s="49"/>
      <c r="N58" s="49">
        <f>FS!P8/9*12</f>
        <v>218251002.66666669</v>
      </c>
      <c r="O58" s="49"/>
      <c r="P58" s="22">
        <v>113361974</v>
      </c>
      <c r="Q58" s="22">
        <v>47404088</v>
      </c>
      <c r="R58" s="49">
        <f>P58*2</f>
        <v>226723948</v>
      </c>
      <c r="S58" s="35"/>
      <c r="T58" s="35"/>
      <c r="U58" s="35"/>
    </row>
    <row r="59" spans="1:21" x14ac:dyDescent="0.3">
      <c r="C59" s="48"/>
      <c r="D59" s="48"/>
      <c r="E59" s="48"/>
      <c r="F59" s="48"/>
      <c r="G59" s="48"/>
      <c r="H59" s="48"/>
      <c r="I59" s="49"/>
      <c r="J59" s="49"/>
      <c r="K59" s="49"/>
      <c r="L59" s="49"/>
      <c r="M59" s="35"/>
      <c r="N59" s="35"/>
      <c r="O59" s="35"/>
      <c r="P59" s="35"/>
      <c r="Q59" s="35"/>
      <c r="R59" s="35"/>
      <c r="S59" s="35"/>
      <c r="T59" s="35"/>
      <c r="U59" s="35"/>
    </row>
    <row r="60" spans="1:21" x14ac:dyDescent="0.3">
      <c r="A60" s="113"/>
      <c r="B60" t="s">
        <v>101</v>
      </c>
      <c r="C60" s="23">
        <v>2069416</v>
      </c>
      <c r="D60" s="23">
        <v>2313673</v>
      </c>
      <c r="E60" s="23">
        <v>2484166</v>
      </c>
      <c r="F60" s="23">
        <v>2845641</v>
      </c>
      <c r="G60" s="23">
        <v>3326777</v>
      </c>
      <c r="H60" s="23">
        <v>4019415</v>
      </c>
      <c r="I60" s="49"/>
      <c r="J60" s="49"/>
      <c r="K60" s="49"/>
      <c r="L60" s="49"/>
      <c r="M60" s="35"/>
      <c r="N60" s="35"/>
      <c r="O60" s="35"/>
      <c r="P60" s="35"/>
      <c r="Q60" s="35"/>
      <c r="R60" s="35"/>
      <c r="S60" s="35"/>
      <c r="T60" s="35"/>
      <c r="U60" s="35"/>
    </row>
    <row r="61" spans="1:21" x14ac:dyDescent="0.3">
      <c r="A61" s="113"/>
      <c r="B61" t="s">
        <v>43</v>
      </c>
      <c r="C61" s="23">
        <v>38702</v>
      </c>
      <c r="D61" s="23">
        <v>57860</v>
      </c>
      <c r="E61" s="23">
        <v>63161</v>
      </c>
      <c r="F61" s="23">
        <v>65473</v>
      </c>
      <c r="G61" s="23">
        <v>196903</v>
      </c>
      <c r="H61" s="23">
        <v>422823</v>
      </c>
      <c r="I61" s="49"/>
      <c r="J61" s="49"/>
      <c r="K61" s="49"/>
      <c r="L61" s="49"/>
      <c r="M61" s="35"/>
      <c r="N61" s="35"/>
      <c r="O61" s="35"/>
      <c r="P61" s="35"/>
      <c r="Q61" s="35"/>
      <c r="R61" s="35"/>
      <c r="S61" s="35"/>
      <c r="T61" s="35"/>
      <c r="U61" s="35"/>
    </row>
    <row r="62" spans="1:21" x14ac:dyDescent="0.3">
      <c r="A62" s="113"/>
      <c r="B62" t="s">
        <v>44</v>
      </c>
      <c r="C62" s="23">
        <v>5943417</v>
      </c>
      <c r="D62" s="23">
        <v>3815335</v>
      </c>
      <c r="E62" s="23">
        <v>3256622</v>
      </c>
      <c r="F62" s="23">
        <v>3516363</v>
      </c>
      <c r="G62" s="23">
        <v>6190149</v>
      </c>
      <c r="H62" s="23">
        <v>21906770</v>
      </c>
      <c r="I62" s="49"/>
      <c r="J62" s="49"/>
      <c r="K62" s="49"/>
      <c r="L62" s="49"/>
      <c r="M62" s="35"/>
      <c r="N62" s="35"/>
      <c r="O62" s="35"/>
      <c r="P62" s="35"/>
      <c r="Q62" s="35"/>
      <c r="R62" s="35"/>
      <c r="S62" s="35"/>
      <c r="T62" s="35"/>
      <c r="U62" s="35"/>
    </row>
    <row r="63" spans="1:21" x14ac:dyDescent="0.3">
      <c r="A63" s="113"/>
      <c r="B63" t="s">
        <v>45</v>
      </c>
      <c r="C63" s="23">
        <v>53385259</v>
      </c>
      <c r="D63" s="23">
        <v>62397741</v>
      </c>
      <c r="E63" s="23">
        <v>69503417</v>
      </c>
      <c r="F63" s="23">
        <v>61416382</v>
      </c>
      <c r="G63" s="23">
        <v>51533473</v>
      </c>
      <c r="H63" s="23">
        <v>105008989</v>
      </c>
      <c r="I63" s="49">
        <f>I501*I71</f>
        <v>189991110.97889996</v>
      </c>
      <c r="J63" s="49">
        <f>J501*J71</f>
        <v>188996667.14733002</v>
      </c>
      <c r="K63" s="49">
        <f>K501*K71</f>
        <v>214577426.23574245</v>
      </c>
      <c r="L63" s="49">
        <f>L501*L71</f>
        <v>238803909.84300369</v>
      </c>
      <c r="M63" s="35"/>
      <c r="N63" s="35"/>
      <c r="O63" s="35"/>
      <c r="P63" s="35"/>
      <c r="Q63" s="35"/>
      <c r="R63" s="35"/>
      <c r="S63" s="35"/>
      <c r="T63" s="35"/>
      <c r="U63" s="35"/>
    </row>
    <row r="64" spans="1:21" x14ac:dyDescent="0.3">
      <c r="A64" s="113"/>
      <c r="B64" t="s">
        <v>192</v>
      </c>
      <c r="C64" s="23">
        <v>352074</v>
      </c>
      <c r="D64" s="23">
        <v>427958</v>
      </c>
      <c r="E64" s="23">
        <v>472813</v>
      </c>
      <c r="F64" s="23">
        <v>578780</v>
      </c>
      <c r="G64" s="23">
        <v>679976</v>
      </c>
      <c r="H64" s="23">
        <v>551968</v>
      </c>
      <c r="I64" s="49"/>
      <c r="J64" s="49"/>
      <c r="K64" s="49"/>
      <c r="L64" s="49"/>
      <c r="M64" s="35"/>
      <c r="N64" s="35"/>
      <c r="O64" s="35"/>
      <c r="P64" s="35"/>
      <c r="Q64" s="35"/>
      <c r="R64" s="35"/>
      <c r="S64" s="35"/>
      <c r="T64" s="35"/>
      <c r="U64" s="35"/>
    </row>
    <row r="65" spans="1:21" x14ac:dyDescent="0.3">
      <c r="A65" s="113"/>
      <c r="B65" t="s">
        <v>193</v>
      </c>
      <c r="C65" s="23">
        <v>315242</v>
      </c>
      <c r="D65" s="23">
        <v>814910</v>
      </c>
      <c r="E65" s="23">
        <v>872931</v>
      </c>
      <c r="F65" s="23">
        <v>603597</v>
      </c>
      <c r="G65" s="23">
        <v>624395</v>
      </c>
      <c r="H65" s="23">
        <v>476698</v>
      </c>
      <c r="I65" s="49"/>
      <c r="J65" s="49"/>
      <c r="K65" s="49"/>
      <c r="L65" s="49"/>
      <c r="M65" s="35"/>
      <c r="N65" s="35"/>
      <c r="O65" s="35"/>
      <c r="P65" s="35"/>
      <c r="Q65" s="35"/>
      <c r="R65" s="35"/>
      <c r="S65" s="35"/>
      <c r="T65" s="35"/>
      <c r="U65" s="35"/>
    </row>
    <row r="66" spans="1:21" x14ac:dyDescent="0.3">
      <c r="A66" s="113"/>
      <c r="B66" t="s">
        <v>51</v>
      </c>
      <c r="C66" s="23">
        <v>2377694</v>
      </c>
      <c r="D66" s="23">
        <v>3105553</v>
      </c>
      <c r="E66" s="23">
        <v>3848979</v>
      </c>
      <c r="F66" s="23">
        <v>3756921</v>
      </c>
      <c r="G66" s="23">
        <v>3398554</v>
      </c>
      <c r="H66" s="23">
        <v>4843571</v>
      </c>
      <c r="I66" s="49"/>
      <c r="J66" s="49"/>
      <c r="K66" s="49"/>
      <c r="L66" s="49"/>
      <c r="M66" s="35"/>
      <c r="N66" s="35"/>
      <c r="O66" s="35"/>
      <c r="P66" s="35"/>
      <c r="Q66" s="35"/>
      <c r="R66" s="35"/>
      <c r="S66" s="35"/>
      <c r="T66" s="35"/>
      <c r="U66" s="35"/>
    </row>
    <row r="67" spans="1:21" x14ac:dyDescent="0.3">
      <c r="A67" s="113"/>
      <c r="B67" t="s">
        <v>194</v>
      </c>
      <c r="C67" s="48"/>
      <c r="D67" s="48"/>
      <c r="E67" s="23">
        <v>429263</v>
      </c>
      <c r="F67" s="23">
        <v>435754</v>
      </c>
      <c r="G67" s="23">
        <v>451619</v>
      </c>
      <c r="H67" s="23">
        <v>497634</v>
      </c>
      <c r="I67" s="49"/>
      <c r="J67" s="49"/>
      <c r="K67" s="49"/>
      <c r="L67" s="49"/>
      <c r="M67" s="35"/>
      <c r="N67" s="35"/>
      <c r="O67" s="35"/>
      <c r="P67" s="35"/>
      <c r="Q67" s="35"/>
      <c r="R67" s="35"/>
      <c r="S67" s="35"/>
      <c r="T67" s="35"/>
      <c r="U67" s="35"/>
    </row>
    <row r="68" spans="1:21" x14ac:dyDescent="0.3">
      <c r="C68" s="48"/>
      <c r="D68" s="48"/>
      <c r="E68" s="48"/>
      <c r="F68" s="48"/>
      <c r="G68" s="48"/>
      <c r="H68" s="48"/>
      <c r="I68" s="49"/>
      <c r="J68" s="49"/>
      <c r="K68" s="49"/>
      <c r="L68" s="49"/>
      <c r="M68" s="35"/>
      <c r="N68" s="35"/>
      <c r="O68" s="35"/>
      <c r="P68" s="35"/>
      <c r="Q68" s="35"/>
      <c r="R68" s="35"/>
      <c r="S68" s="35"/>
      <c r="T68" s="35"/>
      <c r="U68" s="35"/>
    </row>
    <row r="69" spans="1:21" x14ac:dyDescent="0.3">
      <c r="A69" s="114"/>
      <c r="B69" t="s">
        <v>352</v>
      </c>
      <c r="C69" s="48">
        <f t="shared" ref="C69:H69" si="3">C60+C61+C62+C64+C65+C66+C67</f>
        <v>11096545</v>
      </c>
      <c r="D69" s="48">
        <f t="shared" si="3"/>
        <v>10535289</v>
      </c>
      <c r="E69" s="48">
        <f t="shared" si="3"/>
        <v>11427935</v>
      </c>
      <c r="F69" s="48">
        <f t="shared" si="3"/>
        <v>11802529</v>
      </c>
      <c r="G69" s="48">
        <f t="shared" si="3"/>
        <v>14868373</v>
      </c>
      <c r="H69" s="48">
        <f t="shared" si="3"/>
        <v>32718879</v>
      </c>
      <c r="I69" s="49">
        <f>I72*(FS!J64+FS!J65+FS!J66+FS!J68)</f>
        <v>32703823.747906249</v>
      </c>
      <c r="J69" s="49">
        <f>J72*(FS!K64+FS!K65+FS!K66+FS!K68)</f>
        <v>43023820.44031626</v>
      </c>
      <c r="K69" s="49">
        <f>K72*(FS!L64+FS!L65+FS!L66+FS!L68)</f>
        <v>51580983.00490281</v>
      </c>
      <c r="L69" s="49">
        <f>L72*(FS!M64+FS!M65+FS!M66+FS!M68)</f>
        <v>62003974.814275719</v>
      </c>
      <c r="M69" s="35"/>
      <c r="N69" s="35"/>
      <c r="O69" s="35"/>
      <c r="P69" s="35"/>
      <c r="Q69" s="35"/>
      <c r="R69" s="35"/>
      <c r="S69" s="35"/>
      <c r="T69" s="35"/>
      <c r="U69" s="35"/>
    </row>
    <row r="70" spans="1:21" x14ac:dyDescent="0.3">
      <c r="C70" s="48"/>
      <c r="D70" s="48"/>
      <c r="E70" s="48"/>
      <c r="F70" s="48"/>
      <c r="G70" s="48"/>
      <c r="H70" s="48"/>
      <c r="I70" s="49"/>
      <c r="J70" s="49"/>
      <c r="K70" s="49"/>
      <c r="L70" s="49"/>
      <c r="M70" s="35"/>
      <c r="N70" s="35"/>
      <c r="O70" s="35"/>
      <c r="P70" s="35"/>
      <c r="Q70" s="35"/>
      <c r="R70" s="35"/>
      <c r="S70" s="35"/>
      <c r="T70" s="35"/>
      <c r="U70" s="35"/>
    </row>
    <row r="71" spans="1:21" x14ac:dyDescent="0.3">
      <c r="A71" s="114"/>
      <c r="B71" t="s">
        <v>350</v>
      </c>
      <c r="C71" s="73">
        <f t="shared" ref="C71:H71" si="4">C63/C501</f>
        <v>6.2273566301396015E-2</v>
      </c>
      <c r="D71" s="73">
        <f t="shared" si="4"/>
        <v>6.2750974076950919E-2</v>
      </c>
      <c r="E71" s="73">
        <f t="shared" si="4"/>
        <v>6.5018287337172506E-2</v>
      </c>
      <c r="F71" s="73">
        <f t="shared" si="4"/>
        <v>4.7734804288002863E-2</v>
      </c>
      <c r="G71" s="73">
        <f t="shared" si="4"/>
        <v>3.4993927261767414E-2</v>
      </c>
      <c r="H71" s="73">
        <f t="shared" si="4"/>
        <v>5.3095348538194607E-2</v>
      </c>
      <c r="I71" s="61">
        <v>8.7999999999999995E-2</v>
      </c>
      <c r="J71" s="61">
        <v>0.08</v>
      </c>
      <c r="K71" s="61">
        <v>0.08</v>
      </c>
      <c r="L71" s="61">
        <v>0.08</v>
      </c>
      <c r="M71" s="35"/>
      <c r="N71" s="35"/>
      <c r="O71" s="35"/>
      <c r="P71" s="35"/>
      <c r="Q71" s="35"/>
      <c r="R71" s="35"/>
      <c r="S71" s="35"/>
      <c r="T71" s="35"/>
      <c r="U71" s="35"/>
    </row>
    <row r="72" spans="1:21" x14ac:dyDescent="0.3">
      <c r="A72" s="114"/>
      <c r="B72" t="s">
        <v>351</v>
      </c>
      <c r="C72" s="73">
        <f>(C60+C61+C62+C64+C65+C66+C67)/(FS!C64+FS!C65+FS!C66+FS!C68)</f>
        <v>8.0853936224198064E-2</v>
      </c>
      <c r="D72" s="73">
        <f>(D60+D61+D62+D64+D65+D66+D67)/(FS!D64+FS!D65+FS!D66+FS!D68)</f>
        <v>7.821464451127437E-2</v>
      </c>
      <c r="E72" s="73">
        <f>(E60+E61+E62+E64+E65+E66+E67)/(FS!E64+FS!E65+FS!E66+FS!E68)</f>
        <v>8.8131604524033527E-2</v>
      </c>
      <c r="F72" s="73">
        <f>(F60+F61+F62+F64+F65+F66+F67)/(FS!G64+FS!G65+FS!G66+FS!G68)</f>
        <v>5.0070806798292629E-2</v>
      </c>
      <c r="G72" s="73">
        <f>(G60+G61+G62+G64+G65+G66+G67)/(FS!H64+FS!H65+FS!H66+FS!H68)</f>
        <v>5.720688694849152E-2</v>
      </c>
      <c r="H72" s="73">
        <f>(H60+H61+H62+H64+H65+H66+H67)/(FS!I64+FS!I65+FS!I66+FS!I68)</f>
        <v>0.18004251371996272</v>
      </c>
      <c r="I72" s="61">
        <v>0.19</v>
      </c>
      <c r="J72" s="61">
        <v>0.2</v>
      </c>
      <c r="K72" s="61">
        <v>0.2</v>
      </c>
      <c r="L72" s="61">
        <v>0.2</v>
      </c>
      <c r="M72" s="35"/>
      <c r="N72" s="35"/>
      <c r="O72" s="35"/>
      <c r="P72" s="35"/>
      <c r="Q72" s="35"/>
      <c r="R72" s="35"/>
      <c r="S72" s="35"/>
      <c r="T72" s="35"/>
      <c r="U72" s="35"/>
    </row>
    <row r="73" spans="1:21" x14ac:dyDescent="0.3">
      <c r="C73" s="53"/>
      <c r="D73" s="53"/>
      <c r="E73" s="53"/>
      <c r="F73" s="53"/>
      <c r="G73" s="53"/>
      <c r="H73" s="53"/>
      <c r="I73" s="49"/>
      <c r="J73" s="49"/>
      <c r="K73" s="49"/>
      <c r="L73" s="49"/>
      <c r="M73" s="35"/>
      <c r="N73" s="35"/>
      <c r="O73" s="35"/>
      <c r="P73" s="35"/>
      <c r="Q73" s="35"/>
      <c r="R73" s="35"/>
      <c r="S73" s="35"/>
      <c r="T73" s="35"/>
      <c r="U73" s="35"/>
    </row>
    <row r="74" spans="1:21" s="28" customFormat="1" x14ac:dyDescent="0.3">
      <c r="B74" s="44" t="s">
        <v>145</v>
      </c>
      <c r="C74" s="48">
        <f t="shared" ref="C74:H74" si="5">SUM(C60:C67)-C58</f>
        <v>0</v>
      </c>
      <c r="D74" s="48">
        <f t="shared" si="5"/>
        <v>0</v>
      </c>
      <c r="E74" s="48">
        <f t="shared" si="5"/>
        <v>0</v>
      </c>
      <c r="F74" s="48">
        <f t="shared" si="5"/>
        <v>0</v>
      </c>
      <c r="G74" s="48">
        <f t="shared" si="5"/>
        <v>0</v>
      </c>
      <c r="H74" s="48">
        <f t="shared" si="5"/>
        <v>0</v>
      </c>
      <c r="I74" s="49"/>
      <c r="J74" s="49"/>
      <c r="K74" s="49"/>
      <c r="L74" s="49"/>
      <c r="M74" s="35"/>
      <c r="N74" s="35"/>
      <c r="O74" s="35"/>
      <c r="P74" s="35"/>
      <c r="Q74" s="35"/>
      <c r="R74" s="35"/>
      <c r="S74" s="35"/>
      <c r="T74" s="35"/>
      <c r="U74" s="35"/>
    </row>
    <row r="75" spans="1:21" x14ac:dyDescent="0.3">
      <c r="C75" s="46"/>
      <c r="D75" s="46"/>
      <c r="E75" s="46"/>
      <c r="F75" s="46"/>
      <c r="G75" s="46"/>
      <c r="H75" s="46"/>
      <c r="I75" s="49"/>
      <c r="J75" s="49"/>
      <c r="K75" s="49"/>
      <c r="L75" s="49"/>
      <c r="M75" s="35"/>
      <c r="N75" s="35"/>
      <c r="O75" s="35"/>
      <c r="P75" s="35"/>
      <c r="Q75" s="35"/>
      <c r="R75" s="35"/>
      <c r="S75" s="35"/>
      <c r="T75" s="35"/>
      <c r="U75" s="35"/>
    </row>
    <row r="76" spans="1:21" s="6" customFormat="1" x14ac:dyDescent="0.3">
      <c r="C76" s="54"/>
      <c r="D76" s="54"/>
      <c r="E76" s="54"/>
      <c r="F76" s="54"/>
      <c r="G76" s="54"/>
      <c r="H76" s="54"/>
      <c r="I76" s="52"/>
      <c r="J76" s="52"/>
      <c r="K76" s="52"/>
      <c r="L76" s="52"/>
      <c r="M76" s="55"/>
      <c r="N76" s="55"/>
      <c r="O76" s="55"/>
      <c r="P76" s="55"/>
      <c r="Q76" s="55"/>
      <c r="R76" s="55"/>
      <c r="S76" s="55"/>
      <c r="T76" s="55"/>
      <c r="U76" s="55"/>
    </row>
    <row r="77" spans="1:21" x14ac:dyDescent="0.3">
      <c r="C77" s="46"/>
      <c r="D77" s="46"/>
      <c r="E77" s="46"/>
      <c r="F77" s="46"/>
      <c r="G77" s="46"/>
      <c r="H77" s="46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</row>
    <row r="78" spans="1:21" x14ac:dyDescent="0.3">
      <c r="A78" s="113"/>
      <c r="B78" t="s">
        <v>4</v>
      </c>
      <c r="C78" s="22">
        <v>10510800</v>
      </c>
      <c r="D78" s="22">
        <v>12494090</v>
      </c>
      <c r="E78" s="22">
        <v>12874966</v>
      </c>
      <c r="F78" s="22">
        <v>11839689</v>
      </c>
      <c r="G78" s="22">
        <v>15917337</v>
      </c>
      <c r="H78" s="22">
        <v>26191530</v>
      </c>
      <c r="I78" s="49">
        <f>I89*FS!J52</f>
        <v>30373716.660834748</v>
      </c>
      <c r="J78" s="49">
        <f>J89*FS!K52</f>
        <v>35658825.793979719</v>
      </c>
      <c r="K78" s="49">
        <f>K89*FS!L52</f>
        <v>41280197.603658363</v>
      </c>
      <c r="L78" s="49">
        <f>L89*FS!M52</f>
        <v>47701080.991139993</v>
      </c>
      <c r="M78" s="49"/>
      <c r="N78" s="49">
        <f>FS!P10/9*12</f>
        <v>29379306.666666664</v>
      </c>
      <c r="O78" s="49"/>
      <c r="P78" s="22">
        <v>14377446</v>
      </c>
      <c r="Q78" s="22">
        <v>11758745</v>
      </c>
      <c r="R78" s="49">
        <f>P78*2</f>
        <v>28754892</v>
      </c>
      <c r="S78" s="35"/>
      <c r="T78" s="35"/>
      <c r="U78" s="35"/>
    </row>
    <row r="79" spans="1:21" x14ac:dyDescent="0.3">
      <c r="C79" s="46"/>
      <c r="D79" s="46"/>
      <c r="E79" s="46"/>
      <c r="F79" s="46"/>
      <c r="G79" s="46"/>
      <c r="H79" s="46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</row>
    <row r="80" spans="1:21" x14ac:dyDescent="0.3">
      <c r="A80" s="113"/>
      <c r="B80" t="s">
        <v>195</v>
      </c>
      <c r="C80" s="22">
        <v>834468</v>
      </c>
      <c r="D80" s="22">
        <v>944858</v>
      </c>
      <c r="E80" s="22">
        <v>881213</v>
      </c>
      <c r="F80" s="22">
        <v>861317</v>
      </c>
      <c r="G80" s="22">
        <v>995957</v>
      </c>
      <c r="H80" s="22">
        <v>683255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</row>
    <row r="81" spans="1:21" x14ac:dyDescent="0.3">
      <c r="A81" s="113"/>
      <c r="B81" t="s">
        <v>196</v>
      </c>
      <c r="C81" s="22">
        <v>3389773</v>
      </c>
      <c r="D81" s="22">
        <v>4191679</v>
      </c>
      <c r="E81" s="22">
        <v>4566923</v>
      </c>
      <c r="F81" s="22">
        <v>3723129</v>
      </c>
      <c r="G81" s="22">
        <v>6011952</v>
      </c>
      <c r="H81" s="22">
        <v>9963857</v>
      </c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</row>
    <row r="82" spans="1:21" x14ac:dyDescent="0.3">
      <c r="A82" s="113"/>
      <c r="B82" t="s">
        <v>197</v>
      </c>
      <c r="C82" s="22">
        <v>3184574</v>
      </c>
      <c r="D82" s="22">
        <v>3812516</v>
      </c>
      <c r="E82" s="22">
        <v>3998926</v>
      </c>
      <c r="F82" s="22">
        <v>4431425</v>
      </c>
      <c r="G82" s="22">
        <v>5618954</v>
      </c>
      <c r="H82" s="22">
        <v>11155415</v>
      </c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</row>
    <row r="83" spans="1:21" x14ac:dyDescent="0.3">
      <c r="A83" s="113"/>
      <c r="B83" t="s">
        <v>198</v>
      </c>
      <c r="C83" s="22">
        <v>1687448</v>
      </c>
      <c r="D83" s="22">
        <v>1952323</v>
      </c>
      <c r="E83" s="22">
        <v>1852565</v>
      </c>
      <c r="F83" s="22">
        <v>1151909</v>
      </c>
      <c r="G83" s="22">
        <v>1152602</v>
      </c>
      <c r="H83" s="22">
        <v>1333869</v>
      </c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</row>
    <row r="84" spans="1:21" x14ac:dyDescent="0.3">
      <c r="A84" s="113"/>
      <c r="B84" t="s">
        <v>199</v>
      </c>
      <c r="C84" s="22">
        <v>798583</v>
      </c>
      <c r="D84" s="22">
        <v>1063585</v>
      </c>
      <c r="E84" s="22">
        <v>942615</v>
      </c>
      <c r="F84" s="22">
        <v>908508</v>
      </c>
      <c r="G84" s="22">
        <v>1091690</v>
      </c>
      <c r="H84" s="22">
        <v>1342030</v>
      </c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</row>
    <row r="85" spans="1:21" x14ac:dyDescent="0.3">
      <c r="A85" s="113"/>
      <c r="B85" t="s">
        <v>200</v>
      </c>
      <c r="C85" s="22">
        <v>615954</v>
      </c>
      <c r="D85" s="22">
        <v>529129</v>
      </c>
      <c r="E85" s="22">
        <v>632724</v>
      </c>
      <c r="F85" s="22">
        <v>763401</v>
      </c>
      <c r="G85" s="22">
        <v>1046182</v>
      </c>
      <c r="H85" s="22">
        <v>1713104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</row>
    <row r="86" spans="1:21" x14ac:dyDescent="0.3">
      <c r="C86" s="46"/>
      <c r="D86" s="46"/>
      <c r="E86" s="46"/>
      <c r="F86" s="46"/>
      <c r="G86" s="46"/>
      <c r="H86" s="46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</row>
    <row r="87" spans="1:21" s="28" customFormat="1" x14ac:dyDescent="0.3">
      <c r="B87" s="28" t="s">
        <v>145</v>
      </c>
      <c r="C87" s="46">
        <f t="shared" ref="C87:H87" si="6">SUM(C80:C85)-C78</f>
        <v>0</v>
      </c>
      <c r="D87" s="46">
        <f t="shared" si="6"/>
        <v>0</v>
      </c>
      <c r="E87" s="46">
        <f t="shared" si="6"/>
        <v>0</v>
      </c>
      <c r="F87" s="46">
        <f t="shared" si="6"/>
        <v>0</v>
      </c>
      <c r="G87" s="46">
        <f t="shared" si="6"/>
        <v>0</v>
      </c>
      <c r="H87" s="46">
        <f t="shared" si="6"/>
        <v>0</v>
      </c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</row>
    <row r="88" spans="1:21" x14ac:dyDescent="0.3">
      <c r="C88" s="46"/>
      <c r="D88" s="46"/>
      <c r="E88" s="46"/>
      <c r="F88" s="46"/>
      <c r="G88" s="46"/>
      <c r="H88" s="46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</row>
    <row r="89" spans="1:21" x14ac:dyDescent="0.3">
      <c r="A89" s="114"/>
      <c r="B89" t="s">
        <v>354</v>
      </c>
      <c r="C89" s="46"/>
      <c r="D89" s="46"/>
      <c r="E89" s="61">
        <f>E78/FS!E52</f>
        <v>1.4402827908032519E-2</v>
      </c>
      <c r="F89" s="61">
        <f>F78/FS!G52</f>
        <v>1.3013090110062991E-2</v>
      </c>
      <c r="G89" s="61">
        <f>G78/FS!H52</f>
        <v>1.5459968142961029E-2</v>
      </c>
      <c r="H89" s="61">
        <f>H78/FS!I52</f>
        <v>2.2666983462022856E-2</v>
      </c>
      <c r="I89" s="61">
        <v>2.5000000000000001E-2</v>
      </c>
      <c r="J89" s="61">
        <v>2.5000000000000001E-2</v>
      </c>
      <c r="K89" s="61">
        <v>2.5000000000000001E-2</v>
      </c>
      <c r="L89" s="61">
        <v>2.5000000000000001E-2</v>
      </c>
      <c r="M89" s="35"/>
      <c r="N89" s="35"/>
      <c r="O89" s="35"/>
      <c r="P89" s="35"/>
      <c r="Q89" s="35"/>
      <c r="R89" s="35"/>
      <c r="S89" s="35"/>
      <c r="T89" s="35"/>
      <c r="U89" s="35"/>
    </row>
    <row r="90" spans="1:21" x14ac:dyDescent="0.3">
      <c r="C90" s="46"/>
      <c r="D90" s="46"/>
      <c r="E90" s="46"/>
      <c r="F90" s="46"/>
      <c r="G90" s="46"/>
      <c r="H90" s="46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</row>
    <row r="91" spans="1:21" s="6" customFormat="1" x14ac:dyDescent="0.3">
      <c r="C91" s="54"/>
      <c r="D91" s="54"/>
      <c r="E91" s="54"/>
      <c r="F91" s="54"/>
      <c r="G91" s="54"/>
      <c r="H91" s="54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</row>
    <row r="92" spans="1:21" x14ac:dyDescent="0.3">
      <c r="C92" s="46"/>
      <c r="D92" s="46"/>
      <c r="E92" s="46"/>
      <c r="F92" s="46"/>
      <c r="G92" s="46"/>
      <c r="H92" s="46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</row>
    <row r="93" spans="1:21" x14ac:dyDescent="0.3">
      <c r="A93" s="113"/>
      <c r="B93" t="s">
        <v>201</v>
      </c>
      <c r="C93" s="22">
        <v>1586334</v>
      </c>
      <c r="D93" s="22">
        <v>1859698</v>
      </c>
      <c r="E93" s="22">
        <v>2123128</v>
      </c>
      <c r="F93" s="22">
        <v>2018014</v>
      </c>
      <c r="G93" s="22">
        <v>3675143</v>
      </c>
      <c r="H93" s="22">
        <v>6022429</v>
      </c>
      <c r="I93" s="49">
        <f>I102*I78</f>
        <v>7593429.1652086871</v>
      </c>
      <c r="J93" s="49">
        <f>J102*J78</f>
        <v>8201529.932615336</v>
      </c>
      <c r="K93" s="49">
        <f>K102*K78</f>
        <v>9494445.4488414247</v>
      </c>
      <c r="L93" s="49">
        <f>L102*L78</f>
        <v>10971248.627962198</v>
      </c>
      <c r="M93" s="49"/>
      <c r="N93" s="49">
        <f>FS!P11/9*12</f>
        <v>7766089.333333334</v>
      </c>
      <c r="O93" s="49"/>
      <c r="P93" s="22">
        <v>3786488</v>
      </c>
      <c r="Q93" s="22">
        <v>2881243</v>
      </c>
      <c r="R93" s="49">
        <f>P93*2</f>
        <v>7572976</v>
      </c>
      <c r="S93" s="35"/>
      <c r="T93" s="35"/>
      <c r="U93" s="35"/>
    </row>
    <row r="94" spans="1:21" x14ac:dyDescent="0.3">
      <c r="C94" s="46"/>
      <c r="D94" s="46"/>
      <c r="E94" s="46"/>
      <c r="F94" s="46"/>
      <c r="G94" s="46"/>
      <c r="H94" s="46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</row>
    <row r="95" spans="1:21" x14ac:dyDescent="0.3">
      <c r="A95" s="113"/>
      <c r="B95" t="s">
        <v>195</v>
      </c>
      <c r="C95" s="22">
        <v>58313</v>
      </c>
      <c r="D95" s="22">
        <v>66131</v>
      </c>
      <c r="E95" s="22">
        <v>54028</v>
      </c>
      <c r="F95" s="22">
        <v>48591</v>
      </c>
      <c r="G95" s="22">
        <v>52020</v>
      </c>
      <c r="H95" s="22">
        <v>57915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</row>
    <row r="96" spans="1:21" x14ac:dyDescent="0.3">
      <c r="A96" s="113"/>
      <c r="B96" t="s">
        <v>196</v>
      </c>
      <c r="C96" s="22">
        <v>1385010</v>
      </c>
      <c r="D96" s="22">
        <v>1631600</v>
      </c>
      <c r="E96" s="22">
        <v>1877797</v>
      </c>
      <c r="F96" s="22">
        <v>1811962</v>
      </c>
      <c r="G96" s="22">
        <v>3439222</v>
      </c>
      <c r="H96" s="22">
        <v>5721589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</row>
    <row r="97" spans="1:21" x14ac:dyDescent="0.3">
      <c r="A97" s="113"/>
      <c r="B97" t="s">
        <v>197</v>
      </c>
      <c r="C97" s="22">
        <v>44205</v>
      </c>
      <c r="D97" s="22">
        <v>47204</v>
      </c>
      <c r="E97" s="22">
        <v>62299</v>
      </c>
      <c r="F97" s="22">
        <v>55456</v>
      </c>
      <c r="G97" s="22">
        <v>63092</v>
      </c>
      <c r="H97" s="22">
        <v>89244</v>
      </c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</row>
    <row r="98" spans="1:21" x14ac:dyDescent="0.3">
      <c r="A98" s="113"/>
      <c r="B98" t="s">
        <v>200</v>
      </c>
      <c r="C98" s="22">
        <v>98806</v>
      </c>
      <c r="D98" s="22">
        <v>114763</v>
      </c>
      <c r="E98" s="22">
        <v>129004</v>
      </c>
      <c r="F98" s="22">
        <v>102005</v>
      </c>
      <c r="G98" s="22">
        <v>120809</v>
      </c>
      <c r="H98" s="22">
        <v>153681</v>
      </c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</row>
    <row r="99" spans="1:21" x14ac:dyDescent="0.3">
      <c r="C99" s="46"/>
      <c r="D99" s="46"/>
      <c r="E99" s="46"/>
      <c r="F99" s="46"/>
      <c r="G99" s="46"/>
      <c r="H99" s="46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</row>
    <row r="100" spans="1:21" s="28" customFormat="1" x14ac:dyDescent="0.3">
      <c r="B100" s="28" t="s">
        <v>145</v>
      </c>
      <c r="C100" s="46">
        <f t="shared" ref="C100:H100" si="7">SUM(C95:C98)-C93</f>
        <v>0</v>
      </c>
      <c r="D100" s="46">
        <f t="shared" si="7"/>
        <v>0</v>
      </c>
      <c r="E100" s="46">
        <f t="shared" si="7"/>
        <v>0</v>
      </c>
      <c r="F100" s="46">
        <f t="shared" si="7"/>
        <v>0</v>
      </c>
      <c r="G100" s="46">
        <f t="shared" si="7"/>
        <v>0</v>
      </c>
      <c r="H100" s="46">
        <f t="shared" si="7"/>
        <v>0</v>
      </c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1:21" x14ac:dyDescent="0.3">
      <c r="C101" s="46"/>
      <c r="D101" s="46"/>
      <c r="E101" s="46"/>
      <c r="F101" s="46"/>
      <c r="G101" s="46"/>
      <c r="H101" s="46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1:21" x14ac:dyDescent="0.3">
      <c r="A102" s="114"/>
      <c r="B102" t="s">
        <v>355</v>
      </c>
      <c r="C102" s="61">
        <f t="shared" ref="C102:H102" si="8">C93/C78</f>
        <v>0.15092419225939036</v>
      </c>
      <c r="D102" s="61">
        <f t="shared" si="8"/>
        <v>0.14884621449021096</v>
      </c>
      <c r="E102" s="61">
        <f t="shared" si="8"/>
        <v>0.16490358110460254</v>
      </c>
      <c r="F102" s="61">
        <f t="shared" si="8"/>
        <v>0.17044484867803539</v>
      </c>
      <c r="G102" s="61">
        <f t="shared" si="8"/>
        <v>0.2308893127035006</v>
      </c>
      <c r="H102" s="61">
        <f t="shared" si="8"/>
        <v>0.22993803722042966</v>
      </c>
      <c r="I102" s="85">
        <v>0.25</v>
      </c>
      <c r="J102" s="85">
        <v>0.23</v>
      </c>
      <c r="K102" s="85">
        <v>0.23</v>
      </c>
      <c r="L102" s="85">
        <v>0.23</v>
      </c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1:21" x14ac:dyDescent="0.3">
      <c r="C103" s="46"/>
      <c r="D103" s="46"/>
      <c r="E103" s="46"/>
      <c r="F103" s="46"/>
      <c r="G103" s="46"/>
      <c r="H103" s="46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</row>
    <row r="104" spans="1:21" s="6" customFormat="1" x14ac:dyDescent="0.3">
      <c r="C104" s="54"/>
      <c r="D104" s="54"/>
      <c r="E104" s="54"/>
      <c r="F104" s="54"/>
      <c r="G104" s="54"/>
      <c r="H104" s="54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spans="1:21" x14ac:dyDescent="0.3">
      <c r="C105" s="46"/>
      <c r="D105" s="46"/>
      <c r="E105" s="46"/>
      <c r="F105" s="46"/>
      <c r="G105" s="46"/>
      <c r="H105" s="46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1:21" x14ac:dyDescent="0.3">
      <c r="A106" s="114"/>
      <c r="B106" t="s">
        <v>7</v>
      </c>
      <c r="C106" s="22">
        <v>233956</v>
      </c>
      <c r="D106" s="22">
        <v>-3033236</v>
      </c>
      <c r="E106" s="22">
        <v>1360833</v>
      </c>
      <c r="F106" s="22">
        <v>1878060</v>
      </c>
      <c r="G106" s="22">
        <v>1936007</v>
      </c>
      <c r="H106" s="22">
        <v>35297450</v>
      </c>
      <c r="I106" s="49">
        <f>FS!P13/9*12</f>
        <v>-16199576</v>
      </c>
      <c r="J106" s="49">
        <f>G106*1.01</f>
        <v>1955367.07</v>
      </c>
      <c r="K106" s="49">
        <f>J106*1.01</f>
        <v>1974920.7407000002</v>
      </c>
      <c r="L106" s="49">
        <f>K106*1.01</f>
        <v>1994669.9481070002</v>
      </c>
      <c r="M106" s="49"/>
      <c r="N106" s="49"/>
      <c r="O106" s="49"/>
      <c r="P106" s="22">
        <v>-15531353</v>
      </c>
      <c r="Q106" s="22">
        <v>32101899</v>
      </c>
      <c r="R106" s="49">
        <f>P106*2</f>
        <v>-31062706</v>
      </c>
      <c r="S106" s="35"/>
      <c r="T106" s="35"/>
      <c r="U106" s="35"/>
    </row>
    <row r="107" spans="1:21" x14ac:dyDescent="0.3">
      <c r="C107" s="46"/>
      <c r="D107" s="46"/>
      <c r="E107" s="46"/>
      <c r="F107" s="46"/>
      <c r="G107" s="46"/>
      <c r="H107" s="46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</row>
    <row r="108" spans="1:21" x14ac:dyDescent="0.3">
      <c r="B108" t="s">
        <v>202</v>
      </c>
      <c r="C108" s="31">
        <v>107201</v>
      </c>
      <c r="D108" s="31">
        <v>-3121949</v>
      </c>
      <c r="E108" s="31">
        <v>1078749</v>
      </c>
      <c r="F108" s="31">
        <v>977206</v>
      </c>
      <c r="G108" s="31">
        <v>1748834</v>
      </c>
      <c r="H108" s="31">
        <v>35903416</v>
      </c>
      <c r="I108" s="56"/>
      <c r="J108" s="56"/>
      <c r="K108" s="56"/>
      <c r="L108" s="56"/>
      <c r="M108" s="35"/>
      <c r="N108" s="35"/>
      <c r="O108" s="35"/>
      <c r="P108" s="35"/>
      <c r="Q108" s="35"/>
      <c r="R108" s="35"/>
      <c r="S108" s="35"/>
      <c r="T108" s="35"/>
      <c r="U108" s="35"/>
    </row>
    <row r="109" spans="1:21" x14ac:dyDescent="0.3">
      <c r="B109" s="20" t="s">
        <v>203</v>
      </c>
      <c r="C109" s="22">
        <v>107201</v>
      </c>
      <c r="D109" s="22">
        <v>-3121949</v>
      </c>
      <c r="E109" s="22">
        <v>1078749</v>
      </c>
      <c r="F109" s="22">
        <v>977206</v>
      </c>
      <c r="G109" s="22">
        <v>1804014</v>
      </c>
      <c r="H109" s="22">
        <v>36357421</v>
      </c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</row>
    <row r="110" spans="1:21" x14ac:dyDescent="0.3">
      <c r="B110" s="20" t="s">
        <v>31</v>
      </c>
      <c r="C110" s="46"/>
      <c r="D110" s="46"/>
      <c r="E110" s="46"/>
      <c r="F110" s="46"/>
      <c r="G110" s="22">
        <v>-55180</v>
      </c>
      <c r="H110" s="22">
        <v>-454004</v>
      </c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</row>
    <row r="111" spans="1:21" x14ac:dyDescent="0.3">
      <c r="B111" t="s">
        <v>204</v>
      </c>
      <c r="C111" s="31">
        <v>122390</v>
      </c>
      <c r="D111" s="31">
        <v>-4839</v>
      </c>
      <c r="E111" s="31">
        <v>67548</v>
      </c>
      <c r="F111" s="31">
        <v>557579</v>
      </c>
      <c r="G111" s="31">
        <v>-162829</v>
      </c>
      <c r="H111" s="31">
        <v>-1169637</v>
      </c>
      <c r="I111" s="56"/>
      <c r="J111" s="56"/>
      <c r="K111" s="56"/>
      <c r="L111" s="56"/>
      <c r="M111" s="35"/>
      <c r="N111" s="35"/>
      <c r="O111" s="35"/>
      <c r="P111" s="35"/>
      <c r="Q111" s="35"/>
      <c r="R111" s="35"/>
      <c r="S111" s="35"/>
      <c r="T111" s="35"/>
      <c r="U111" s="35"/>
    </row>
    <row r="112" spans="1:21" x14ac:dyDescent="0.3">
      <c r="B112" s="20" t="s">
        <v>205</v>
      </c>
      <c r="C112" s="22">
        <v>94672</v>
      </c>
      <c r="D112" s="22">
        <v>-24572</v>
      </c>
      <c r="E112" s="22">
        <v>26386</v>
      </c>
      <c r="F112" s="22">
        <v>226036</v>
      </c>
      <c r="G112" s="22">
        <v>-583205</v>
      </c>
      <c r="H112" s="22">
        <v>-1320747</v>
      </c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</row>
    <row r="113" spans="2:21" x14ac:dyDescent="0.3">
      <c r="B113" s="20" t="s">
        <v>206</v>
      </c>
      <c r="C113" s="22">
        <v>27718</v>
      </c>
      <c r="D113" s="22">
        <v>19733</v>
      </c>
      <c r="E113" s="22">
        <v>41162</v>
      </c>
      <c r="F113" s="22">
        <v>331543</v>
      </c>
      <c r="G113" s="22">
        <v>420376</v>
      </c>
      <c r="H113" s="22">
        <v>150809</v>
      </c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</row>
    <row r="114" spans="2:21" x14ac:dyDescent="0.3">
      <c r="B114" t="s">
        <v>207</v>
      </c>
      <c r="C114" s="31">
        <v>4365</v>
      </c>
      <c r="D114" s="31">
        <v>93552</v>
      </c>
      <c r="E114" s="31">
        <v>214536</v>
      </c>
      <c r="F114" s="31">
        <v>343275</v>
      </c>
      <c r="G114" s="31">
        <v>350002</v>
      </c>
      <c r="H114" s="31">
        <v>563971</v>
      </c>
      <c r="I114" s="56"/>
      <c r="J114" s="56"/>
      <c r="K114" s="56"/>
      <c r="L114" s="56"/>
      <c r="M114" s="35"/>
      <c r="N114" s="35"/>
      <c r="O114" s="35"/>
      <c r="P114" s="35"/>
      <c r="Q114" s="35"/>
      <c r="R114" s="35"/>
      <c r="S114" s="35"/>
      <c r="T114" s="35"/>
      <c r="U114" s="35"/>
    </row>
    <row r="115" spans="2:21" x14ac:dyDescent="0.3">
      <c r="B115" s="20" t="s">
        <v>205</v>
      </c>
      <c r="C115" s="22">
        <v>-9046</v>
      </c>
      <c r="D115" s="22">
        <v>80151</v>
      </c>
      <c r="E115" s="22">
        <v>200299</v>
      </c>
      <c r="F115" s="22">
        <v>303612</v>
      </c>
      <c r="G115" s="22">
        <v>105673</v>
      </c>
      <c r="H115" s="22">
        <v>348256</v>
      </c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</row>
    <row r="116" spans="2:21" x14ac:dyDescent="0.3">
      <c r="B116" s="20" t="s">
        <v>206</v>
      </c>
      <c r="C116" s="22">
        <v>3251</v>
      </c>
      <c r="D116" s="22">
        <v>1026</v>
      </c>
      <c r="E116" s="22">
        <v>916</v>
      </c>
      <c r="F116" s="22">
        <v>20468</v>
      </c>
      <c r="G116" s="22">
        <v>207954</v>
      </c>
      <c r="H116" s="22">
        <v>175531</v>
      </c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</row>
    <row r="117" spans="2:21" x14ac:dyDescent="0.3">
      <c r="B117" s="20" t="s">
        <v>208</v>
      </c>
      <c r="C117" s="22">
        <v>10160</v>
      </c>
      <c r="D117" s="22">
        <v>12375</v>
      </c>
      <c r="E117" s="22">
        <v>13321</v>
      </c>
      <c r="F117" s="22">
        <v>19195</v>
      </c>
      <c r="G117" s="22">
        <v>36375</v>
      </c>
      <c r="H117" s="22">
        <v>40184</v>
      </c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</row>
    <row r="118" spans="2:21" x14ac:dyDescent="0.3">
      <c r="C118" s="46"/>
      <c r="D118" s="46"/>
      <c r="E118" s="46"/>
      <c r="F118" s="46"/>
      <c r="G118" s="46"/>
      <c r="H118" s="46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</row>
    <row r="119" spans="2:21" s="28" customFormat="1" x14ac:dyDescent="0.3">
      <c r="B119" s="28" t="s">
        <v>145</v>
      </c>
      <c r="C119" s="46">
        <f t="shared" ref="C119:H119" si="9">SUM(C115:C117,C112:C113,C109:C110)-C106</f>
        <v>0</v>
      </c>
      <c r="D119" s="46">
        <f t="shared" si="9"/>
        <v>0</v>
      </c>
      <c r="E119" s="46">
        <f t="shared" si="9"/>
        <v>0</v>
      </c>
      <c r="F119" s="46">
        <f t="shared" si="9"/>
        <v>0</v>
      </c>
      <c r="G119" s="46">
        <f t="shared" si="9"/>
        <v>0</v>
      </c>
      <c r="H119" s="46">
        <f t="shared" si="9"/>
        <v>0</v>
      </c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</row>
    <row r="120" spans="2:21" x14ac:dyDescent="0.3">
      <c r="C120" s="46"/>
      <c r="D120" s="46"/>
      <c r="E120" s="46"/>
      <c r="F120" s="46"/>
      <c r="G120" s="46"/>
      <c r="H120" s="46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</row>
    <row r="121" spans="2:21" s="6" customFormat="1" x14ac:dyDescent="0.3">
      <c r="C121" s="54"/>
      <c r="D121" s="54"/>
      <c r="E121" s="54"/>
      <c r="F121" s="54"/>
      <c r="G121" s="54"/>
      <c r="H121" s="54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  <row r="122" spans="2:21" x14ac:dyDescent="0.3">
      <c r="C122" s="46"/>
      <c r="D122" s="46"/>
      <c r="E122" s="46"/>
      <c r="F122" s="46"/>
      <c r="G122" s="46"/>
      <c r="H122" s="46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</row>
    <row r="123" spans="2:21" x14ac:dyDescent="0.3">
      <c r="B123" t="s">
        <v>9</v>
      </c>
      <c r="C123" s="22">
        <v>720026</v>
      </c>
      <c r="D123" s="22">
        <v>11373098</v>
      </c>
      <c r="E123" s="22">
        <v>6081876</v>
      </c>
      <c r="F123" s="22">
        <v>7770754</v>
      </c>
      <c r="G123" s="22">
        <v>10002216</v>
      </c>
      <c r="H123" s="22">
        <v>-3771999</v>
      </c>
      <c r="I123" s="49">
        <f>FS!P15/9*12</f>
        <v>25159709.333333336</v>
      </c>
      <c r="J123" s="49">
        <f>I123*1.05</f>
        <v>26417694.800000004</v>
      </c>
      <c r="K123" s="49">
        <f>J123*1.05</f>
        <v>27738579.540000007</v>
      </c>
      <c r="L123" s="49">
        <f>K123*1.05</f>
        <v>29125508.517000008</v>
      </c>
      <c r="M123" s="49"/>
      <c r="N123" s="49"/>
      <c r="O123" s="49"/>
      <c r="P123" s="22">
        <v>17086020</v>
      </c>
      <c r="Q123" s="22">
        <v>-12524129</v>
      </c>
      <c r="R123" s="49">
        <f>P123*2</f>
        <v>34172040</v>
      </c>
      <c r="S123" s="35"/>
      <c r="T123" s="35"/>
      <c r="U123" s="35"/>
    </row>
    <row r="124" spans="2:21" x14ac:dyDescent="0.3">
      <c r="C124" s="46"/>
      <c r="D124" s="46"/>
      <c r="E124" s="46"/>
      <c r="F124" s="46"/>
      <c r="G124" s="46"/>
      <c r="H124" s="46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</row>
    <row r="125" spans="2:21" x14ac:dyDescent="0.3">
      <c r="B125" t="s">
        <v>209</v>
      </c>
      <c r="C125" s="22">
        <v>-18774</v>
      </c>
      <c r="D125" s="22">
        <v>9311</v>
      </c>
      <c r="E125" s="22">
        <v>19731</v>
      </c>
      <c r="F125" s="22">
        <v>5820</v>
      </c>
      <c r="G125" s="22">
        <v>4054</v>
      </c>
      <c r="H125" s="22">
        <v>20118</v>
      </c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</row>
    <row r="126" spans="2:21" x14ac:dyDescent="0.3">
      <c r="B126" t="s">
        <v>210</v>
      </c>
      <c r="C126" s="22">
        <v>489824</v>
      </c>
      <c r="D126" s="22">
        <v>11185438</v>
      </c>
      <c r="E126" s="22">
        <v>5783595</v>
      </c>
      <c r="F126" s="22">
        <v>7395513</v>
      </c>
      <c r="G126" s="22">
        <v>8832749</v>
      </c>
      <c r="H126" s="22">
        <v>-5133408</v>
      </c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</row>
    <row r="127" spans="2:21" x14ac:dyDescent="0.3">
      <c r="B127" t="s">
        <v>211</v>
      </c>
      <c r="C127" s="22">
        <v>32820</v>
      </c>
      <c r="D127" s="22">
        <v>21288</v>
      </c>
      <c r="E127" s="22">
        <v>20360</v>
      </c>
      <c r="F127" s="22">
        <v>157103</v>
      </c>
      <c r="G127" s="22">
        <v>316277</v>
      </c>
      <c r="H127" s="22">
        <v>449028</v>
      </c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</row>
    <row r="128" spans="2:21" x14ac:dyDescent="0.3">
      <c r="B128" t="s">
        <v>212</v>
      </c>
      <c r="C128" s="22">
        <v>0</v>
      </c>
      <c r="D128" s="22">
        <v>0</v>
      </c>
      <c r="E128" s="22">
        <v>0</v>
      </c>
      <c r="F128" s="22">
        <v>0</v>
      </c>
      <c r="G128" s="46">
        <f>-4111+4111</f>
        <v>0</v>
      </c>
      <c r="H128" s="22">
        <v>0</v>
      </c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</row>
    <row r="129" spans="1:21" x14ac:dyDescent="0.3">
      <c r="B129" t="s">
        <v>213</v>
      </c>
      <c r="C129" s="46">
        <f>37938+4111-4111</f>
        <v>37938</v>
      </c>
      <c r="D129" s="22">
        <v>34119</v>
      </c>
      <c r="E129" s="22">
        <v>40076</v>
      </c>
      <c r="F129" s="22">
        <v>28739</v>
      </c>
      <c r="G129" s="22">
        <v>48638</v>
      </c>
      <c r="H129" s="22">
        <v>54571</v>
      </c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</row>
    <row r="130" spans="1:21" x14ac:dyDescent="0.3">
      <c r="B130" t="s">
        <v>214</v>
      </c>
      <c r="C130" s="22">
        <v>5262</v>
      </c>
      <c r="D130" s="22">
        <v>3344</v>
      </c>
      <c r="E130" s="22">
        <v>14498</v>
      </c>
      <c r="F130" s="22">
        <v>0</v>
      </c>
      <c r="G130" s="46"/>
      <c r="H130" s="46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</row>
    <row r="131" spans="1:21" x14ac:dyDescent="0.3">
      <c r="B131" t="s">
        <v>215</v>
      </c>
      <c r="C131" s="22">
        <v>178218</v>
      </c>
      <c r="D131" s="22">
        <v>122942</v>
      </c>
      <c r="E131" s="22">
        <v>218114</v>
      </c>
      <c r="F131" s="22">
        <v>183579</v>
      </c>
      <c r="G131" s="22">
        <v>795214</v>
      </c>
      <c r="H131" s="22">
        <v>829742</v>
      </c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</row>
    <row r="132" spans="1:21" x14ac:dyDescent="0.3">
      <c r="B132" t="s">
        <v>216</v>
      </c>
      <c r="C132" s="22">
        <v>-5262</v>
      </c>
      <c r="D132" s="22">
        <v>-3344</v>
      </c>
      <c r="E132" s="22">
        <v>-14498</v>
      </c>
      <c r="F132" s="22">
        <v>0</v>
      </c>
      <c r="G132" s="22">
        <v>5284</v>
      </c>
      <c r="H132" s="22">
        <v>7950</v>
      </c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</row>
    <row r="133" spans="1:21" x14ac:dyDescent="0.3">
      <c r="C133" s="46"/>
      <c r="D133" s="46"/>
      <c r="E133" s="46"/>
      <c r="F133" s="46"/>
      <c r="G133" s="46"/>
      <c r="H133" s="46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</row>
    <row r="134" spans="1:21" s="28" customFormat="1" x14ac:dyDescent="0.3">
      <c r="B134" s="28" t="s">
        <v>145</v>
      </c>
      <c r="C134" s="46">
        <f t="shared" ref="C134:H134" si="10">SUM(C125:C131)+C132-C123</f>
        <v>0</v>
      </c>
      <c r="D134" s="46">
        <f t="shared" si="10"/>
        <v>0</v>
      </c>
      <c r="E134" s="46">
        <f t="shared" si="10"/>
        <v>0</v>
      </c>
      <c r="F134" s="46">
        <f t="shared" si="10"/>
        <v>0</v>
      </c>
      <c r="G134" s="46">
        <f t="shared" si="10"/>
        <v>0</v>
      </c>
      <c r="H134" s="46">
        <f t="shared" si="10"/>
        <v>0</v>
      </c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</row>
    <row r="135" spans="1:21" x14ac:dyDescent="0.3">
      <c r="C135" s="46"/>
      <c r="D135" s="46"/>
      <c r="E135" s="46"/>
      <c r="F135" s="46"/>
      <c r="G135" s="46"/>
      <c r="H135" s="46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</row>
    <row r="136" spans="1:21" s="6" customFormat="1" x14ac:dyDescent="0.3">
      <c r="C136" s="54"/>
      <c r="D136" s="54"/>
      <c r="E136" s="54"/>
      <c r="F136" s="54"/>
      <c r="G136" s="54"/>
      <c r="H136" s="54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</row>
    <row r="137" spans="1:21" x14ac:dyDescent="0.3">
      <c r="C137" s="46"/>
      <c r="D137" s="46"/>
      <c r="E137" s="46"/>
      <c r="F137" s="46"/>
      <c r="G137" s="46"/>
      <c r="H137" s="46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</row>
    <row r="138" spans="1:21" x14ac:dyDescent="0.3">
      <c r="B138" t="s">
        <v>223</v>
      </c>
      <c r="C138" s="22">
        <v>989315</v>
      </c>
      <c r="D138" s="22">
        <v>8833362</v>
      </c>
      <c r="E138" s="22">
        <v>11331523</v>
      </c>
      <c r="F138" s="22">
        <v>21419532</v>
      </c>
      <c r="G138" s="22">
        <v>25139926</v>
      </c>
      <c r="H138" s="22">
        <v>71924260</v>
      </c>
      <c r="I138" s="49">
        <f>I151*I305</f>
        <v>35328925.595250003</v>
      </c>
      <c r="J138" s="49">
        <f>J151*J305</f>
        <v>30095010.692249998</v>
      </c>
      <c r="K138" s="49">
        <f>K151*K305</f>
        <v>34609262.296087496</v>
      </c>
      <c r="L138" s="49">
        <f>L151*L305</f>
        <v>39800651.64050062</v>
      </c>
      <c r="M138" s="49"/>
      <c r="N138" s="49">
        <f>FS!P17/9*12</f>
        <v>34376146.666666672</v>
      </c>
      <c r="O138" s="49"/>
      <c r="P138" s="22">
        <v>13210963</v>
      </c>
      <c r="Q138" s="22">
        <v>35218619</v>
      </c>
      <c r="R138" s="49">
        <f>P138*2</f>
        <v>26421926</v>
      </c>
      <c r="S138" s="35"/>
      <c r="T138" s="35"/>
      <c r="U138" s="35"/>
    </row>
    <row r="139" spans="1:21" x14ac:dyDescent="0.3">
      <c r="C139" s="46"/>
      <c r="D139" s="46"/>
      <c r="E139" s="46"/>
      <c r="F139" s="46"/>
      <c r="G139" s="46"/>
      <c r="H139" s="46"/>
      <c r="I139" s="49"/>
      <c r="J139" s="49"/>
      <c r="K139" s="49"/>
      <c r="L139" s="49"/>
      <c r="M139" s="49"/>
      <c r="N139" s="49"/>
      <c r="O139" s="49"/>
      <c r="P139" s="46"/>
      <c r="Q139" s="46"/>
      <c r="R139" s="49"/>
      <c r="S139" s="35"/>
      <c r="T139" s="35"/>
      <c r="U139" s="35"/>
    </row>
    <row r="140" spans="1:21" x14ac:dyDescent="0.3">
      <c r="A140" s="113"/>
      <c r="B140" t="s">
        <v>217</v>
      </c>
      <c r="C140" s="31">
        <v>988639</v>
      </c>
      <c r="D140" s="31">
        <v>8379540</v>
      </c>
      <c r="E140" s="31">
        <v>10309857</v>
      </c>
      <c r="F140" s="31">
        <v>18124673</v>
      </c>
      <c r="G140" s="31">
        <v>14947268</v>
      </c>
      <c r="H140" s="31">
        <v>22296719</v>
      </c>
      <c r="I140" s="40"/>
      <c r="J140" s="40"/>
      <c r="K140" s="56"/>
      <c r="L140" s="56"/>
      <c r="M140" s="35"/>
      <c r="N140" s="35"/>
      <c r="O140" s="35"/>
      <c r="P140" s="35"/>
      <c r="Q140" s="35"/>
      <c r="R140" s="35"/>
      <c r="S140" s="35"/>
      <c r="T140" s="35"/>
      <c r="U140" s="35"/>
    </row>
    <row r="141" spans="1:21" x14ac:dyDescent="0.3">
      <c r="B141" s="20" t="s">
        <v>218</v>
      </c>
      <c r="C141" s="22">
        <v>-22317</v>
      </c>
      <c r="D141" s="22">
        <v>-1002000</v>
      </c>
      <c r="E141" s="22">
        <v>1938437</v>
      </c>
      <c r="F141" s="22">
        <v>3983706</v>
      </c>
      <c r="G141" s="46"/>
      <c r="H141" s="46"/>
      <c r="I141" s="46"/>
      <c r="J141" s="46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</row>
    <row r="142" spans="1:21" x14ac:dyDescent="0.3">
      <c r="B142" s="20" t="s">
        <v>219</v>
      </c>
      <c r="C142" s="22">
        <v>1211813</v>
      </c>
      <c r="D142" s="22">
        <v>9381540</v>
      </c>
      <c r="E142" s="22">
        <v>8371420</v>
      </c>
      <c r="F142" s="22">
        <v>14140967</v>
      </c>
      <c r="G142" s="46"/>
      <c r="H142" s="46"/>
      <c r="I142" s="46"/>
      <c r="J142" s="46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</row>
    <row r="143" spans="1:21" x14ac:dyDescent="0.3">
      <c r="B143" s="20"/>
      <c r="C143" s="46"/>
      <c r="D143" s="46"/>
      <c r="E143" s="46"/>
      <c r="F143" s="46"/>
      <c r="G143" s="46"/>
      <c r="H143" s="46"/>
      <c r="I143" s="46"/>
      <c r="J143" s="46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</row>
    <row r="144" spans="1:21" x14ac:dyDescent="0.3">
      <c r="A144" s="113"/>
      <c r="B144" t="s">
        <v>220</v>
      </c>
      <c r="C144" s="22">
        <v>0</v>
      </c>
      <c r="D144" s="22">
        <v>452856</v>
      </c>
      <c r="E144" s="22">
        <v>1020414</v>
      </c>
      <c r="F144" s="22">
        <v>3291313</v>
      </c>
      <c r="G144" s="46">
        <f>6948387+3242610</f>
        <v>10190997</v>
      </c>
      <c r="H144" s="46">
        <f>47281554+2196056</f>
        <v>49477610</v>
      </c>
      <c r="I144" s="46"/>
      <c r="J144" s="46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</row>
    <row r="145" spans="1:21" x14ac:dyDescent="0.3">
      <c r="A145" s="113"/>
      <c r="B145" t="s">
        <v>221</v>
      </c>
      <c r="C145" s="31">
        <v>988639</v>
      </c>
      <c r="D145" s="31">
        <v>8832396</v>
      </c>
      <c r="E145" s="31">
        <v>11330271</v>
      </c>
      <c r="F145" s="31">
        <v>21415986</v>
      </c>
      <c r="G145" s="31">
        <v>25138265</v>
      </c>
      <c r="H145" s="31">
        <v>71774329</v>
      </c>
      <c r="I145" s="40"/>
      <c r="J145" s="40"/>
      <c r="K145" s="56"/>
      <c r="L145" s="56"/>
      <c r="M145" s="35"/>
      <c r="N145" s="35"/>
      <c r="O145" s="35"/>
      <c r="P145" s="35"/>
      <c r="Q145" s="35"/>
      <c r="R145" s="35"/>
      <c r="S145" s="35"/>
      <c r="T145" s="35"/>
      <c r="U145" s="35"/>
    </row>
    <row r="146" spans="1:21" x14ac:dyDescent="0.3">
      <c r="A146" s="113"/>
      <c r="B146" t="s">
        <v>35</v>
      </c>
      <c r="C146" s="22">
        <v>0</v>
      </c>
      <c r="D146" s="22">
        <v>0</v>
      </c>
      <c r="E146" s="22">
        <v>0</v>
      </c>
      <c r="F146" s="22">
        <v>0</v>
      </c>
      <c r="G146" s="46"/>
      <c r="H146" s="22">
        <v>0</v>
      </c>
      <c r="I146" s="46"/>
      <c r="J146" s="46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</row>
    <row r="147" spans="1:21" x14ac:dyDescent="0.3">
      <c r="A147" s="113"/>
      <c r="B147" t="s">
        <v>222</v>
      </c>
      <c r="C147" s="22">
        <v>676</v>
      </c>
      <c r="D147" s="22">
        <v>966</v>
      </c>
      <c r="E147" s="22">
        <v>1252</v>
      </c>
      <c r="F147" s="22">
        <v>3546</v>
      </c>
      <c r="G147" s="22">
        <v>1661</v>
      </c>
      <c r="H147" s="22">
        <v>149931</v>
      </c>
      <c r="I147" s="46"/>
      <c r="J147" s="46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</row>
    <row r="148" spans="1:21" x14ac:dyDescent="0.3">
      <c r="C148" s="46"/>
      <c r="D148" s="46"/>
      <c r="E148" s="46"/>
      <c r="F148" s="46"/>
      <c r="G148" s="46"/>
      <c r="H148" s="46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</row>
    <row r="149" spans="1:21" s="28" customFormat="1" x14ac:dyDescent="0.3">
      <c r="B149" s="28" t="s">
        <v>145</v>
      </c>
      <c r="C149" s="46">
        <f t="shared" ref="C149:H149" si="11">C140+C144+C146+C147-C138</f>
        <v>0</v>
      </c>
      <c r="D149" s="46">
        <f t="shared" si="11"/>
        <v>0</v>
      </c>
      <c r="E149" s="46">
        <f t="shared" si="11"/>
        <v>0</v>
      </c>
      <c r="F149" s="46">
        <f t="shared" si="11"/>
        <v>0</v>
      </c>
      <c r="G149" s="46">
        <f t="shared" si="11"/>
        <v>0</v>
      </c>
      <c r="H149" s="46">
        <f t="shared" si="11"/>
        <v>0</v>
      </c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</row>
    <row r="150" spans="1:21" s="28" customFormat="1" x14ac:dyDescent="0.3">
      <c r="C150" s="46"/>
      <c r="D150" s="46"/>
      <c r="E150" s="46"/>
      <c r="F150" s="46"/>
      <c r="G150" s="46"/>
      <c r="H150" s="46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</row>
    <row r="151" spans="1:21" x14ac:dyDescent="0.3">
      <c r="A151" s="114"/>
      <c r="B151" t="s">
        <v>356</v>
      </c>
      <c r="C151" s="61">
        <f t="shared" ref="C151:H151" si="12">C138/C305</f>
        <v>1.3009532226276055E-3</v>
      </c>
      <c r="D151" s="61">
        <f t="shared" si="12"/>
        <v>9.8371902485052832E-3</v>
      </c>
      <c r="E151" s="61">
        <f t="shared" si="12"/>
        <v>1.2174780028795469E-2</v>
      </c>
      <c r="F151" s="61">
        <f t="shared" si="12"/>
        <v>2.2268886990994871E-2</v>
      </c>
      <c r="G151" s="61">
        <f t="shared" si="12"/>
        <v>2.2960285816470378E-2</v>
      </c>
      <c r="H151" s="61">
        <f t="shared" si="12"/>
        <v>5.7716240634109524E-2</v>
      </c>
      <c r="I151" s="61">
        <v>2.7E-2</v>
      </c>
      <c r="J151" s="61">
        <v>0.02</v>
      </c>
      <c r="K151" s="61">
        <v>0.02</v>
      </c>
      <c r="L151" s="61">
        <v>0.02</v>
      </c>
      <c r="M151" s="49"/>
      <c r="N151" s="49"/>
      <c r="O151" s="49"/>
      <c r="P151" s="22"/>
      <c r="Q151" s="22"/>
      <c r="R151" s="49"/>
      <c r="S151" s="35"/>
      <c r="T151" s="35"/>
      <c r="U151" s="35"/>
    </row>
    <row r="152" spans="1:21" x14ac:dyDescent="0.3">
      <c r="C152" s="46"/>
      <c r="D152" s="46"/>
      <c r="E152" s="46"/>
      <c r="F152" s="46"/>
      <c r="G152" s="46"/>
      <c r="H152" s="46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</row>
    <row r="153" spans="1:21" s="6" customFormat="1" x14ac:dyDescent="0.3">
      <c r="C153" s="54"/>
      <c r="D153" s="54"/>
      <c r="E153" s="54"/>
      <c r="F153" s="54"/>
      <c r="G153" s="54"/>
      <c r="H153" s="54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</row>
    <row r="154" spans="1:21" x14ac:dyDescent="0.3">
      <c r="C154" s="46"/>
      <c r="D154" s="46"/>
      <c r="E154" s="46"/>
      <c r="F154" s="46"/>
      <c r="G154" s="46"/>
      <c r="H154" s="46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</row>
    <row r="155" spans="1:21" x14ac:dyDescent="0.3">
      <c r="B155" s="3" t="s">
        <v>99</v>
      </c>
      <c r="C155" s="22">
        <v>11338517</v>
      </c>
      <c r="D155" s="22">
        <v>13289668</v>
      </c>
      <c r="E155" s="22">
        <v>14408914</v>
      </c>
      <c r="F155" s="22">
        <v>14992748</v>
      </c>
      <c r="G155" s="22">
        <v>16799212</v>
      </c>
      <c r="H155" s="22">
        <v>19788283</v>
      </c>
      <c r="I155" s="49">
        <f>H155*(1+I168)</f>
        <v>21767111.300000001</v>
      </c>
      <c r="J155" s="49">
        <f>I155*(1+J168)</f>
        <v>23943822.430000003</v>
      </c>
      <c r="K155" s="49">
        <f>J155*(1+K168)</f>
        <v>26338204.673000004</v>
      </c>
      <c r="L155" s="49">
        <f>K155*(1+L168)</f>
        <v>28972025.140300006</v>
      </c>
      <c r="M155" s="49"/>
      <c r="N155" s="49">
        <f>FS!P20/9*12</f>
        <v>22412377.333333332</v>
      </c>
      <c r="O155" s="49"/>
      <c r="P155" s="22">
        <v>11296515</v>
      </c>
      <c r="Q155" s="22">
        <v>9584347</v>
      </c>
      <c r="R155" s="49">
        <f>P155*2</f>
        <v>22593030</v>
      </c>
      <c r="S155" s="35"/>
      <c r="T155" s="35"/>
      <c r="U155" s="35"/>
    </row>
    <row r="156" spans="1:21" x14ac:dyDescent="0.3">
      <c r="C156" s="46"/>
      <c r="D156" s="46"/>
      <c r="E156" s="46"/>
      <c r="F156" s="46"/>
      <c r="G156" s="46"/>
      <c r="H156" s="46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</row>
    <row r="157" spans="1:21" x14ac:dyDescent="0.3">
      <c r="B157" s="3" t="s">
        <v>224</v>
      </c>
      <c r="C157" s="22">
        <v>8538989</v>
      </c>
      <c r="D157" s="22">
        <v>10154809</v>
      </c>
      <c r="E157" s="22">
        <v>11141489</v>
      </c>
      <c r="F157" s="22">
        <v>11522602</v>
      </c>
      <c r="G157" s="22">
        <v>13162309</v>
      </c>
      <c r="H157" s="22">
        <v>15221895</v>
      </c>
      <c r="I157" s="49"/>
      <c r="J157" s="49"/>
      <c r="K157" s="49"/>
      <c r="L157" s="49"/>
      <c r="M157" s="49"/>
      <c r="N157" s="49"/>
      <c r="O157" s="49"/>
      <c r="P157" s="46"/>
      <c r="Q157" s="46"/>
      <c r="R157" s="49"/>
      <c r="S157" s="35"/>
      <c r="T157" s="35"/>
      <c r="U157" s="35"/>
    </row>
    <row r="158" spans="1:21" x14ac:dyDescent="0.3">
      <c r="B158" s="3" t="s">
        <v>225</v>
      </c>
      <c r="C158" s="31">
        <v>1596841</v>
      </c>
      <c r="D158" s="31">
        <v>1800395</v>
      </c>
      <c r="E158" s="31">
        <v>1882058</v>
      </c>
      <c r="F158" s="31">
        <v>1937810</v>
      </c>
      <c r="G158" s="31">
        <v>1952582</v>
      </c>
      <c r="H158" s="31">
        <v>2171669</v>
      </c>
      <c r="I158" s="50"/>
      <c r="J158" s="50"/>
      <c r="K158" s="50"/>
      <c r="L158" s="50"/>
      <c r="M158" s="49"/>
      <c r="N158" s="49"/>
      <c r="O158" s="49"/>
      <c r="P158" s="46"/>
      <c r="Q158" s="46"/>
      <c r="R158" s="49"/>
      <c r="S158" s="35"/>
      <c r="T158" s="35"/>
      <c r="U158" s="35"/>
    </row>
    <row r="159" spans="1:21" x14ac:dyDescent="0.3">
      <c r="B159" s="45" t="s">
        <v>226</v>
      </c>
      <c r="C159" s="22">
        <v>1308050</v>
      </c>
      <c r="D159" s="22">
        <v>1439123</v>
      </c>
      <c r="E159" s="22">
        <v>1396492</v>
      </c>
      <c r="F159" s="22">
        <v>1702824</v>
      </c>
      <c r="G159" s="22">
        <v>1870673</v>
      </c>
      <c r="H159" s="22">
        <v>2120322</v>
      </c>
      <c r="I159" s="49"/>
      <c r="J159" s="49"/>
      <c r="K159" s="49"/>
      <c r="L159" s="49"/>
      <c r="M159" s="49"/>
      <c r="N159" s="49"/>
      <c r="O159" s="49"/>
      <c r="P159" s="46"/>
      <c r="Q159" s="46"/>
      <c r="R159" s="49"/>
      <c r="S159" s="35"/>
      <c r="T159" s="35"/>
      <c r="U159" s="35"/>
    </row>
    <row r="160" spans="1:21" x14ac:dyDescent="0.3">
      <c r="B160" s="45" t="s">
        <v>227</v>
      </c>
      <c r="C160" s="22">
        <v>288791</v>
      </c>
      <c r="D160" s="22">
        <v>361272</v>
      </c>
      <c r="E160" s="22">
        <v>485566</v>
      </c>
      <c r="F160" s="22">
        <v>234986</v>
      </c>
      <c r="G160" s="22">
        <v>81909</v>
      </c>
      <c r="H160" s="22">
        <v>51347</v>
      </c>
      <c r="I160" s="49"/>
      <c r="J160" s="49"/>
      <c r="K160" s="49"/>
      <c r="L160" s="49"/>
      <c r="M160" s="49"/>
      <c r="N160" s="49"/>
      <c r="O160" s="49"/>
      <c r="P160" s="46"/>
      <c r="Q160" s="46"/>
      <c r="R160" s="49"/>
      <c r="S160" s="35"/>
      <c r="T160" s="35"/>
      <c r="U160" s="35"/>
    </row>
    <row r="161" spans="2:21" x14ac:dyDescent="0.3">
      <c r="B161" s="45"/>
      <c r="C161" s="46"/>
      <c r="D161" s="46"/>
      <c r="E161" s="46"/>
      <c r="F161" s="46"/>
      <c r="G161" s="46"/>
      <c r="H161" s="46"/>
      <c r="I161" s="49"/>
      <c r="J161" s="49"/>
      <c r="K161" s="49"/>
      <c r="L161" s="49"/>
      <c r="M161" s="49"/>
      <c r="N161" s="49"/>
      <c r="O161" s="49"/>
      <c r="P161" s="46"/>
      <c r="Q161" s="46"/>
      <c r="R161" s="49"/>
      <c r="S161" s="35"/>
      <c r="T161" s="35"/>
      <c r="U161" s="35"/>
    </row>
    <row r="162" spans="2:21" x14ac:dyDescent="0.3">
      <c r="B162" s="3" t="s">
        <v>228</v>
      </c>
      <c r="C162" s="22">
        <v>138341</v>
      </c>
      <c r="D162" s="22">
        <v>68581</v>
      </c>
      <c r="E162" s="22">
        <v>0</v>
      </c>
      <c r="F162" s="22">
        <v>112203</v>
      </c>
      <c r="G162" s="46"/>
      <c r="H162" s="46"/>
      <c r="I162" s="49"/>
      <c r="J162" s="49"/>
      <c r="K162" s="49"/>
      <c r="L162" s="49"/>
      <c r="M162" s="49"/>
      <c r="N162" s="49"/>
      <c r="O162" s="49"/>
      <c r="P162" s="46"/>
      <c r="Q162" s="46"/>
      <c r="R162" s="49"/>
      <c r="S162" s="35"/>
      <c r="T162" s="35"/>
      <c r="U162" s="35"/>
    </row>
    <row r="163" spans="2:21" x14ac:dyDescent="0.3">
      <c r="B163" s="3" t="s">
        <v>229</v>
      </c>
      <c r="C163" s="22">
        <v>1064346</v>
      </c>
      <c r="D163" s="22">
        <v>1265883</v>
      </c>
      <c r="E163" s="22">
        <v>1385367</v>
      </c>
      <c r="F163" s="22">
        <v>1420133</v>
      </c>
      <c r="G163" s="22">
        <v>41972</v>
      </c>
      <c r="H163" s="46"/>
      <c r="I163" s="49"/>
      <c r="J163" s="49"/>
      <c r="K163" s="49"/>
      <c r="L163" s="49"/>
      <c r="M163" s="49"/>
      <c r="N163" s="49"/>
      <c r="O163" s="49"/>
      <c r="P163" s="46"/>
      <c r="Q163" s="46"/>
      <c r="R163" s="49"/>
      <c r="S163" s="35"/>
      <c r="T163" s="35"/>
      <c r="U163" s="35"/>
    </row>
    <row r="164" spans="2:21" x14ac:dyDescent="0.3">
      <c r="B164" t="s">
        <v>230</v>
      </c>
      <c r="C164" s="46"/>
      <c r="D164" s="46"/>
      <c r="E164" s="46"/>
      <c r="F164" s="46"/>
      <c r="G164" s="22">
        <v>1642349</v>
      </c>
      <c r="H164" s="22">
        <v>2394719</v>
      </c>
      <c r="I164" s="46"/>
      <c r="J164" s="46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</row>
    <row r="165" spans="2:21" x14ac:dyDescent="0.3">
      <c r="C165" s="46"/>
      <c r="D165" s="46"/>
      <c r="E165" s="46"/>
      <c r="F165" s="46"/>
      <c r="G165" s="46"/>
      <c r="H165" s="46"/>
      <c r="I165" s="46"/>
      <c r="J165" s="46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</row>
    <row r="166" spans="2:21" s="28" customFormat="1" x14ac:dyDescent="0.3">
      <c r="B166" s="44" t="s">
        <v>145</v>
      </c>
      <c r="C166" s="46">
        <f t="shared" ref="C166:H166" si="13">SUM(C157+C158+C162+C163+C164-C155)</f>
        <v>0</v>
      </c>
      <c r="D166" s="46">
        <f t="shared" si="13"/>
        <v>0</v>
      </c>
      <c r="E166" s="46">
        <f t="shared" si="13"/>
        <v>0</v>
      </c>
      <c r="F166" s="46">
        <f t="shared" si="13"/>
        <v>0</v>
      </c>
      <c r="G166" s="46">
        <f t="shared" si="13"/>
        <v>0</v>
      </c>
      <c r="H166" s="46">
        <f t="shared" si="13"/>
        <v>0</v>
      </c>
      <c r="I166" s="46"/>
      <c r="J166" s="46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</row>
    <row r="167" spans="2:21" x14ac:dyDescent="0.3">
      <c r="C167" s="46"/>
      <c r="D167" s="46"/>
      <c r="E167" s="46"/>
      <c r="F167" s="46"/>
      <c r="G167" s="46"/>
      <c r="H167" s="46"/>
      <c r="I167" s="46"/>
      <c r="J167" s="46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</row>
    <row r="168" spans="2:21" x14ac:dyDescent="0.3">
      <c r="B168" t="s">
        <v>312</v>
      </c>
      <c r="C168" s="60"/>
      <c r="D168" s="60">
        <f>D155/C155-1</f>
        <v>0.17208167523142581</v>
      </c>
      <c r="E168" s="60">
        <f>E155/D155-1</f>
        <v>8.4219259653439016E-2</v>
      </c>
      <c r="F168" s="60">
        <f>F155/E155-1</f>
        <v>4.0518945425033426E-2</v>
      </c>
      <c r="G168" s="60">
        <f>G155/F155-1</f>
        <v>0.12048918583838009</v>
      </c>
      <c r="H168" s="60">
        <f>H155/G155-1</f>
        <v>0.17792923858571452</v>
      </c>
      <c r="I168" s="61">
        <v>0.1</v>
      </c>
      <c r="J168" s="61">
        <v>0.1</v>
      </c>
      <c r="K168" s="61">
        <v>0.1</v>
      </c>
      <c r="L168" s="61">
        <v>0.1</v>
      </c>
      <c r="M168" s="35"/>
      <c r="N168" s="35"/>
      <c r="O168" s="35"/>
      <c r="P168" s="35"/>
      <c r="Q168" s="35"/>
      <c r="R168" s="35"/>
      <c r="S168" s="35"/>
      <c r="T168" s="35"/>
      <c r="U168" s="35"/>
    </row>
    <row r="169" spans="2:21" x14ac:dyDescent="0.3">
      <c r="C169" s="46"/>
      <c r="D169" s="46"/>
      <c r="E169" s="46"/>
      <c r="F169" s="46"/>
      <c r="G169" s="46"/>
      <c r="H169" s="46"/>
      <c r="I169" s="46"/>
      <c r="J169" s="46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</row>
    <row r="170" spans="2:21" s="6" customFormat="1" x14ac:dyDescent="0.3">
      <c r="C170" s="54"/>
      <c r="D170" s="54"/>
      <c r="E170" s="54"/>
      <c r="F170" s="54"/>
      <c r="G170" s="54"/>
      <c r="H170" s="54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</row>
    <row r="171" spans="2:21" x14ac:dyDescent="0.3">
      <c r="B171" s="3"/>
      <c r="C171" s="46"/>
      <c r="D171" s="46"/>
      <c r="E171" s="46"/>
      <c r="F171" s="46"/>
      <c r="G171" s="46"/>
      <c r="H171" s="46"/>
      <c r="I171" s="49"/>
      <c r="J171" s="49"/>
      <c r="K171" s="49"/>
      <c r="L171" s="49"/>
      <c r="M171" s="49"/>
      <c r="N171" s="49"/>
      <c r="O171" s="49"/>
      <c r="P171" s="46"/>
      <c r="Q171" s="46"/>
      <c r="R171" s="49"/>
      <c r="S171" s="35"/>
      <c r="T171" s="35"/>
      <c r="U171" s="35"/>
    </row>
    <row r="172" spans="2:21" x14ac:dyDescent="0.3">
      <c r="B172" t="s">
        <v>13</v>
      </c>
      <c r="C172" s="22">
        <v>1416927</v>
      </c>
      <c r="D172" s="22">
        <v>1603118</v>
      </c>
      <c r="E172" s="22">
        <v>2841264</v>
      </c>
      <c r="F172" s="22">
        <v>3102695</v>
      </c>
      <c r="G172" s="22">
        <v>3220066</v>
      </c>
      <c r="H172" s="22">
        <v>3598371</v>
      </c>
      <c r="I172" s="49">
        <f>FS!I57*Drivers!I180</f>
        <v>4116991.05</v>
      </c>
      <c r="J172" s="49">
        <f>FS!J57*Drivers!J180</f>
        <v>4240227.2249999996</v>
      </c>
      <c r="K172" s="49">
        <f>FS!K57*Drivers!K180</f>
        <v>4381833.45</v>
      </c>
      <c r="L172" s="49">
        <f>FS!L57*Drivers!L180</f>
        <v>4529601.4837499997</v>
      </c>
      <c r="M172" s="49"/>
      <c r="N172" s="49">
        <f>FS!P21/9*12</f>
        <v>4106025.333333333</v>
      </c>
      <c r="O172" s="49"/>
      <c r="P172" s="22">
        <v>2084338</v>
      </c>
      <c r="Q172" s="22">
        <v>1724022</v>
      </c>
      <c r="R172" s="49">
        <f>P172*2</f>
        <v>4168676</v>
      </c>
      <c r="S172" s="35"/>
      <c r="T172" s="35"/>
      <c r="U172" s="35"/>
    </row>
    <row r="173" spans="2:21" x14ac:dyDescent="0.3">
      <c r="B173" s="3"/>
      <c r="C173" s="46"/>
      <c r="D173" s="46"/>
      <c r="E173" s="46"/>
      <c r="F173" s="46"/>
      <c r="G173" s="46"/>
      <c r="H173" s="46"/>
      <c r="I173" s="49"/>
      <c r="J173" s="49"/>
      <c r="K173" s="49"/>
      <c r="L173" s="49"/>
      <c r="M173" s="49"/>
      <c r="N173" s="49"/>
      <c r="O173" s="49"/>
      <c r="P173" s="46"/>
      <c r="Q173" s="46"/>
      <c r="R173" s="49"/>
      <c r="S173" s="35"/>
      <c r="T173" s="35"/>
      <c r="U173" s="35"/>
    </row>
    <row r="174" spans="2:21" x14ac:dyDescent="0.3">
      <c r="B174" s="3" t="s">
        <v>231</v>
      </c>
      <c r="C174" s="22">
        <v>1185698</v>
      </c>
      <c r="D174" s="22">
        <v>1383581</v>
      </c>
      <c r="E174" s="22">
        <v>1541788</v>
      </c>
      <c r="F174" s="22">
        <v>1592636</v>
      </c>
      <c r="G174" s="22">
        <v>1661967</v>
      </c>
      <c r="H174" s="22">
        <v>1702657</v>
      </c>
      <c r="I174" s="49"/>
      <c r="J174" s="49"/>
      <c r="K174" s="49"/>
      <c r="L174" s="49"/>
      <c r="M174" s="49"/>
      <c r="N174" s="49"/>
      <c r="O174" s="49"/>
      <c r="P174" s="46"/>
      <c r="Q174" s="46"/>
      <c r="R174" s="49"/>
      <c r="S174" s="35"/>
      <c r="T174" s="35"/>
      <c r="U174" s="35"/>
    </row>
    <row r="175" spans="2:21" x14ac:dyDescent="0.3">
      <c r="B175" s="3" t="s">
        <v>232</v>
      </c>
      <c r="C175" s="46">
        <f>1452+13</f>
        <v>1465</v>
      </c>
      <c r="D175" s="46">
        <f>1452+9</f>
        <v>1461</v>
      </c>
      <c r="E175" s="22">
        <v>1047075</v>
      </c>
      <c r="F175" s="22">
        <v>1199104</v>
      </c>
      <c r="G175" s="22">
        <v>1241441</v>
      </c>
      <c r="H175" s="22">
        <v>1428593</v>
      </c>
      <c r="I175" s="49"/>
      <c r="J175" s="49"/>
      <c r="K175" s="49"/>
      <c r="L175" s="49"/>
      <c r="M175" s="49"/>
      <c r="N175" s="49"/>
      <c r="O175" s="49"/>
      <c r="P175" s="46"/>
      <c r="Q175" s="46"/>
      <c r="R175" s="49"/>
      <c r="S175" s="35"/>
      <c r="T175" s="35"/>
      <c r="U175" s="35"/>
    </row>
    <row r="176" spans="2:21" x14ac:dyDescent="0.3">
      <c r="B176" s="3" t="s">
        <v>233</v>
      </c>
      <c r="C176" s="22">
        <v>229764</v>
      </c>
      <c r="D176" s="22">
        <v>218076</v>
      </c>
      <c r="E176" s="46">
        <f>252392+9</f>
        <v>252401</v>
      </c>
      <c r="F176" s="46">
        <f>310946+9</f>
        <v>310955</v>
      </c>
      <c r="G176" s="22">
        <v>316658</v>
      </c>
      <c r="H176" s="22">
        <v>467121</v>
      </c>
      <c r="I176" s="49"/>
      <c r="J176" s="49"/>
      <c r="K176" s="49"/>
      <c r="L176" s="49"/>
      <c r="M176" s="49"/>
      <c r="N176" s="49"/>
      <c r="O176" s="49"/>
      <c r="P176" s="46"/>
      <c r="Q176" s="46"/>
      <c r="R176" s="49"/>
      <c r="S176" s="35"/>
      <c r="T176" s="35"/>
      <c r="U176" s="35"/>
    </row>
    <row r="177" spans="2:21" x14ac:dyDescent="0.3">
      <c r="C177" s="46"/>
      <c r="D177" s="46"/>
      <c r="E177" s="46"/>
      <c r="F177" s="46"/>
      <c r="G177" s="46"/>
      <c r="H177" s="46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</row>
    <row r="178" spans="2:21" s="28" customFormat="1" x14ac:dyDescent="0.3">
      <c r="B178" s="44" t="s">
        <v>145</v>
      </c>
      <c r="C178" s="46">
        <f t="shared" ref="C178:H178" si="14">SUM(C174:C176)-C172</f>
        <v>0</v>
      </c>
      <c r="D178" s="46">
        <f t="shared" si="14"/>
        <v>0</v>
      </c>
      <c r="E178" s="46">
        <f t="shared" si="14"/>
        <v>0</v>
      </c>
      <c r="F178" s="46">
        <f t="shared" si="14"/>
        <v>0</v>
      </c>
      <c r="G178" s="46">
        <f t="shared" si="14"/>
        <v>0</v>
      </c>
      <c r="H178" s="46">
        <f t="shared" si="14"/>
        <v>0</v>
      </c>
      <c r="I178" s="49"/>
      <c r="J178" s="49"/>
      <c r="K178" s="49"/>
      <c r="L178" s="49"/>
      <c r="M178" s="49"/>
      <c r="N178" s="49"/>
      <c r="O178" s="49"/>
      <c r="P178" s="46"/>
      <c r="Q178" s="46"/>
      <c r="R178" s="49"/>
      <c r="S178" s="35"/>
      <c r="T178" s="35"/>
      <c r="U178" s="35"/>
    </row>
    <row r="179" spans="2:21" x14ac:dyDescent="0.3">
      <c r="B179" s="3"/>
      <c r="C179" s="46"/>
      <c r="D179" s="46"/>
      <c r="E179" s="46"/>
      <c r="F179" s="46"/>
      <c r="G179" s="46"/>
      <c r="H179" s="46"/>
      <c r="I179" s="49"/>
      <c r="J179" s="49"/>
      <c r="K179" s="49"/>
      <c r="L179" s="49"/>
      <c r="M179" s="49"/>
      <c r="N179" s="49"/>
      <c r="O179" s="49"/>
      <c r="P179" s="46"/>
      <c r="Q179" s="46"/>
      <c r="R179" s="49"/>
      <c r="S179" s="35"/>
      <c r="T179" s="35"/>
      <c r="U179" s="35"/>
    </row>
    <row r="180" spans="2:21" x14ac:dyDescent="0.3">
      <c r="B180" s="3" t="s">
        <v>357</v>
      </c>
      <c r="C180" s="61"/>
      <c r="D180" s="61">
        <f>D172/FS!C57</f>
        <v>9.824806502942568E-2</v>
      </c>
      <c r="E180" s="61">
        <f>E172/FS!D57</f>
        <v>0.1669835199464762</v>
      </c>
      <c r="F180" s="61">
        <f>F172/FS!E57</f>
        <v>0.137746597528806</v>
      </c>
      <c r="G180" s="61">
        <f>G172/FS!G57</f>
        <v>0.12684101828403377</v>
      </c>
      <c r="H180" s="61">
        <f>H172/FS!H57</f>
        <v>0.1454202555592457</v>
      </c>
      <c r="I180" s="60">
        <v>0.15</v>
      </c>
      <c r="J180" s="60">
        <v>0.15</v>
      </c>
      <c r="K180" s="60">
        <v>0.15</v>
      </c>
      <c r="L180" s="60">
        <v>0.15</v>
      </c>
      <c r="M180" s="49"/>
      <c r="N180" s="49"/>
      <c r="O180" s="49"/>
      <c r="P180" s="46"/>
      <c r="Q180" s="46"/>
      <c r="R180" s="49"/>
      <c r="S180" s="35"/>
      <c r="T180" s="35"/>
      <c r="U180" s="35"/>
    </row>
    <row r="181" spans="2:21" x14ac:dyDescent="0.3">
      <c r="B181" s="3"/>
      <c r="C181" s="46"/>
      <c r="D181" s="46"/>
      <c r="E181" s="46"/>
      <c r="F181" s="46"/>
      <c r="G181" s="46"/>
      <c r="H181" s="46"/>
      <c r="I181" s="49"/>
      <c r="J181" s="49"/>
      <c r="K181" s="49"/>
      <c r="L181" s="49"/>
      <c r="M181" s="49"/>
      <c r="N181" s="49"/>
      <c r="O181" s="49"/>
      <c r="P181" s="46"/>
      <c r="Q181" s="46"/>
      <c r="R181" s="49"/>
      <c r="S181" s="35"/>
      <c r="T181" s="35"/>
      <c r="U181" s="35"/>
    </row>
    <row r="182" spans="2:21" s="6" customFormat="1" x14ac:dyDescent="0.3">
      <c r="C182" s="54"/>
      <c r="D182" s="54"/>
      <c r="E182" s="54"/>
      <c r="F182" s="54"/>
      <c r="G182" s="54"/>
      <c r="H182" s="54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</row>
    <row r="183" spans="2:21" x14ac:dyDescent="0.3">
      <c r="B183" s="3"/>
      <c r="C183" s="46"/>
      <c r="D183" s="46"/>
      <c r="E183" s="46"/>
      <c r="F183" s="46"/>
      <c r="G183" s="46"/>
      <c r="H183" s="46"/>
      <c r="I183" s="49"/>
      <c r="J183" s="49"/>
      <c r="K183" s="49"/>
      <c r="L183" s="49"/>
      <c r="M183" s="49"/>
      <c r="N183" s="49"/>
      <c r="O183" s="49"/>
      <c r="P183" s="46"/>
      <c r="Q183" s="46"/>
      <c r="R183" s="49"/>
      <c r="S183" s="35"/>
      <c r="T183" s="35"/>
      <c r="U183" s="35"/>
    </row>
    <row r="184" spans="2:21" x14ac:dyDescent="0.3">
      <c r="B184" t="s">
        <v>14</v>
      </c>
      <c r="C184" s="22">
        <v>7618993</v>
      </c>
      <c r="D184" s="22">
        <v>8993958</v>
      </c>
      <c r="E184" s="22">
        <v>8875316</v>
      </c>
      <c r="F184" s="22">
        <v>8167170</v>
      </c>
      <c r="G184" s="22">
        <v>9638461</v>
      </c>
      <c r="H184" s="22">
        <v>12895587</v>
      </c>
      <c r="I184" s="49">
        <f>H184*(1+I192)</f>
        <v>16764263.100000001</v>
      </c>
      <c r="J184" s="49">
        <f>I184*(1+J192)</f>
        <v>20117115.720000003</v>
      </c>
      <c r="K184" s="49">
        <f>J184*(1+K192)</f>
        <v>24140538.864000004</v>
      </c>
      <c r="L184" s="49">
        <f>K184*(1+L192)</f>
        <v>28968646.636800002</v>
      </c>
      <c r="M184" s="49"/>
      <c r="N184" s="49">
        <f>FS!P22/9*12</f>
        <v>16116592</v>
      </c>
      <c r="O184" s="49"/>
      <c r="P184" s="22">
        <v>7903941</v>
      </c>
      <c r="Q184" s="22">
        <v>6723078</v>
      </c>
      <c r="R184" s="49">
        <f>P184*2</f>
        <v>15807882</v>
      </c>
      <c r="S184" s="35"/>
      <c r="T184" s="35"/>
      <c r="U184" s="35"/>
    </row>
    <row r="185" spans="2:21" x14ac:dyDescent="0.3">
      <c r="C185" s="46"/>
      <c r="D185" s="46"/>
      <c r="E185" s="46"/>
      <c r="F185" s="46"/>
      <c r="G185" s="46"/>
      <c r="H185" s="46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</row>
    <row r="186" spans="2:21" x14ac:dyDescent="0.3">
      <c r="B186" t="s">
        <v>235</v>
      </c>
      <c r="C186" s="22">
        <v>2677614</v>
      </c>
      <c r="D186" s="22">
        <v>2900280</v>
      </c>
      <c r="E186" s="22">
        <v>1878292</v>
      </c>
      <c r="F186" s="22">
        <v>1644397</v>
      </c>
      <c r="G186" s="22">
        <v>1930171</v>
      </c>
      <c r="H186" s="22">
        <v>2369221</v>
      </c>
      <c r="I186" s="49"/>
      <c r="J186" s="49"/>
      <c r="K186" s="49"/>
      <c r="L186" s="49"/>
      <c r="M186" s="49"/>
      <c r="N186" s="49"/>
      <c r="O186" s="49"/>
      <c r="P186" s="46"/>
      <c r="Q186" s="46"/>
      <c r="R186" s="49"/>
      <c r="S186" s="35"/>
      <c r="T186" s="35"/>
      <c r="U186" s="35"/>
    </row>
    <row r="187" spans="2:21" x14ac:dyDescent="0.3">
      <c r="B187" t="s">
        <v>234</v>
      </c>
      <c r="C187" s="22">
        <v>1187143</v>
      </c>
      <c r="D187" s="22">
        <v>1297628</v>
      </c>
      <c r="E187" s="22">
        <v>1649310</v>
      </c>
      <c r="F187" s="22">
        <v>1797222</v>
      </c>
      <c r="G187" s="22">
        <v>2237536</v>
      </c>
      <c r="H187" s="22">
        <v>3177441</v>
      </c>
      <c r="I187" s="49"/>
      <c r="J187" s="49"/>
      <c r="K187" s="49"/>
      <c r="L187" s="49"/>
      <c r="M187" s="49"/>
      <c r="N187" s="49"/>
      <c r="O187" s="49"/>
      <c r="P187" s="46"/>
      <c r="Q187" s="46"/>
      <c r="R187" s="49"/>
      <c r="S187" s="35"/>
      <c r="T187" s="35"/>
      <c r="U187" s="35"/>
    </row>
    <row r="188" spans="2:21" x14ac:dyDescent="0.3">
      <c r="B188" t="s">
        <v>236</v>
      </c>
      <c r="C188" s="22">
        <v>2531679</v>
      </c>
      <c r="D188" s="22">
        <v>3274424</v>
      </c>
      <c r="E188" s="22">
        <v>3227608</v>
      </c>
      <c r="F188" s="22">
        <v>2648982</v>
      </c>
      <c r="G188" s="22">
        <v>2932620</v>
      </c>
      <c r="H188" s="22">
        <v>4312136</v>
      </c>
      <c r="I188" s="49"/>
      <c r="J188" s="49"/>
      <c r="K188" s="49"/>
      <c r="L188" s="49"/>
      <c r="M188" s="49"/>
      <c r="N188" s="49"/>
      <c r="O188" s="49"/>
      <c r="P188" s="46"/>
      <c r="Q188" s="46"/>
      <c r="R188" s="49"/>
      <c r="S188" s="35"/>
      <c r="T188" s="35"/>
      <c r="U188" s="35"/>
    </row>
    <row r="189" spans="2:21" x14ac:dyDescent="0.3">
      <c r="B189" t="s">
        <v>237</v>
      </c>
      <c r="C189" s="22">
        <v>682108</v>
      </c>
      <c r="D189" s="22">
        <v>774100</v>
      </c>
      <c r="E189" s="22">
        <v>839685</v>
      </c>
      <c r="F189" s="22">
        <v>977846</v>
      </c>
      <c r="G189" s="22">
        <v>1216151</v>
      </c>
      <c r="H189" s="22">
        <v>1529785</v>
      </c>
      <c r="I189" s="49"/>
      <c r="J189" s="49"/>
      <c r="K189" s="49"/>
      <c r="L189" s="49"/>
      <c r="M189" s="49"/>
      <c r="N189" s="49"/>
      <c r="O189" s="49"/>
      <c r="P189" s="46"/>
      <c r="Q189" s="46"/>
      <c r="R189" s="49"/>
      <c r="S189" s="35"/>
      <c r="T189" s="35"/>
      <c r="U189" s="35"/>
    </row>
    <row r="190" spans="2:21" x14ac:dyDescent="0.3">
      <c r="B190" t="s">
        <v>230</v>
      </c>
      <c r="C190" s="46">
        <f t="shared" ref="C190:H190" si="15">C184-SUM(C186:C189)</f>
        <v>540449</v>
      </c>
      <c r="D190" s="46">
        <f t="shared" si="15"/>
        <v>747526</v>
      </c>
      <c r="E190" s="46">
        <f t="shared" si="15"/>
        <v>1280421</v>
      </c>
      <c r="F190" s="46">
        <f t="shared" si="15"/>
        <v>1098723</v>
      </c>
      <c r="G190" s="46">
        <f t="shared" si="15"/>
        <v>1321983</v>
      </c>
      <c r="H190" s="46">
        <f t="shared" si="15"/>
        <v>1507004</v>
      </c>
      <c r="I190" s="49"/>
      <c r="J190" s="49"/>
      <c r="K190" s="49"/>
      <c r="L190" s="49"/>
      <c r="M190" s="49"/>
      <c r="N190" s="49"/>
      <c r="O190" s="49"/>
      <c r="P190" s="46"/>
      <c r="Q190" s="46"/>
      <c r="R190" s="49"/>
      <c r="S190" s="35"/>
      <c r="T190" s="35"/>
      <c r="U190" s="35"/>
    </row>
    <row r="191" spans="2:21" x14ac:dyDescent="0.3">
      <c r="C191" s="46"/>
      <c r="D191" s="46"/>
      <c r="E191" s="46"/>
      <c r="F191" s="46"/>
      <c r="G191" s="46"/>
      <c r="H191" s="46"/>
      <c r="I191" s="49"/>
      <c r="J191" s="49"/>
      <c r="K191" s="49"/>
      <c r="L191" s="49"/>
      <c r="M191" s="49"/>
      <c r="N191" s="49"/>
      <c r="O191" s="49"/>
      <c r="P191" s="46"/>
      <c r="Q191" s="46"/>
      <c r="R191" s="49"/>
      <c r="S191" s="35"/>
      <c r="T191" s="35"/>
      <c r="U191" s="35"/>
    </row>
    <row r="192" spans="2:21" x14ac:dyDescent="0.3">
      <c r="B192" t="s">
        <v>312</v>
      </c>
      <c r="C192" s="46"/>
      <c r="D192" s="60">
        <f>D184/C184-1</f>
        <v>0.18046544996169445</v>
      </c>
      <c r="E192" s="60">
        <f>E184/D184-1</f>
        <v>-1.3191300203981404E-2</v>
      </c>
      <c r="F192" s="60">
        <f>F184/E184-1</f>
        <v>-7.9788257680064589E-2</v>
      </c>
      <c r="G192" s="60">
        <f>G184/F184-1</f>
        <v>0.18014697869641494</v>
      </c>
      <c r="H192" s="60">
        <f>H184/G184-1</f>
        <v>0.3379300907063898</v>
      </c>
      <c r="I192" s="60">
        <v>0.3</v>
      </c>
      <c r="J192" s="60">
        <v>0.2</v>
      </c>
      <c r="K192" s="60">
        <v>0.2</v>
      </c>
      <c r="L192" s="60">
        <v>0.2</v>
      </c>
      <c r="M192" s="49"/>
      <c r="N192" s="49"/>
      <c r="O192" s="49"/>
      <c r="P192" s="46"/>
      <c r="Q192" s="46"/>
      <c r="R192" s="49"/>
      <c r="S192" s="35"/>
      <c r="T192" s="35"/>
      <c r="U192" s="35"/>
    </row>
    <row r="193" spans="2:21" x14ac:dyDescent="0.3">
      <c r="C193" s="46"/>
      <c r="D193" s="46"/>
      <c r="E193" s="46"/>
      <c r="F193" s="46"/>
      <c r="G193" s="46"/>
      <c r="H193" s="46"/>
      <c r="I193" s="49"/>
      <c r="J193" s="49"/>
      <c r="K193" s="49"/>
      <c r="L193" s="49"/>
      <c r="M193" s="49"/>
      <c r="N193" s="49"/>
      <c r="O193" s="49"/>
      <c r="P193" s="46"/>
      <c r="Q193" s="46"/>
      <c r="R193" s="49"/>
      <c r="S193" s="35"/>
      <c r="T193" s="35"/>
      <c r="U193" s="35"/>
    </row>
    <row r="194" spans="2:21" s="6" customFormat="1" x14ac:dyDescent="0.3">
      <c r="C194" s="54"/>
      <c r="D194" s="54"/>
      <c r="E194" s="54"/>
      <c r="F194" s="54"/>
      <c r="G194" s="54"/>
      <c r="H194" s="54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</row>
    <row r="195" spans="2:21" x14ac:dyDescent="0.3">
      <c r="C195" s="46"/>
      <c r="D195" s="46"/>
      <c r="E195" s="46"/>
      <c r="F195" s="46"/>
      <c r="G195" s="46"/>
      <c r="H195" s="46"/>
      <c r="I195" s="49"/>
      <c r="J195" s="49"/>
      <c r="K195" s="49"/>
      <c r="L195" s="49"/>
      <c r="M195" s="49"/>
      <c r="N195" s="49"/>
      <c r="O195" s="49"/>
      <c r="P195" s="46"/>
      <c r="Q195" s="46"/>
      <c r="R195" s="49"/>
      <c r="S195" s="35"/>
      <c r="T195" s="35"/>
      <c r="U195" s="35"/>
    </row>
    <row r="196" spans="2:21" x14ac:dyDescent="0.3">
      <c r="B196" t="s">
        <v>238</v>
      </c>
      <c r="C196" s="22">
        <v>4896620</v>
      </c>
      <c r="D196" s="22">
        <v>6051861</v>
      </c>
      <c r="E196" s="22">
        <v>7255728</v>
      </c>
      <c r="F196" s="22">
        <v>4531381</v>
      </c>
      <c r="G196" s="22">
        <v>5845230</v>
      </c>
      <c r="H196" s="22">
        <v>3921381</v>
      </c>
      <c r="I196" s="49">
        <f>I202*FS!J7</f>
        <v>4893717.4441042198</v>
      </c>
      <c r="J196" s="49">
        <f>J202*FS!K7</f>
        <v>5902787.2165519306</v>
      </c>
      <c r="K196" s="49">
        <f>K202*FS!L7</f>
        <v>6756989.5396882221</v>
      </c>
      <c r="L196" s="49">
        <f>L202*FS!M7</f>
        <v>7635096.9508877387</v>
      </c>
      <c r="M196" s="49"/>
      <c r="N196" s="49">
        <f>FS!P25/9*12</f>
        <v>4886169.333333333</v>
      </c>
      <c r="O196" s="49"/>
      <c r="P196" s="22">
        <v>1933968</v>
      </c>
      <c r="Q196" s="22">
        <v>2602781</v>
      </c>
      <c r="R196" s="49">
        <f>P196*2</f>
        <v>3867936</v>
      </c>
      <c r="S196" s="35"/>
      <c r="T196" s="35"/>
      <c r="U196" s="35"/>
    </row>
    <row r="197" spans="2:21" x14ac:dyDescent="0.3">
      <c r="C197" s="46"/>
      <c r="D197" s="46"/>
      <c r="E197" s="46"/>
      <c r="F197" s="46"/>
      <c r="G197" s="46"/>
      <c r="H197" s="46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</row>
    <row r="198" spans="2:21" x14ac:dyDescent="0.3">
      <c r="B198" t="s">
        <v>239</v>
      </c>
      <c r="C198" s="22">
        <v>4319890</v>
      </c>
      <c r="D198" s="22">
        <v>4759005</v>
      </c>
      <c r="E198" s="22">
        <v>4233302</v>
      </c>
      <c r="F198" s="22">
        <v>4531381</v>
      </c>
      <c r="G198" s="22">
        <v>5845230</v>
      </c>
      <c r="H198" s="22">
        <v>3914152</v>
      </c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</row>
    <row r="199" spans="2:21" x14ac:dyDescent="0.3">
      <c r="B199" t="s">
        <v>240</v>
      </c>
      <c r="C199" s="22">
        <v>576730</v>
      </c>
      <c r="D199" s="22">
        <v>642858</v>
      </c>
      <c r="E199" s="22">
        <v>553802</v>
      </c>
      <c r="F199" s="46"/>
      <c r="G199" s="46"/>
      <c r="H199" s="22">
        <v>7229</v>
      </c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</row>
    <row r="200" spans="2:21" x14ac:dyDescent="0.3">
      <c r="B200" t="s">
        <v>241</v>
      </c>
      <c r="C200" s="22">
        <v>0</v>
      </c>
      <c r="D200" s="22">
        <v>649998</v>
      </c>
      <c r="E200" s="22">
        <v>2468624</v>
      </c>
      <c r="F200" s="46"/>
      <c r="G200" s="46"/>
      <c r="H200" s="46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</row>
    <row r="201" spans="2:21" x14ac:dyDescent="0.3">
      <c r="C201" s="46"/>
      <c r="D201" s="46"/>
      <c r="E201" s="46"/>
      <c r="F201" s="46"/>
      <c r="G201" s="46"/>
      <c r="H201" s="46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</row>
    <row r="202" spans="2:21" x14ac:dyDescent="0.3">
      <c r="B202" t="s">
        <v>358</v>
      </c>
      <c r="C202" s="61">
        <f>C196/FS!C7</f>
        <v>4.7060665646110042E-2</v>
      </c>
      <c r="D202" s="61">
        <f>D196/FS!D7</f>
        <v>5.1048483769958741E-2</v>
      </c>
      <c r="E202" s="61">
        <f>E196/FS!E7</f>
        <v>5.6120772407636507E-2</v>
      </c>
      <c r="F202" s="61">
        <f>F196/FS!G7</f>
        <v>3.6517563991206765E-2</v>
      </c>
      <c r="G202" s="61">
        <f>G196/FS!H7</f>
        <v>4.4009262045440797E-2</v>
      </c>
      <c r="H202" s="61">
        <f>H196/FS!I7</f>
        <v>1.7632657534275155E-2</v>
      </c>
      <c r="I202" s="86">
        <v>1.6E-2</v>
      </c>
      <c r="J202" s="86">
        <v>0.02</v>
      </c>
      <c r="K202" s="86">
        <v>0.02</v>
      </c>
      <c r="L202" s="86">
        <v>0.02</v>
      </c>
      <c r="M202" s="35"/>
      <c r="N202" s="35"/>
      <c r="O202" s="35"/>
      <c r="P202" s="35"/>
      <c r="Q202" s="35"/>
      <c r="R202" s="35"/>
      <c r="S202" s="35"/>
      <c r="T202" s="35"/>
      <c r="U202" s="35"/>
    </row>
    <row r="203" spans="2:21" x14ac:dyDescent="0.3">
      <c r="C203" s="46"/>
      <c r="D203" s="46"/>
      <c r="E203" s="46"/>
      <c r="F203" s="46"/>
      <c r="G203" s="46"/>
      <c r="H203" s="46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</row>
    <row r="204" spans="2:21" s="6" customFormat="1" x14ac:dyDescent="0.3">
      <c r="C204" s="54"/>
      <c r="D204" s="54"/>
      <c r="E204" s="54"/>
      <c r="F204" s="54"/>
      <c r="G204" s="54"/>
      <c r="H204" s="54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</row>
    <row r="205" spans="2:21" x14ac:dyDescent="0.3">
      <c r="C205" s="46"/>
      <c r="D205" s="46"/>
      <c r="E205" s="46"/>
      <c r="F205" s="46"/>
      <c r="G205" s="46"/>
      <c r="H205" s="46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</row>
    <row r="206" spans="2:21" x14ac:dyDescent="0.3">
      <c r="B206" t="s">
        <v>359</v>
      </c>
      <c r="C206" s="46">
        <f>FS!C29</f>
        <v>6653817</v>
      </c>
      <c r="D206" s="46">
        <f>FS!D29</f>
        <v>8235717</v>
      </c>
      <c r="E206" s="46">
        <f>FS!E29</f>
        <v>5563500</v>
      </c>
      <c r="F206" s="46">
        <f>FS!G29</f>
        <v>7433063</v>
      </c>
      <c r="G206" s="46">
        <f>FS!H29</f>
        <v>8667036</v>
      </c>
      <c r="H206" s="46">
        <f>FS!I29</f>
        <v>105566</v>
      </c>
      <c r="I206" s="49">
        <f>FS!J28*Drivers!I207</f>
        <v>14932977.585111324</v>
      </c>
      <c r="J206" s="49">
        <f>FS!K28*Drivers!J207</f>
        <v>11504728.498253813</v>
      </c>
      <c r="K206" s="49">
        <f>FS!L28*Drivers!K207</f>
        <v>12254115.016872127</v>
      </c>
      <c r="L206" s="49">
        <f>FS!M28*Drivers!L207</f>
        <v>12890542.927765377</v>
      </c>
      <c r="M206" s="35"/>
      <c r="N206" s="49">
        <f>FS!P29/9*12</f>
        <v>13689806.666666668</v>
      </c>
      <c r="O206" s="35"/>
      <c r="P206" s="35"/>
      <c r="Q206" s="35"/>
      <c r="R206" s="35"/>
      <c r="S206" s="35"/>
      <c r="T206" s="35"/>
      <c r="U206" s="35"/>
    </row>
    <row r="207" spans="2:21" x14ac:dyDescent="0.3">
      <c r="B207" t="s">
        <v>360</v>
      </c>
      <c r="C207" s="61">
        <f>C206/FS!C28</f>
        <v>0.28581290363484629</v>
      </c>
      <c r="D207" s="61">
        <f>D206/FS!D28</f>
        <v>0.31556226806180943</v>
      </c>
      <c r="E207" s="61">
        <f>E206/FS!E28</f>
        <v>0.24206078899765296</v>
      </c>
      <c r="F207" s="61">
        <f>F206/FS!G28</f>
        <v>0.30314459381089454</v>
      </c>
      <c r="G207" s="61">
        <f>G206/FS!H28</f>
        <v>0.26297754028816173</v>
      </c>
      <c r="H207" s="61">
        <f>H206/FS!I28</f>
        <v>4.3079304753577607E-3</v>
      </c>
      <c r="I207" s="85">
        <v>0.42</v>
      </c>
      <c r="J207" s="85">
        <v>0.3</v>
      </c>
      <c r="K207" s="85">
        <v>0.3</v>
      </c>
      <c r="L207" s="85">
        <v>0.3</v>
      </c>
      <c r="M207" s="35"/>
      <c r="N207" s="35"/>
      <c r="O207" s="35"/>
      <c r="P207" s="35"/>
      <c r="Q207" s="35"/>
      <c r="R207" s="35"/>
      <c r="S207" s="35"/>
      <c r="T207" s="35"/>
      <c r="U207" s="35"/>
    </row>
    <row r="208" spans="2:21" x14ac:dyDescent="0.3">
      <c r="C208" s="46"/>
      <c r="D208" s="46"/>
      <c r="E208" s="46"/>
      <c r="F208" s="46"/>
      <c r="G208" s="46"/>
      <c r="H208" s="46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</row>
    <row r="209" spans="2:21" x14ac:dyDescent="0.3">
      <c r="C209" s="46"/>
      <c r="D209" s="46"/>
      <c r="E209" s="46"/>
      <c r="F209" s="46"/>
      <c r="G209" s="46"/>
      <c r="H209" s="46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</row>
    <row r="210" spans="2:21" x14ac:dyDescent="0.3">
      <c r="C210" s="46"/>
      <c r="D210" s="46"/>
      <c r="E210" s="46"/>
      <c r="F210" s="46"/>
      <c r="G210" s="46"/>
      <c r="H210" s="46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</row>
    <row r="211" spans="2:21" x14ac:dyDescent="0.3">
      <c r="C211" s="46"/>
      <c r="D211" s="46"/>
      <c r="E211" s="46"/>
      <c r="F211" s="46"/>
      <c r="G211" s="46"/>
      <c r="H211" s="46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</row>
    <row r="212" spans="2:21" x14ac:dyDescent="0.3">
      <c r="C212" s="46"/>
      <c r="D212" s="46"/>
      <c r="E212" s="46"/>
      <c r="F212" s="46"/>
      <c r="G212" s="46"/>
      <c r="H212" s="46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</row>
    <row r="213" spans="2:21" s="7" customFormat="1" x14ac:dyDescent="0.3">
      <c r="B213" s="10" t="s">
        <v>114</v>
      </c>
      <c r="C213" s="57"/>
      <c r="D213" s="57"/>
      <c r="E213" s="57"/>
      <c r="F213" s="57"/>
      <c r="G213" s="57"/>
      <c r="H213" s="57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</row>
    <row r="214" spans="2:21" s="6" customFormat="1" x14ac:dyDescent="0.3">
      <c r="C214" s="54"/>
      <c r="D214" s="54"/>
      <c r="E214" s="54"/>
      <c r="F214" s="54"/>
      <c r="G214" s="54"/>
      <c r="H214" s="54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</row>
    <row r="215" spans="2:21" x14ac:dyDescent="0.3">
      <c r="C215" s="46"/>
      <c r="D215" s="46"/>
      <c r="E215" s="46"/>
      <c r="F215" s="46"/>
      <c r="G215" s="46"/>
      <c r="H215" s="46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</row>
    <row r="216" spans="2:21" x14ac:dyDescent="0.3">
      <c r="B216" s="3" t="s">
        <v>93</v>
      </c>
      <c r="C216" s="22">
        <v>34673424</v>
      </c>
      <c r="D216" s="22">
        <v>44355962</v>
      </c>
      <c r="E216" s="22">
        <v>53681118</v>
      </c>
      <c r="F216" s="22">
        <v>51255030</v>
      </c>
      <c r="G216" s="22">
        <v>69335379</v>
      </c>
      <c r="H216" s="22">
        <v>151109490</v>
      </c>
      <c r="I216" s="49"/>
      <c r="J216" s="49"/>
      <c r="K216" s="49"/>
      <c r="L216" s="49"/>
      <c r="M216" s="49"/>
      <c r="N216" s="33">
        <v>114518140</v>
      </c>
      <c r="P216" s="22">
        <v>112544293</v>
      </c>
      <c r="Q216" s="22">
        <v>151109490</v>
      </c>
      <c r="R216" s="35"/>
      <c r="S216" s="35"/>
      <c r="T216" s="35"/>
      <c r="U216" s="35"/>
    </row>
    <row r="217" spans="2:21" x14ac:dyDescent="0.3">
      <c r="C217" s="59"/>
      <c r="D217" s="59"/>
      <c r="E217" s="46"/>
      <c r="F217" s="46"/>
      <c r="G217" s="46"/>
      <c r="H217" s="46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</row>
    <row r="218" spans="2:21" x14ac:dyDescent="0.3">
      <c r="B218" t="s">
        <v>242</v>
      </c>
      <c r="C218" s="78">
        <v>23577061</v>
      </c>
      <c r="D218" s="78">
        <v>24585211</v>
      </c>
      <c r="E218" s="31">
        <v>26592518</v>
      </c>
      <c r="F218" s="31">
        <v>26681454</v>
      </c>
      <c r="G218" s="31">
        <v>30792774</v>
      </c>
      <c r="H218" s="31">
        <v>48162374</v>
      </c>
      <c r="I218" s="56"/>
      <c r="J218" s="56"/>
      <c r="K218" s="56"/>
      <c r="L218" s="56"/>
      <c r="M218" s="35"/>
      <c r="N218" s="35"/>
      <c r="O218" s="35"/>
      <c r="P218" s="35"/>
      <c r="Q218" s="35"/>
      <c r="R218" s="35"/>
      <c r="S218" s="35"/>
      <c r="T218" s="35"/>
      <c r="U218" s="35"/>
    </row>
    <row r="219" spans="2:21" x14ac:dyDescent="0.3">
      <c r="B219" s="20" t="s">
        <v>243</v>
      </c>
      <c r="C219" s="26">
        <v>20846435</v>
      </c>
      <c r="D219" s="26">
        <v>19489030</v>
      </c>
      <c r="E219" s="22">
        <v>22633898</v>
      </c>
      <c r="F219" s="22">
        <v>24502554</v>
      </c>
      <c r="G219" s="22">
        <v>27341234</v>
      </c>
      <c r="H219" s="22">
        <v>39514575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</row>
    <row r="220" spans="2:21" x14ac:dyDescent="0.3">
      <c r="B220" s="20" t="s">
        <v>244</v>
      </c>
      <c r="C220" s="26">
        <v>2730626</v>
      </c>
      <c r="D220" s="26">
        <v>5096181</v>
      </c>
      <c r="E220" s="22">
        <v>3958620</v>
      </c>
      <c r="F220" s="22">
        <v>2178900</v>
      </c>
      <c r="G220" s="22">
        <v>3451540</v>
      </c>
      <c r="H220" s="22">
        <v>8647799</v>
      </c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</row>
    <row r="221" spans="2:21" x14ac:dyDescent="0.3">
      <c r="B221" t="s">
        <v>245</v>
      </c>
      <c r="C221" s="78">
        <v>6748718</v>
      </c>
      <c r="D221" s="78">
        <v>10892192</v>
      </c>
      <c r="E221" s="31">
        <v>9420183</v>
      </c>
      <c r="F221" s="31">
        <v>22759243</v>
      </c>
      <c r="G221" s="31">
        <v>25099804</v>
      </c>
      <c r="H221" s="31">
        <v>86403404</v>
      </c>
      <c r="I221" s="56"/>
      <c r="J221" s="56"/>
      <c r="K221" s="56"/>
      <c r="L221" s="56"/>
      <c r="M221" s="35"/>
      <c r="N221" s="35"/>
      <c r="O221" s="35"/>
      <c r="P221" s="35"/>
      <c r="Q221" s="35"/>
      <c r="R221" s="35"/>
      <c r="S221" s="35"/>
      <c r="T221" s="35"/>
      <c r="U221" s="35"/>
    </row>
    <row r="222" spans="2:21" x14ac:dyDescent="0.3">
      <c r="B222" s="20" t="s">
        <v>246</v>
      </c>
      <c r="C222" s="26">
        <v>0</v>
      </c>
      <c r="D222" s="26">
        <v>0</v>
      </c>
      <c r="E222" s="22">
        <v>172295</v>
      </c>
      <c r="F222" s="22">
        <v>173152</v>
      </c>
      <c r="G222" s="22">
        <v>189319</v>
      </c>
      <c r="H222" s="22">
        <v>57078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</row>
    <row r="223" spans="2:21" x14ac:dyDescent="0.3">
      <c r="B223" s="20" t="s">
        <v>247</v>
      </c>
      <c r="C223" s="26">
        <v>6748718</v>
      </c>
      <c r="D223" s="26">
        <v>10892192</v>
      </c>
      <c r="E223" s="22">
        <v>9247888</v>
      </c>
      <c r="F223" s="22">
        <v>22586091</v>
      </c>
      <c r="G223" s="22">
        <v>24910485</v>
      </c>
      <c r="H223" s="22">
        <v>86346326</v>
      </c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</row>
    <row r="224" spans="2:21" x14ac:dyDescent="0.3">
      <c r="B224" t="s">
        <v>248</v>
      </c>
      <c r="C224" s="26">
        <v>4347645</v>
      </c>
      <c r="D224" s="26">
        <v>8882972</v>
      </c>
      <c r="E224" s="22">
        <v>17674124</v>
      </c>
      <c r="F224" s="22">
        <v>1817574</v>
      </c>
      <c r="G224" s="22">
        <v>13450414</v>
      </c>
      <c r="H224" s="22">
        <v>16557741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</row>
    <row r="225" spans="2:21" x14ac:dyDescent="0.3">
      <c r="B225" t="s">
        <v>249</v>
      </c>
      <c r="C225" s="78">
        <v>34673424</v>
      </c>
      <c r="D225" s="78">
        <v>44360375</v>
      </c>
      <c r="E225" s="31">
        <v>53686825</v>
      </c>
      <c r="F225" s="31">
        <v>51258271</v>
      </c>
      <c r="G225" s="31">
        <v>69342992</v>
      </c>
      <c r="H225" s="31">
        <v>151123519</v>
      </c>
      <c r="I225" s="56"/>
      <c r="J225" s="56"/>
      <c r="K225" s="56"/>
      <c r="L225" s="56"/>
      <c r="M225" s="35"/>
      <c r="N225" s="35"/>
      <c r="O225" s="35"/>
      <c r="P225" s="35"/>
      <c r="Q225" s="35"/>
      <c r="R225" s="35"/>
      <c r="S225" s="35"/>
      <c r="T225" s="35"/>
      <c r="U225" s="35"/>
    </row>
    <row r="226" spans="2:21" x14ac:dyDescent="0.3">
      <c r="B226" t="s">
        <v>140</v>
      </c>
      <c r="C226" s="26">
        <v>0</v>
      </c>
      <c r="D226" s="26">
        <v>4413</v>
      </c>
      <c r="E226" s="22">
        <v>5707</v>
      </c>
      <c r="F226" s="22">
        <v>3241</v>
      </c>
      <c r="G226" s="22">
        <v>7613</v>
      </c>
      <c r="H226" s="22">
        <v>14029</v>
      </c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</row>
    <row r="227" spans="2:21" x14ac:dyDescent="0.3">
      <c r="C227" s="59"/>
      <c r="D227" s="59"/>
      <c r="E227" s="46"/>
      <c r="F227" s="46"/>
      <c r="G227" s="46"/>
      <c r="H227" s="46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</row>
    <row r="228" spans="2:21" s="28" customFormat="1" x14ac:dyDescent="0.3">
      <c r="B228" s="28" t="s">
        <v>145</v>
      </c>
      <c r="C228" s="46">
        <f t="shared" ref="C228:H228" si="16">C218+C221+C224-C226-C216</f>
        <v>0</v>
      </c>
      <c r="D228" s="46">
        <f t="shared" si="16"/>
        <v>0</v>
      </c>
      <c r="E228" s="46">
        <f t="shared" si="16"/>
        <v>0</v>
      </c>
      <c r="F228" s="46">
        <f t="shared" si="16"/>
        <v>0</v>
      </c>
      <c r="G228" s="46">
        <f t="shared" si="16"/>
        <v>0</v>
      </c>
      <c r="H228" s="46">
        <f t="shared" si="16"/>
        <v>0</v>
      </c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</row>
    <row r="229" spans="2:21" x14ac:dyDescent="0.3">
      <c r="C229" s="59"/>
      <c r="D229" s="59"/>
      <c r="E229" s="46"/>
      <c r="F229" s="46"/>
      <c r="G229" s="46"/>
      <c r="H229" s="46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</row>
    <row r="230" spans="2:21" x14ac:dyDescent="0.3">
      <c r="B230" t="s">
        <v>333</v>
      </c>
      <c r="C230" s="61">
        <f t="shared" ref="C230:H230" si="17">C216/C501</f>
        <v>4.0446329357705577E-2</v>
      </c>
      <c r="D230" s="61">
        <f t="shared" si="17"/>
        <v>4.4607060720679291E-2</v>
      </c>
      <c r="E230" s="61">
        <f t="shared" si="17"/>
        <v>5.0217018174871356E-2</v>
      </c>
      <c r="F230" s="61">
        <f t="shared" si="17"/>
        <v>3.9837071904133256E-2</v>
      </c>
      <c r="G230" s="61">
        <f t="shared" si="17"/>
        <v>4.708235382065315E-2</v>
      </c>
      <c r="H230" s="61">
        <f t="shared" si="17"/>
        <v>7.6404992709517783E-2</v>
      </c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</row>
    <row r="231" spans="2:21" x14ac:dyDescent="0.3">
      <c r="C231" s="59"/>
      <c r="D231" s="59"/>
      <c r="E231" s="46"/>
      <c r="F231" s="46"/>
      <c r="G231" s="46"/>
      <c r="H231" s="46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</row>
    <row r="232" spans="2:21" s="68" customFormat="1" x14ac:dyDescent="0.3">
      <c r="C232" s="69"/>
      <c r="D232" s="69"/>
      <c r="E232" s="69"/>
      <c r="F232" s="69"/>
      <c r="G232" s="69"/>
      <c r="H232" s="69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</row>
    <row r="233" spans="2:21" x14ac:dyDescent="0.3">
      <c r="C233" s="59"/>
      <c r="D233" s="59"/>
      <c r="E233" s="46"/>
      <c r="F233" s="46"/>
      <c r="G233" s="46"/>
      <c r="H233" s="46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</row>
    <row r="234" spans="2:21" x14ac:dyDescent="0.3">
      <c r="B234" t="s">
        <v>27</v>
      </c>
      <c r="C234" s="22">
        <v>45546349</v>
      </c>
      <c r="D234" s="22">
        <v>55406535</v>
      </c>
      <c r="E234" s="22">
        <v>46101232</v>
      </c>
      <c r="F234" s="22">
        <v>115358732</v>
      </c>
      <c r="G234" s="22">
        <v>56777465</v>
      </c>
      <c r="H234" s="22">
        <v>78597120</v>
      </c>
      <c r="I234" s="49">
        <f>I305*I248</f>
        <v>52339149.030000001</v>
      </c>
      <c r="J234" s="49">
        <f>J305*J248</f>
        <v>94799283.6805875</v>
      </c>
      <c r="K234" s="49">
        <f>K305*K248</f>
        <v>109019176.23267561</v>
      </c>
      <c r="L234" s="49">
        <f>L305*L248</f>
        <v>125372052.66757694</v>
      </c>
      <c r="M234" s="49"/>
      <c r="N234" s="33">
        <v>37516912</v>
      </c>
      <c r="O234" s="49"/>
      <c r="P234" s="22">
        <v>61871953</v>
      </c>
      <c r="Q234" s="22">
        <v>78597120</v>
      </c>
      <c r="R234" s="35"/>
      <c r="S234" s="35"/>
      <c r="T234" s="35"/>
      <c r="U234" s="35"/>
    </row>
    <row r="235" spans="2:21" x14ac:dyDescent="0.3">
      <c r="C235" s="59"/>
      <c r="D235" s="59"/>
      <c r="E235" s="46"/>
      <c r="F235" s="46"/>
      <c r="G235" s="46"/>
      <c r="H235" s="46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</row>
    <row r="236" spans="2:21" x14ac:dyDescent="0.3">
      <c r="B236" t="s">
        <v>250</v>
      </c>
      <c r="C236" s="71"/>
      <c r="D236" s="71"/>
      <c r="E236" s="48"/>
      <c r="F236" s="48"/>
      <c r="G236" s="48"/>
      <c r="H236" s="48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</row>
    <row r="237" spans="2:21" x14ac:dyDescent="0.3">
      <c r="B237" s="20" t="s">
        <v>251</v>
      </c>
      <c r="C237" s="26">
        <v>40199840</v>
      </c>
      <c r="D237" s="26">
        <v>39866912</v>
      </c>
      <c r="E237" s="22">
        <v>31213972</v>
      </c>
      <c r="F237" s="22">
        <v>11241860</v>
      </c>
      <c r="G237" s="22">
        <v>33393537</v>
      </c>
      <c r="H237" s="23">
        <v>35944930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</row>
    <row r="238" spans="2:21" x14ac:dyDescent="0.3">
      <c r="B238" s="20" t="s">
        <v>252</v>
      </c>
      <c r="C238" s="26">
        <v>4601606</v>
      </c>
      <c r="D238" s="26">
        <v>14517678</v>
      </c>
      <c r="E238" s="22">
        <v>8247155</v>
      </c>
      <c r="F238" s="22">
        <v>5323929</v>
      </c>
      <c r="G238" s="22">
        <v>6398973</v>
      </c>
      <c r="H238" s="22">
        <v>30548569</v>
      </c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</row>
    <row r="239" spans="2:21" x14ac:dyDescent="0.3">
      <c r="B239" s="20" t="s">
        <v>253</v>
      </c>
      <c r="C239" s="26">
        <v>744903</v>
      </c>
      <c r="D239" s="26">
        <v>1021945</v>
      </c>
      <c r="E239" s="22">
        <v>1481327</v>
      </c>
      <c r="F239" s="22">
        <v>1275457</v>
      </c>
      <c r="G239" s="22">
        <v>1834097</v>
      </c>
      <c r="H239" s="22">
        <v>5773115</v>
      </c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</row>
    <row r="240" spans="2:21" x14ac:dyDescent="0.3">
      <c r="B240" t="s">
        <v>254</v>
      </c>
      <c r="C240" s="71"/>
      <c r="D240" s="71"/>
      <c r="E240" s="48"/>
      <c r="F240" s="48"/>
      <c r="G240" s="48"/>
      <c r="H240" s="48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</row>
    <row r="241" spans="2:21" x14ac:dyDescent="0.3">
      <c r="B241" s="20" t="s">
        <v>251</v>
      </c>
      <c r="C241" s="59"/>
      <c r="D241" s="59"/>
      <c r="E241" s="22">
        <v>0</v>
      </c>
      <c r="F241" s="22">
        <v>94405316</v>
      </c>
      <c r="G241" s="22">
        <v>13105398</v>
      </c>
      <c r="H241" s="22">
        <v>0</v>
      </c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</row>
    <row r="242" spans="2:21" x14ac:dyDescent="0.3">
      <c r="B242" s="20" t="s">
        <v>252</v>
      </c>
      <c r="C242" s="59"/>
      <c r="D242" s="59"/>
      <c r="E242" s="22">
        <v>0</v>
      </c>
      <c r="F242" s="22">
        <v>0</v>
      </c>
      <c r="G242" s="22">
        <v>0</v>
      </c>
      <c r="H242" s="22">
        <v>0</v>
      </c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</row>
    <row r="243" spans="2:21" x14ac:dyDescent="0.3">
      <c r="B243" s="20" t="s">
        <v>253</v>
      </c>
      <c r="C243" s="59"/>
      <c r="D243" s="59"/>
      <c r="E243" s="22">
        <v>5158778</v>
      </c>
      <c r="F243" s="22">
        <v>3112170</v>
      </c>
      <c r="G243" s="22">
        <v>2045460</v>
      </c>
      <c r="H243" s="22">
        <v>6330506</v>
      </c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</row>
    <row r="244" spans="2:21" x14ac:dyDescent="0.3">
      <c r="C244" s="59"/>
      <c r="D244" s="59"/>
      <c r="E244" s="46"/>
      <c r="F244" s="46"/>
      <c r="G244" s="46"/>
      <c r="H244" s="46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</row>
    <row r="245" spans="2:21" s="28" customFormat="1" x14ac:dyDescent="0.3">
      <c r="B245" s="72" t="s">
        <v>145</v>
      </c>
      <c r="C245" s="46">
        <f t="shared" ref="C245:H245" si="18">SUM(C237:C239)+SUM(C241:C243)-C234</f>
        <v>0</v>
      </c>
      <c r="D245" s="46">
        <f t="shared" si="18"/>
        <v>0</v>
      </c>
      <c r="E245" s="46">
        <f t="shared" si="18"/>
        <v>0</v>
      </c>
      <c r="F245" s="46">
        <f t="shared" si="18"/>
        <v>0</v>
      </c>
      <c r="G245" s="46">
        <f t="shared" si="18"/>
        <v>0</v>
      </c>
      <c r="H245" s="46">
        <f t="shared" si="18"/>
        <v>0</v>
      </c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</row>
    <row r="246" spans="2:21" x14ac:dyDescent="0.3">
      <c r="C246" s="59"/>
      <c r="D246" s="59"/>
      <c r="E246" s="46"/>
      <c r="F246" s="46"/>
      <c r="G246" s="46"/>
      <c r="H246" s="46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</row>
    <row r="247" spans="2:21" x14ac:dyDescent="0.3">
      <c r="B247" t="s">
        <v>322</v>
      </c>
      <c r="C247" s="61">
        <f>C234/FS!C67</f>
        <v>5.3129527464463963E-2</v>
      </c>
      <c r="D247" s="61">
        <f>D234/FS!D67</f>
        <v>5.5720190919710914E-2</v>
      </c>
      <c r="E247" s="61">
        <f>E234/FS!E67</f>
        <v>4.312627030659013E-2</v>
      </c>
      <c r="F247" s="61">
        <f>F234/FS!G67</f>
        <v>8.9660548466241025E-2</v>
      </c>
      <c r="G247" s="61">
        <f>G234/FS!H67</f>
        <v>3.8554872486811539E-2</v>
      </c>
      <c r="H247" s="61">
        <f>H234/FS!I67</f>
        <v>3.9740802385006352E-2</v>
      </c>
      <c r="I247" s="86">
        <v>3.9E-2</v>
      </c>
      <c r="J247" s="86">
        <v>3.9E-2</v>
      </c>
      <c r="K247" s="86">
        <v>3.9E-2</v>
      </c>
      <c r="L247" s="86">
        <v>3.9E-2</v>
      </c>
      <c r="M247" s="35"/>
      <c r="N247" s="35"/>
      <c r="O247" s="35"/>
      <c r="P247" s="35"/>
      <c r="Q247" s="35"/>
      <c r="R247" s="35"/>
      <c r="S247" s="35"/>
      <c r="T247" s="35"/>
      <c r="U247" s="35"/>
    </row>
    <row r="248" spans="2:21" x14ac:dyDescent="0.3">
      <c r="B248" t="s">
        <v>326</v>
      </c>
      <c r="C248" s="61">
        <f t="shared" ref="C248:H248" si="19">C234/C305</f>
        <v>5.9893632978850628E-2</v>
      </c>
      <c r="D248" s="61">
        <f t="shared" si="19"/>
        <v>6.1702964941940192E-2</v>
      </c>
      <c r="E248" s="61">
        <f t="shared" si="19"/>
        <v>4.9531943645745292E-2</v>
      </c>
      <c r="F248" s="61">
        <f t="shared" si="19"/>
        <v>0.11993308566837332</v>
      </c>
      <c r="G248" s="61">
        <f t="shared" si="19"/>
        <v>5.1854839363275902E-2</v>
      </c>
      <c r="H248" s="61">
        <f t="shared" si="19"/>
        <v>6.3070934495092226E-2</v>
      </c>
      <c r="I248" s="86">
        <v>0.04</v>
      </c>
      <c r="J248" s="86">
        <v>6.3E-2</v>
      </c>
      <c r="K248" s="86">
        <v>6.3E-2</v>
      </c>
      <c r="L248" s="86">
        <v>6.3E-2</v>
      </c>
      <c r="M248" s="35"/>
      <c r="N248" s="35"/>
      <c r="O248" s="35"/>
      <c r="P248" s="35"/>
      <c r="Q248" s="35"/>
      <c r="R248" s="35"/>
      <c r="S248" s="35"/>
      <c r="T248" s="35"/>
      <c r="U248" s="35"/>
    </row>
    <row r="249" spans="2:21" x14ac:dyDescent="0.3">
      <c r="C249" s="59"/>
      <c r="D249" s="59"/>
      <c r="E249" s="46"/>
      <c r="F249" s="46"/>
      <c r="G249" s="46"/>
      <c r="H249" s="46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</row>
    <row r="250" spans="2:21" s="68" customFormat="1" x14ac:dyDescent="0.3">
      <c r="C250" s="69"/>
      <c r="D250" s="69"/>
      <c r="E250" s="69"/>
      <c r="F250" s="69"/>
      <c r="G250" s="69"/>
      <c r="H250" s="69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</row>
    <row r="251" spans="2:21" x14ac:dyDescent="0.3">
      <c r="C251" s="59"/>
      <c r="D251" s="59"/>
      <c r="E251" s="46"/>
      <c r="F251" s="46"/>
      <c r="G251" s="46"/>
      <c r="H251" s="46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</row>
    <row r="252" spans="2:21" x14ac:dyDescent="0.3">
      <c r="B252" t="s">
        <v>28</v>
      </c>
      <c r="C252" s="22">
        <v>17633269</v>
      </c>
      <c r="D252" s="22">
        <v>19898515</v>
      </c>
      <c r="E252" s="22">
        <v>24903809</v>
      </c>
      <c r="F252" s="22">
        <v>16421867</v>
      </c>
      <c r="G252" s="22">
        <v>12498709</v>
      </c>
      <c r="H252" s="22">
        <v>96082937</v>
      </c>
      <c r="I252" s="49">
        <f>H252*(1+I260)</f>
        <v>76866349.600000009</v>
      </c>
      <c r="J252" s="49">
        <f>I252*(1+J260)</f>
        <v>80709667.080000013</v>
      </c>
      <c r="K252" s="49">
        <f>J252*(1+K260)</f>
        <v>84745150.434000015</v>
      </c>
      <c r="L252" s="49">
        <f>K252*(1+L260)</f>
        <v>88982407.955700025</v>
      </c>
      <c r="M252" s="49"/>
      <c r="N252" s="33">
        <v>66538167</v>
      </c>
      <c r="O252" s="49"/>
      <c r="P252" s="22">
        <v>53920816</v>
      </c>
      <c r="Q252" s="22">
        <v>96082937</v>
      </c>
      <c r="R252" s="35"/>
      <c r="S252" s="35"/>
      <c r="T252" s="35"/>
      <c r="U252" s="35"/>
    </row>
    <row r="253" spans="2:21" x14ac:dyDescent="0.3">
      <c r="C253" s="59"/>
      <c r="D253" s="59"/>
      <c r="E253" s="46"/>
      <c r="F253" s="46"/>
      <c r="G253" s="46"/>
      <c r="H253" s="46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</row>
    <row r="254" spans="2:21" x14ac:dyDescent="0.3">
      <c r="B254" t="s">
        <v>255</v>
      </c>
      <c r="C254" s="59"/>
      <c r="D254" s="59"/>
      <c r="E254" s="22">
        <v>14395454</v>
      </c>
      <c r="F254" s="22">
        <v>10759821</v>
      </c>
      <c r="G254" s="22">
        <v>10173165</v>
      </c>
      <c r="H254" s="46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</row>
    <row r="255" spans="2:21" x14ac:dyDescent="0.3">
      <c r="B255" t="s">
        <v>256</v>
      </c>
      <c r="C255" s="59"/>
      <c r="D255" s="59"/>
      <c r="E255" s="22">
        <v>10516976</v>
      </c>
      <c r="F255" s="22">
        <v>5665092</v>
      </c>
      <c r="G255" s="22">
        <v>2362769</v>
      </c>
      <c r="H255" s="22">
        <v>96117256</v>
      </c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</row>
    <row r="256" spans="2:21" x14ac:dyDescent="0.3">
      <c r="B256" t="s">
        <v>257</v>
      </c>
      <c r="C256" s="59"/>
      <c r="D256" s="59"/>
      <c r="E256" s="22">
        <v>8621</v>
      </c>
      <c r="F256" s="22">
        <v>3046</v>
      </c>
      <c r="G256" s="22">
        <v>37225</v>
      </c>
      <c r="H256" s="22">
        <v>34319</v>
      </c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</row>
    <row r="257" spans="2:21" x14ac:dyDescent="0.3">
      <c r="C257" s="59"/>
      <c r="D257" s="59"/>
      <c r="E257" s="46"/>
      <c r="F257" s="46"/>
      <c r="G257" s="46"/>
      <c r="H257" s="46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</row>
    <row r="258" spans="2:21" s="28" customFormat="1" x14ac:dyDescent="0.3">
      <c r="B258" s="28" t="s">
        <v>145</v>
      </c>
      <c r="C258" s="46">
        <f t="shared" ref="C258:H258" si="20">C254+C255-C256-C252</f>
        <v>-17633269</v>
      </c>
      <c r="D258" s="46">
        <f t="shared" si="20"/>
        <v>-19898515</v>
      </c>
      <c r="E258" s="46">
        <f t="shared" si="20"/>
        <v>0</v>
      </c>
      <c r="F258" s="46">
        <f t="shared" si="20"/>
        <v>0</v>
      </c>
      <c r="G258" s="46">
        <f t="shared" si="20"/>
        <v>0</v>
      </c>
      <c r="H258" s="46">
        <f t="shared" si="20"/>
        <v>0</v>
      </c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</row>
    <row r="259" spans="2:21" x14ac:dyDescent="0.3">
      <c r="C259" s="59"/>
      <c r="D259" s="59"/>
      <c r="E259" s="46"/>
      <c r="F259" s="46"/>
      <c r="G259" s="46"/>
      <c r="H259" s="46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</row>
    <row r="260" spans="2:21" x14ac:dyDescent="0.3">
      <c r="B260" t="s">
        <v>312</v>
      </c>
      <c r="C260" s="59"/>
      <c r="D260" s="60">
        <f>D252/C252-1</f>
        <v>0.12846432502107241</v>
      </c>
      <c r="E260" s="60">
        <f>E252/D252-1</f>
        <v>0.25154108233704875</v>
      </c>
      <c r="F260" s="60">
        <f>F252/E252-1</f>
        <v>-0.34058814055311781</v>
      </c>
      <c r="G260" s="60">
        <f>G252/F252-1</f>
        <v>-0.23889841514366184</v>
      </c>
      <c r="H260" s="60">
        <f>H252/G252-1</f>
        <v>6.6874289176586155</v>
      </c>
      <c r="I260" s="85">
        <v>-0.2</v>
      </c>
      <c r="J260" s="85">
        <v>0.05</v>
      </c>
      <c r="K260" s="85">
        <v>0.05</v>
      </c>
      <c r="L260" s="85">
        <v>0.05</v>
      </c>
      <c r="M260" s="35"/>
      <c r="N260" s="35"/>
      <c r="O260" s="35"/>
      <c r="P260" s="35"/>
      <c r="Q260" s="35"/>
      <c r="R260" s="35"/>
      <c r="S260" s="35"/>
      <c r="T260" s="35"/>
      <c r="U260" s="35"/>
    </row>
    <row r="261" spans="2:21" x14ac:dyDescent="0.3">
      <c r="C261" s="59"/>
      <c r="D261" s="59"/>
      <c r="E261" s="46"/>
      <c r="F261" s="46"/>
      <c r="G261" s="46"/>
      <c r="H261" s="46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</row>
    <row r="262" spans="2:21" s="68" customFormat="1" x14ac:dyDescent="0.3">
      <c r="C262" s="69"/>
      <c r="D262" s="69"/>
      <c r="E262" s="69"/>
      <c r="F262" s="69"/>
      <c r="G262" s="69"/>
      <c r="H262" s="69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</row>
    <row r="263" spans="2:21" x14ac:dyDescent="0.3">
      <c r="C263" s="59"/>
      <c r="D263" s="59"/>
      <c r="E263" s="46"/>
      <c r="F263" s="46"/>
      <c r="G263" s="46"/>
      <c r="H263" s="46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</row>
    <row r="264" spans="2:21" x14ac:dyDescent="0.3">
      <c r="B264" t="s">
        <v>29</v>
      </c>
      <c r="C264" s="22">
        <v>0</v>
      </c>
      <c r="D264" s="22">
        <v>9513512</v>
      </c>
      <c r="E264" s="22">
        <v>13147534</v>
      </c>
      <c r="F264" s="22">
        <v>0</v>
      </c>
      <c r="G264" s="22">
        <v>3000490</v>
      </c>
      <c r="H264" s="22">
        <v>1517308</v>
      </c>
      <c r="I264" s="49">
        <f>H264*(1+I265)</f>
        <v>606923.20000000007</v>
      </c>
      <c r="J264" s="49">
        <f>I264*(1+J265)</f>
        <v>637269.3600000001</v>
      </c>
      <c r="K264" s="49">
        <f>J264*(1+K265)</f>
        <v>669132.8280000001</v>
      </c>
      <c r="L264" s="49">
        <f>K264*(1+L265)</f>
        <v>702589.46940000018</v>
      </c>
      <c r="M264" s="49"/>
      <c r="N264" s="33">
        <v>549770</v>
      </c>
      <c r="O264" s="49"/>
      <c r="P264" s="22">
        <v>3378561</v>
      </c>
      <c r="Q264" s="22">
        <v>1517308</v>
      </c>
      <c r="R264" s="35"/>
      <c r="S264" s="35"/>
      <c r="T264" s="35"/>
      <c r="U264" s="35"/>
    </row>
    <row r="265" spans="2:21" x14ac:dyDescent="0.3">
      <c r="B265" t="s">
        <v>312</v>
      </c>
      <c r="C265" s="59"/>
      <c r="D265" s="60" t="e">
        <f>D264/C264-1</f>
        <v>#DIV/0!</v>
      </c>
      <c r="E265" s="60">
        <f>E264/D264-1</f>
        <v>0.3819853278158476</v>
      </c>
      <c r="F265" s="60">
        <f>F264/E264-1</f>
        <v>-1</v>
      </c>
      <c r="G265" s="60" t="e">
        <f>G264/F264-1</f>
        <v>#DIV/0!</v>
      </c>
      <c r="H265" s="60">
        <f>H264/G264-1</f>
        <v>-0.49431326216717941</v>
      </c>
      <c r="I265" s="85">
        <v>-0.6</v>
      </c>
      <c r="J265" s="85">
        <v>0.05</v>
      </c>
      <c r="K265" s="85">
        <v>0.05</v>
      </c>
      <c r="L265" s="85">
        <v>0.05</v>
      </c>
      <c r="M265" s="35"/>
      <c r="N265" s="35"/>
      <c r="O265" s="35"/>
      <c r="P265" s="35"/>
      <c r="Q265" s="35"/>
      <c r="R265" s="35"/>
      <c r="S265" s="35"/>
      <c r="T265" s="35"/>
      <c r="U265" s="35"/>
    </row>
    <row r="266" spans="2:21" x14ac:dyDescent="0.3">
      <c r="B266" t="s">
        <v>30</v>
      </c>
      <c r="C266" s="26">
        <v>2334536</v>
      </c>
      <c r="D266" s="26">
        <v>7909962</v>
      </c>
      <c r="E266" s="22">
        <v>1830927</v>
      </c>
      <c r="F266" s="22">
        <v>2636717</v>
      </c>
      <c r="G266" s="22">
        <v>3245120</v>
      </c>
      <c r="H266" s="22">
        <v>8345091</v>
      </c>
      <c r="I266" s="49">
        <f>H266*(1+I267)</f>
        <v>5841563.6999999993</v>
      </c>
      <c r="J266" s="49">
        <f>I266*(1+J267)</f>
        <v>6133641.8849999998</v>
      </c>
      <c r="K266" s="49">
        <f>J266*(1+K267)</f>
        <v>6440323.9792499999</v>
      </c>
      <c r="L266" s="49">
        <f>K266*(1+L267)</f>
        <v>6762340.1782125002</v>
      </c>
      <c r="M266" s="49"/>
      <c r="N266" s="33">
        <v>6091290</v>
      </c>
      <c r="O266" s="49"/>
      <c r="P266" s="22">
        <v>7032972</v>
      </c>
      <c r="Q266" s="22">
        <v>8345091</v>
      </c>
      <c r="R266" s="35"/>
      <c r="S266" s="35"/>
      <c r="T266" s="35"/>
      <c r="U266" s="35"/>
    </row>
    <row r="267" spans="2:21" x14ac:dyDescent="0.3">
      <c r="B267" t="s">
        <v>312</v>
      </c>
      <c r="C267" s="59"/>
      <c r="D267" s="60">
        <f>D266/C266-1</f>
        <v>2.3882373199642242</v>
      </c>
      <c r="E267" s="60">
        <f>E266/D266-1</f>
        <v>-0.76852897649824359</v>
      </c>
      <c r="F267" s="60">
        <f>F266/E266-1</f>
        <v>0.44009946873905958</v>
      </c>
      <c r="G267" s="60">
        <f>G266/F266-1</f>
        <v>0.23074262425584546</v>
      </c>
      <c r="H267" s="60">
        <f>H266/G266-1</f>
        <v>1.5715816364263882</v>
      </c>
      <c r="I267" s="85">
        <v>-0.3</v>
      </c>
      <c r="J267" s="85">
        <v>0.05</v>
      </c>
      <c r="K267" s="85">
        <v>0.05</v>
      </c>
      <c r="L267" s="85">
        <v>0.05</v>
      </c>
      <c r="M267" s="35"/>
      <c r="N267" s="35"/>
      <c r="O267" s="35"/>
      <c r="P267" s="35"/>
      <c r="Q267" s="35"/>
      <c r="R267" s="35"/>
      <c r="S267" s="35"/>
      <c r="T267" s="35"/>
      <c r="U267" s="35"/>
    </row>
    <row r="268" spans="2:21" x14ac:dyDescent="0.3">
      <c r="C268" s="59"/>
      <c r="D268" s="59"/>
      <c r="E268" s="46"/>
      <c r="F268" s="46"/>
      <c r="G268" s="46"/>
      <c r="H268" s="46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</row>
    <row r="269" spans="2:21" s="68" customFormat="1" x14ac:dyDescent="0.3">
      <c r="C269" s="69"/>
      <c r="D269" s="69"/>
      <c r="E269" s="69"/>
      <c r="F269" s="69"/>
      <c r="G269" s="69"/>
      <c r="H269" s="69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</row>
    <row r="270" spans="2:21" x14ac:dyDescent="0.3">
      <c r="C270" s="59"/>
      <c r="D270" s="59"/>
      <c r="E270" s="46"/>
      <c r="F270" s="46"/>
      <c r="G270" s="46"/>
      <c r="H270" s="46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</row>
    <row r="271" spans="2:21" x14ac:dyDescent="0.3">
      <c r="B271" t="s">
        <v>31</v>
      </c>
      <c r="C271" s="26">
        <v>4410913</v>
      </c>
      <c r="D271" s="26">
        <v>5520167</v>
      </c>
      <c r="E271" s="22">
        <v>21468033</v>
      </c>
      <c r="F271" s="22">
        <v>35189471</v>
      </c>
      <c r="G271" s="22">
        <v>23436123</v>
      </c>
      <c r="H271" s="22">
        <v>24873057</v>
      </c>
      <c r="I271" s="49">
        <f>I273+I276</f>
        <v>98932873</v>
      </c>
      <c r="J271" s="49">
        <f>J273+J276</f>
        <v>155960062.40000001</v>
      </c>
      <c r="K271" s="49">
        <f>K273+K276</f>
        <v>171556068.64000002</v>
      </c>
      <c r="L271" s="49">
        <f>L273+L276</f>
        <v>188711675.50400004</v>
      </c>
      <c r="M271" s="49"/>
      <c r="N271" s="33">
        <v>98042540</v>
      </c>
      <c r="O271" s="49"/>
      <c r="P271" s="22">
        <v>50791983</v>
      </c>
      <c r="Q271" s="22">
        <v>24873057</v>
      </c>
      <c r="R271" s="35"/>
      <c r="S271" s="35"/>
      <c r="T271" s="35"/>
      <c r="U271" s="35"/>
    </row>
    <row r="272" spans="2:21" x14ac:dyDescent="0.3">
      <c r="C272" s="59"/>
      <c r="D272" s="59"/>
      <c r="E272" s="46"/>
      <c r="F272" s="46"/>
      <c r="G272" s="46"/>
      <c r="H272" s="46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</row>
    <row r="273" spans="2:21" x14ac:dyDescent="0.3">
      <c r="B273" t="s">
        <v>258</v>
      </c>
      <c r="C273" s="40">
        <f t="shared" ref="C273:H273" si="21">C274+C275</f>
        <v>4096168</v>
      </c>
      <c r="D273" s="40">
        <f t="shared" si="21"/>
        <v>4751360</v>
      </c>
      <c r="E273" s="40">
        <f t="shared" si="21"/>
        <v>20484895</v>
      </c>
      <c r="F273" s="40">
        <f t="shared" si="21"/>
        <v>33867593</v>
      </c>
      <c r="G273" s="40">
        <f t="shared" si="21"/>
        <v>21839251</v>
      </c>
      <c r="H273" s="40">
        <f t="shared" si="21"/>
        <v>22848251</v>
      </c>
      <c r="I273" s="40">
        <f>SUM(I274:I275)</f>
        <v>90833649</v>
      </c>
      <c r="J273" s="40">
        <f>SUM(J274:J275)</f>
        <v>139761614.40000001</v>
      </c>
      <c r="K273" s="40">
        <f>SUM(K274:K275)</f>
        <v>153737775.84</v>
      </c>
      <c r="L273" s="40">
        <f>SUM(L274:L275)</f>
        <v>169111553.42400002</v>
      </c>
      <c r="M273" s="35"/>
      <c r="N273" s="35"/>
      <c r="O273" s="35"/>
      <c r="P273" s="35"/>
      <c r="Q273" s="35"/>
      <c r="R273" s="35"/>
      <c r="S273" s="35"/>
      <c r="T273" s="35"/>
      <c r="U273" s="35"/>
    </row>
    <row r="274" spans="2:21" x14ac:dyDescent="0.3">
      <c r="B274" s="20" t="s">
        <v>259</v>
      </c>
      <c r="C274" s="26">
        <v>933056</v>
      </c>
      <c r="D274" s="26">
        <v>3669706</v>
      </c>
      <c r="E274" s="22">
        <v>15715187</v>
      </c>
      <c r="F274" s="22">
        <v>7641631</v>
      </c>
      <c r="G274" s="22">
        <v>7565140</v>
      </c>
      <c r="H274" s="22">
        <v>11703803</v>
      </c>
      <c r="I274" s="49">
        <f t="shared" ref="I274:L276" si="22">H274*(1+I280)</f>
        <v>35111409</v>
      </c>
      <c r="J274" s="49">
        <f t="shared" si="22"/>
        <v>56178254.400000006</v>
      </c>
      <c r="K274" s="49">
        <f t="shared" si="22"/>
        <v>61796079.840000011</v>
      </c>
      <c r="L274" s="49">
        <f t="shared" si="22"/>
        <v>67975687.824000016</v>
      </c>
      <c r="M274" s="35"/>
      <c r="N274" s="35"/>
      <c r="O274" s="35"/>
      <c r="P274" s="35"/>
      <c r="Q274" s="35"/>
      <c r="R274" s="35"/>
      <c r="S274" s="35"/>
      <c r="T274" s="35"/>
      <c r="U274" s="35"/>
    </row>
    <row r="275" spans="2:21" x14ac:dyDescent="0.3">
      <c r="B275" s="20" t="s">
        <v>260</v>
      </c>
      <c r="C275" s="26">
        <v>3163112</v>
      </c>
      <c r="D275" s="26">
        <v>1081654</v>
      </c>
      <c r="E275" s="22">
        <v>4769708</v>
      </c>
      <c r="F275" s="22">
        <v>26225962</v>
      </c>
      <c r="G275" s="22">
        <v>14274111</v>
      </c>
      <c r="H275" s="22">
        <v>11144448</v>
      </c>
      <c r="I275" s="49">
        <f t="shared" si="22"/>
        <v>55722240</v>
      </c>
      <c r="J275" s="49">
        <f t="shared" si="22"/>
        <v>83583360</v>
      </c>
      <c r="K275" s="49">
        <f t="shared" si="22"/>
        <v>91941696</v>
      </c>
      <c r="L275" s="49">
        <f t="shared" si="22"/>
        <v>101135865.60000001</v>
      </c>
      <c r="M275" s="35"/>
      <c r="N275" s="35"/>
      <c r="O275" s="35"/>
      <c r="P275" s="35"/>
      <c r="Q275" s="35"/>
      <c r="R275" s="35"/>
      <c r="S275" s="35"/>
      <c r="T275" s="35"/>
      <c r="U275" s="35"/>
    </row>
    <row r="276" spans="2:21" x14ac:dyDescent="0.3">
      <c r="B276" t="s">
        <v>166</v>
      </c>
      <c r="C276" s="26">
        <v>314745</v>
      </c>
      <c r="D276" s="26">
        <v>768807</v>
      </c>
      <c r="E276" s="22">
        <v>983138</v>
      </c>
      <c r="F276" s="22">
        <v>1321878</v>
      </c>
      <c r="G276" s="22">
        <v>1596872</v>
      </c>
      <c r="H276" s="22">
        <v>2024806</v>
      </c>
      <c r="I276" s="49">
        <f t="shared" si="22"/>
        <v>8099224</v>
      </c>
      <c r="J276" s="49">
        <f t="shared" si="22"/>
        <v>16198448</v>
      </c>
      <c r="K276" s="49">
        <f t="shared" si="22"/>
        <v>17818292.800000001</v>
      </c>
      <c r="L276" s="49">
        <f t="shared" si="22"/>
        <v>19600122.080000002</v>
      </c>
      <c r="M276" s="35"/>
      <c r="N276" s="35"/>
      <c r="O276" s="35"/>
      <c r="P276" s="35"/>
      <c r="Q276" s="35"/>
      <c r="R276" s="35"/>
      <c r="S276" s="35"/>
      <c r="T276" s="35"/>
      <c r="U276" s="35"/>
    </row>
    <row r="277" spans="2:21" x14ac:dyDescent="0.3">
      <c r="C277" s="59"/>
      <c r="D277" s="59"/>
      <c r="E277" s="46"/>
      <c r="F277" s="46"/>
      <c r="G277" s="46"/>
      <c r="H277" s="46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</row>
    <row r="278" spans="2:21" s="28" customFormat="1" x14ac:dyDescent="0.3">
      <c r="B278" s="28" t="s">
        <v>145</v>
      </c>
      <c r="C278" s="46">
        <f t="shared" ref="C278:H278" si="23">SUM(C274:C276)-C271</f>
        <v>0</v>
      </c>
      <c r="D278" s="46">
        <f t="shared" si="23"/>
        <v>0</v>
      </c>
      <c r="E278" s="46">
        <f t="shared" si="23"/>
        <v>0</v>
      </c>
      <c r="F278" s="46">
        <f t="shared" si="23"/>
        <v>0</v>
      </c>
      <c r="G278" s="46">
        <f t="shared" si="23"/>
        <v>0</v>
      </c>
      <c r="H278" s="46">
        <f t="shared" si="23"/>
        <v>0</v>
      </c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</row>
    <row r="279" spans="2:21" x14ac:dyDescent="0.3">
      <c r="C279" s="59"/>
      <c r="D279" s="59"/>
      <c r="E279" s="46"/>
      <c r="F279" s="46"/>
      <c r="G279" s="46"/>
      <c r="H279" s="46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</row>
    <row r="280" spans="2:21" x14ac:dyDescent="0.3">
      <c r="B280" t="s">
        <v>320</v>
      </c>
      <c r="C280"/>
      <c r="D280" s="60">
        <f t="shared" ref="D280:G282" si="24">D274/C274-1</f>
        <v>2.9329965189656355</v>
      </c>
      <c r="E280" s="60">
        <f t="shared" si="24"/>
        <v>3.2824103620290019</v>
      </c>
      <c r="F280" s="60">
        <f t="shared" si="24"/>
        <v>-0.51374227999959532</v>
      </c>
      <c r="G280" s="60">
        <f t="shared" si="24"/>
        <v>-1.0009774091421009E-2</v>
      </c>
      <c r="H280" s="60">
        <f>H274/G274-1</f>
        <v>0.54707024589102127</v>
      </c>
      <c r="I280" s="85">
        <v>2</v>
      </c>
      <c r="J280" s="85">
        <v>0.6</v>
      </c>
      <c r="K280" s="85">
        <v>0.1</v>
      </c>
      <c r="L280" s="85">
        <v>0.1</v>
      </c>
      <c r="M280" s="35"/>
      <c r="N280" s="35"/>
      <c r="O280" s="35"/>
      <c r="P280" s="35"/>
      <c r="Q280" s="35"/>
      <c r="R280" s="35"/>
      <c r="S280" s="35"/>
      <c r="T280" s="35"/>
      <c r="U280" s="35"/>
    </row>
    <row r="281" spans="2:21" x14ac:dyDescent="0.3">
      <c r="B281" t="s">
        <v>321</v>
      </c>
      <c r="C281" s="59"/>
      <c r="D281" s="60">
        <f t="shared" si="24"/>
        <v>-0.658041194873909</v>
      </c>
      <c r="E281" s="60">
        <f t="shared" si="24"/>
        <v>3.4096430096870165</v>
      </c>
      <c r="F281" s="60">
        <f t="shared" si="24"/>
        <v>4.4984418333365479</v>
      </c>
      <c r="G281" s="60">
        <f t="shared" si="24"/>
        <v>-0.45572593295147767</v>
      </c>
      <c r="H281" s="60">
        <f>H275/G275-1</f>
        <v>-0.21925449507853767</v>
      </c>
      <c r="I281" s="85">
        <v>4</v>
      </c>
      <c r="J281" s="85">
        <v>0.5</v>
      </c>
      <c r="K281" s="85">
        <v>0.1</v>
      </c>
      <c r="L281" s="85">
        <v>0.1</v>
      </c>
      <c r="M281" s="35"/>
      <c r="N281" s="35"/>
      <c r="O281" s="35"/>
      <c r="P281" s="35"/>
      <c r="Q281" s="35"/>
      <c r="R281" s="35"/>
      <c r="S281" s="35"/>
      <c r="T281" s="35"/>
      <c r="U281" s="35"/>
    </row>
    <row r="282" spans="2:21" x14ac:dyDescent="0.3">
      <c r="B282" t="s">
        <v>319</v>
      </c>
      <c r="C282" s="59"/>
      <c r="D282" s="60">
        <f t="shared" si="24"/>
        <v>1.4426345136539105</v>
      </c>
      <c r="E282" s="60">
        <f t="shared" si="24"/>
        <v>0.2787838820406161</v>
      </c>
      <c r="F282" s="60">
        <f t="shared" si="24"/>
        <v>0.34454979870577684</v>
      </c>
      <c r="G282" s="60">
        <f t="shared" si="24"/>
        <v>0.20803281392080053</v>
      </c>
      <c r="H282" s="60">
        <f>H276/G276-1</f>
        <v>0.26798265609266125</v>
      </c>
      <c r="I282" s="85">
        <v>3</v>
      </c>
      <c r="J282" s="85">
        <v>1</v>
      </c>
      <c r="K282" s="85">
        <v>0.1</v>
      </c>
      <c r="L282" s="85">
        <v>0.1</v>
      </c>
      <c r="M282" s="35"/>
      <c r="N282" s="35"/>
      <c r="O282" s="35"/>
      <c r="P282" s="35"/>
      <c r="Q282" s="35"/>
      <c r="R282" s="35"/>
      <c r="S282" s="35"/>
      <c r="T282" s="35"/>
      <c r="U282" s="35"/>
    </row>
    <row r="283" spans="2:21" x14ac:dyDescent="0.3">
      <c r="C283" s="59"/>
      <c r="D283" s="59"/>
      <c r="E283" s="46"/>
      <c r="F283" s="46"/>
      <c r="G283" s="46"/>
      <c r="H283" s="46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</row>
    <row r="284" spans="2:21" x14ac:dyDescent="0.3">
      <c r="C284" s="59"/>
      <c r="D284" s="59"/>
      <c r="E284" s="46"/>
      <c r="F284" s="46"/>
      <c r="G284" s="46"/>
      <c r="H284" s="46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</row>
    <row r="285" spans="2:21" x14ac:dyDescent="0.3">
      <c r="C285" s="59"/>
      <c r="D285" s="59"/>
      <c r="E285" s="46"/>
      <c r="F285" s="46"/>
      <c r="G285" s="46"/>
      <c r="H285" s="46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</row>
    <row r="286" spans="2:21" x14ac:dyDescent="0.3">
      <c r="C286" s="59"/>
      <c r="D286" s="59"/>
      <c r="E286" s="46"/>
      <c r="F286" s="46"/>
      <c r="G286" s="46"/>
      <c r="H286" s="46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</row>
    <row r="287" spans="2:21" s="68" customFormat="1" x14ac:dyDescent="0.3">
      <c r="C287" s="69"/>
      <c r="D287" s="69"/>
      <c r="E287" s="69"/>
      <c r="F287" s="69"/>
      <c r="G287" s="69"/>
      <c r="H287" s="69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</row>
    <row r="288" spans="2:21" x14ac:dyDescent="0.3">
      <c r="C288" s="59"/>
      <c r="D288" s="59"/>
      <c r="E288" s="46"/>
      <c r="F288" s="46"/>
      <c r="G288" s="46"/>
      <c r="H288" s="46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</row>
    <row r="289" spans="2:21" x14ac:dyDescent="0.3">
      <c r="B289" t="s">
        <v>32</v>
      </c>
      <c r="C289" s="26">
        <v>742444130</v>
      </c>
      <c r="D289" s="26">
        <v>867611976</v>
      </c>
      <c r="E289" s="22">
        <v>893919311</v>
      </c>
      <c r="F289" s="22">
        <v>909829172</v>
      </c>
      <c r="G289" s="22">
        <v>1029584075</v>
      </c>
      <c r="H289" s="22">
        <v>1155492527</v>
      </c>
      <c r="I289" s="49">
        <f>I320</f>
        <v>1214948666.4333899</v>
      </c>
      <c r="J289" s="49">
        <f>J320</f>
        <v>1426353031.7591887</v>
      </c>
      <c r="K289" s="49">
        <f>K320</f>
        <v>1651207904.1463344</v>
      </c>
      <c r="L289" s="49">
        <f>L320</f>
        <v>1908043239.6455996</v>
      </c>
      <c r="M289" s="35"/>
      <c r="N289" s="33">
        <v>1148276787</v>
      </c>
      <c r="O289" s="35"/>
      <c r="P289" s="35"/>
      <c r="Q289" s="35"/>
      <c r="R289" s="35"/>
      <c r="S289" s="35"/>
      <c r="T289" s="35"/>
      <c r="U289" s="35"/>
    </row>
    <row r="290" spans="2:21" s="28" customFormat="1" x14ac:dyDescent="0.3">
      <c r="B290" s="28" t="s">
        <v>145</v>
      </c>
      <c r="C290" s="46">
        <f t="shared" ref="C290:L290" si="25">SUM(C293:C301)-C315-C289</f>
        <v>0</v>
      </c>
      <c r="D290" s="46">
        <f t="shared" si="25"/>
        <v>0</v>
      </c>
      <c r="E290" s="46">
        <f t="shared" si="25"/>
        <v>0</v>
      </c>
      <c r="F290" s="46">
        <f t="shared" si="25"/>
        <v>0</v>
      </c>
      <c r="G290" s="46">
        <f t="shared" si="25"/>
        <v>0</v>
      </c>
      <c r="H290" s="46">
        <f t="shared" si="25"/>
        <v>0</v>
      </c>
      <c r="I290" s="46">
        <f t="shared" si="25"/>
        <v>0</v>
      </c>
      <c r="J290" s="46">
        <f t="shared" si="25"/>
        <v>0</v>
      </c>
      <c r="K290" s="46">
        <f t="shared" si="25"/>
        <v>0</v>
      </c>
      <c r="L290" s="46">
        <f t="shared" si="25"/>
        <v>0</v>
      </c>
      <c r="M290" s="35"/>
      <c r="N290" s="35"/>
      <c r="O290" s="35"/>
      <c r="P290" s="35"/>
      <c r="Q290" s="35"/>
      <c r="R290" s="35"/>
      <c r="S290" s="35"/>
      <c r="T290" s="35"/>
      <c r="U290" s="35"/>
    </row>
    <row r="291" spans="2:21" x14ac:dyDescent="0.3">
      <c r="C291" s="59"/>
      <c r="D291" s="59"/>
      <c r="E291" s="46"/>
      <c r="F291" s="46"/>
      <c r="G291" s="46"/>
      <c r="H291" s="46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</row>
    <row r="292" spans="2:21" x14ac:dyDescent="0.3">
      <c r="B292" s="2" t="s">
        <v>135</v>
      </c>
      <c r="C292" s="59"/>
      <c r="D292" s="59"/>
      <c r="E292" s="46"/>
      <c r="F292" s="46"/>
      <c r="G292" s="46"/>
      <c r="H292" s="46"/>
      <c r="I292" s="35"/>
      <c r="J292" s="35"/>
      <c r="K292" s="35"/>
      <c r="L292" s="35"/>
      <c r="M292" s="35"/>
      <c r="N292" s="35"/>
      <c r="P292" s="35"/>
      <c r="Q292" s="80" t="s">
        <v>307</v>
      </c>
      <c r="R292" s="35"/>
      <c r="S292" s="35"/>
      <c r="T292" s="35"/>
      <c r="U292" s="35"/>
    </row>
    <row r="293" spans="2:21" x14ac:dyDescent="0.3">
      <c r="B293" t="s">
        <v>134</v>
      </c>
      <c r="C293" s="22">
        <v>118072316</v>
      </c>
      <c r="D293" s="22">
        <v>141993985</v>
      </c>
      <c r="E293" s="22">
        <v>137643817</v>
      </c>
      <c r="F293" s="22">
        <v>104436468</v>
      </c>
      <c r="G293" s="22">
        <v>115975321</v>
      </c>
      <c r="H293" s="22">
        <v>143318360</v>
      </c>
      <c r="I293" s="49">
        <f t="shared" ref="I293:L304" si="26">I$305*$Q293</f>
        <v>150484278</v>
      </c>
      <c r="J293" s="49">
        <f t="shared" si="26"/>
        <v>173056919.69999999</v>
      </c>
      <c r="K293" s="49">
        <f t="shared" si="26"/>
        <v>199015457.65499997</v>
      </c>
      <c r="L293" s="49">
        <f t="shared" si="26"/>
        <v>228867776.30324996</v>
      </c>
      <c r="M293" s="35"/>
      <c r="N293" s="49">
        <f>107483857+28849039</f>
        <v>136332896</v>
      </c>
      <c r="P293" s="62">
        <f>103067892+22830211</f>
        <v>125898103</v>
      </c>
      <c r="Q293" s="61">
        <f t="shared" ref="Q293:Q304" si="27">H293/$H$305</f>
        <v>0.11500704981943417</v>
      </c>
      <c r="R293" s="35"/>
      <c r="S293" s="35"/>
      <c r="T293" s="35"/>
      <c r="U293" s="35"/>
    </row>
    <row r="294" spans="2:21" x14ac:dyDescent="0.3">
      <c r="B294" t="s">
        <v>123</v>
      </c>
      <c r="C294" s="22">
        <v>58291188</v>
      </c>
      <c r="D294" s="22">
        <v>77680497</v>
      </c>
      <c r="E294" s="22">
        <v>72194299</v>
      </c>
      <c r="F294" s="22">
        <v>80580434</v>
      </c>
      <c r="G294" s="22">
        <v>93498752</v>
      </c>
      <c r="H294" s="22">
        <v>119167451</v>
      </c>
      <c r="I294" s="49">
        <f t="shared" si="26"/>
        <v>125125823.55000001</v>
      </c>
      <c r="J294" s="49">
        <f t="shared" si="26"/>
        <v>143894697.08250001</v>
      </c>
      <c r="K294" s="49">
        <f t="shared" si="26"/>
        <v>165478901.64487499</v>
      </c>
      <c r="L294" s="49">
        <f t="shared" si="26"/>
        <v>190300736.89160621</v>
      </c>
      <c r="M294" s="35"/>
      <c r="N294" s="49">
        <f>56884624+35744063</f>
        <v>92628687</v>
      </c>
      <c r="P294" s="62">
        <f>50945184+35163985</f>
        <v>86109169</v>
      </c>
      <c r="Q294" s="61">
        <f t="shared" si="27"/>
        <v>9.5626945312603226E-2</v>
      </c>
      <c r="R294" s="35"/>
      <c r="S294" s="35"/>
      <c r="T294" s="35"/>
      <c r="U294" s="35"/>
    </row>
    <row r="295" spans="2:21" x14ac:dyDescent="0.3">
      <c r="B295" t="s">
        <v>124</v>
      </c>
      <c r="C295" s="22">
        <v>40766415</v>
      </c>
      <c r="D295" s="22">
        <v>41233899</v>
      </c>
      <c r="E295" s="22">
        <v>36147829</v>
      </c>
      <c r="F295" s="22">
        <v>37237050</v>
      </c>
      <c r="G295" s="22">
        <v>38903168</v>
      </c>
      <c r="H295" s="22">
        <v>35722265</v>
      </c>
      <c r="I295" s="49">
        <f t="shared" si="26"/>
        <v>37508378.25</v>
      </c>
      <c r="J295" s="49">
        <f t="shared" si="26"/>
        <v>43134634.987499997</v>
      </c>
      <c r="K295" s="49">
        <f t="shared" si="26"/>
        <v>49604830.235624991</v>
      </c>
      <c r="L295" s="49">
        <f t="shared" si="26"/>
        <v>57045554.770968735</v>
      </c>
      <c r="M295" s="35"/>
      <c r="N295" s="49">
        <f>32434894+1637515</f>
        <v>34072409</v>
      </c>
      <c r="P295" s="62">
        <f>29613664+1667172</f>
        <v>31280836</v>
      </c>
      <c r="Q295" s="61">
        <f t="shared" si="27"/>
        <v>2.866563858613809E-2</v>
      </c>
      <c r="R295" s="35"/>
      <c r="S295" s="35"/>
      <c r="T295" s="35"/>
      <c r="U295" s="35"/>
    </row>
    <row r="296" spans="2:21" x14ac:dyDescent="0.3">
      <c r="B296" t="s">
        <v>125</v>
      </c>
      <c r="C296" s="22">
        <v>9639046</v>
      </c>
      <c r="D296" s="22">
        <v>12975517</v>
      </c>
      <c r="E296" s="22">
        <v>14975902</v>
      </c>
      <c r="F296" s="22">
        <v>14994861</v>
      </c>
      <c r="G296" s="22">
        <v>16397129</v>
      </c>
      <c r="H296" s="22">
        <v>17961272</v>
      </c>
      <c r="I296" s="49">
        <f t="shared" si="26"/>
        <v>18859335.599999998</v>
      </c>
      <c r="J296" s="49">
        <f t="shared" si="26"/>
        <v>21688235.939999998</v>
      </c>
      <c r="K296" s="49">
        <f t="shared" si="26"/>
        <v>24941471.330999993</v>
      </c>
      <c r="L296" s="49">
        <f t="shared" si="26"/>
        <v>28682692.030649994</v>
      </c>
      <c r="M296" s="35"/>
      <c r="N296" s="49">
        <f>17822411+485287</f>
        <v>18307698</v>
      </c>
      <c r="P296" s="62">
        <f>17630821+392727</f>
        <v>18023548</v>
      </c>
      <c r="Q296" s="61">
        <f t="shared" si="27"/>
        <v>1.4413177095554317E-2</v>
      </c>
      <c r="R296" s="35"/>
      <c r="S296" s="35"/>
      <c r="T296" s="35"/>
      <c r="U296" s="35"/>
    </row>
    <row r="297" spans="2:21" x14ac:dyDescent="0.3">
      <c r="B297" t="s">
        <v>126</v>
      </c>
      <c r="C297" s="22">
        <v>1339259</v>
      </c>
      <c r="D297" s="22">
        <v>1577472</v>
      </c>
      <c r="E297" s="22">
        <v>2973662</v>
      </c>
      <c r="F297" s="22">
        <v>4615697</v>
      </c>
      <c r="G297" s="22">
        <v>7649037</v>
      </c>
      <c r="H297" s="22">
        <v>16389557</v>
      </c>
      <c r="I297" s="49">
        <f t="shared" si="26"/>
        <v>17209034.849999998</v>
      </c>
      <c r="J297" s="49">
        <f t="shared" si="26"/>
        <v>19790390.077499997</v>
      </c>
      <c r="K297" s="49">
        <f t="shared" si="26"/>
        <v>22758948.589124996</v>
      </c>
      <c r="L297" s="49">
        <f t="shared" si="26"/>
        <v>26172790.877493743</v>
      </c>
      <c r="M297" s="35"/>
      <c r="N297" s="49">
        <f>30784432</f>
        <v>30784432</v>
      </c>
      <c r="P297" s="62">
        <f>25687874</f>
        <v>25687874</v>
      </c>
      <c r="Q297" s="61">
        <f t="shared" si="27"/>
        <v>1.3151940884737002E-2</v>
      </c>
      <c r="R297" s="35"/>
      <c r="S297" s="35"/>
      <c r="T297" s="35"/>
      <c r="U297" s="35"/>
    </row>
    <row r="298" spans="2:21" x14ac:dyDescent="0.3">
      <c r="B298" t="s">
        <v>127</v>
      </c>
      <c r="C298" s="22">
        <v>7980429</v>
      </c>
      <c r="D298" s="22">
        <v>9311033</v>
      </c>
      <c r="E298" s="22">
        <v>10624199</v>
      </c>
      <c r="F298" s="22">
        <v>11941045</v>
      </c>
      <c r="G298" s="22">
        <v>13097185</v>
      </c>
      <c r="H298" s="22">
        <v>13651705</v>
      </c>
      <c r="I298" s="49">
        <f t="shared" si="26"/>
        <v>14334290.25</v>
      </c>
      <c r="J298" s="49">
        <f t="shared" si="26"/>
        <v>16484433.787499998</v>
      </c>
      <c r="K298" s="49">
        <f t="shared" si="26"/>
        <v>18957098.855624996</v>
      </c>
      <c r="L298" s="49">
        <f t="shared" si="26"/>
        <v>21800663.683968745</v>
      </c>
      <c r="M298" s="35"/>
      <c r="N298" s="49">
        <f>12677170+480628</f>
        <v>13157798</v>
      </c>
      <c r="P298" s="62">
        <f>12824678+481345</f>
        <v>13306023</v>
      </c>
      <c r="Q298" s="61">
        <f t="shared" si="27"/>
        <v>1.0954928015190926E-2</v>
      </c>
      <c r="R298" s="35"/>
      <c r="S298" s="35"/>
      <c r="T298" s="35"/>
      <c r="U298" s="35"/>
    </row>
    <row r="299" spans="2:21" x14ac:dyDescent="0.3">
      <c r="B299" t="s">
        <v>128</v>
      </c>
      <c r="C299" s="22">
        <v>53628645</v>
      </c>
      <c r="D299" s="22">
        <v>62534866</v>
      </c>
      <c r="E299" s="22">
        <v>63569094</v>
      </c>
      <c r="F299" s="22">
        <v>67147827</v>
      </c>
      <c r="G299" s="22">
        <v>74664952</v>
      </c>
      <c r="H299" s="22">
        <v>76697598</v>
      </c>
      <c r="I299" s="49">
        <f t="shared" si="26"/>
        <v>80532477.899999991</v>
      </c>
      <c r="J299" s="49">
        <f t="shared" si="26"/>
        <v>92612349.584999993</v>
      </c>
      <c r="K299" s="49">
        <f t="shared" si="26"/>
        <v>106504202.02274998</v>
      </c>
      <c r="L299" s="49">
        <f t="shared" si="26"/>
        <v>122479832.32616247</v>
      </c>
      <c r="M299" s="35"/>
      <c r="N299" s="49">
        <f>64505651+5327900</f>
        <v>69833551</v>
      </c>
      <c r="P299" s="62">
        <f>64812001+5403992</f>
        <v>70215993</v>
      </c>
      <c r="Q299" s="61">
        <f t="shared" si="27"/>
        <v>6.1546646739586854E-2</v>
      </c>
      <c r="R299" s="35"/>
      <c r="S299" s="35"/>
      <c r="T299" s="35"/>
      <c r="U299" s="35"/>
    </row>
    <row r="300" spans="2:21" x14ac:dyDescent="0.3">
      <c r="B300" t="s">
        <v>129</v>
      </c>
      <c r="C300" s="22">
        <v>28401829</v>
      </c>
      <c r="D300" s="22">
        <v>36968592</v>
      </c>
      <c r="E300" s="22">
        <v>39742048</v>
      </c>
      <c r="F300" s="22">
        <v>51145421</v>
      </c>
      <c r="G300" s="22">
        <v>51358069</v>
      </c>
      <c r="H300" s="22">
        <v>44163456</v>
      </c>
      <c r="I300" s="49">
        <f t="shared" si="26"/>
        <v>46371628.800000004</v>
      </c>
      <c r="J300" s="49">
        <f t="shared" si="26"/>
        <v>53327373.119999997</v>
      </c>
      <c r="K300" s="49">
        <f t="shared" si="26"/>
        <v>61326479.087999992</v>
      </c>
      <c r="L300" s="49">
        <f t="shared" si="26"/>
        <v>70525450.951199993</v>
      </c>
      <c r="M300" s="35"/>
      <c r="N300" s="49">
        <f>36044869+1333460</f>
        <v>37378329</v>
      </c>
      <c r="P300" s="62">
        <f>37349905+1103035</f>
        <v>38452940</v>
      </c>
      <c r="Q300" s="61">
        <f t="shared" si="27"/>
        <v>3.5439344857074763E-2</v>
      </c>
      <c r="R300" s="35"/>
      <c r="S300" s="35"/>
      <c r="T300" s="35"/>
      <c r="U300" s="35"/>
    </row>
    <row r="301" spans="2:21" x14ac:dyDescent="0.3">
      <c r="B301" t="s">
        <v>130</v>
      </c>
      <c r="C301" s="40">
        <f t="shared" ref="C301:H301" si="28">SUM(C302:C304)</f>
        <v>442334810</v>
      </c>
      <c r="D301" s="40">
        <f t="shared" si="28"/>
        <v>513679935</v>
      </c>
      <c r="E301" s="40">
        <f t="shared" si="28"/>
        <v>552866541</v>
      </c>
      <c r="F301" s="40">
        <f t="shared" si="28"/>
        <v>589760315</v>
      </c>
      <c r="G301" s="40">
        <f t="shared" si="28"/>
        <v>683387269</v>
      </c>
      <c r="H301" s="40">
        <f t="shared" si="28"/>
        <v>779098551</v>
      </c>
      <c r="I301" s="40">
        <f t="shared" si="26"/>
        <v>818053478.54999995</v>
      </c>
      <c r="J301" s="40">
        <f t="shared" si="26"/>
        <v>940761500.33249986</v>
      </c>
      <c r="K301" s="40">
        <f t="shared" si="26"/>
        <v>1081875725.3823748</v>
      </c>
      <c r="L301" s="40">
        <f t="shared" si="26"/>
        <v>1244157084.1897309</v>
      </c>
      <c r="M301" s="35"/>
      <c r="N301" s="49">
        <f>495030175+267000382</f>
        <v>762030557</v>
      </c>
      <c r="P301" s="46">
        <f>476492053+252646689</f>
        <v>729138742</v>
      </c>
      <c r="Q301" s="81">
        <f t="shared" si="27"/>
        <v>0.62519432868968061</v>
      </c>
      <c r="R301" s="35"/>
      <c r="S301" s="35"/>
      <c r="T301" s="35"/>
      <c r="U301" s="35"/>
    </row>
    <row r="302" spans="2:21" x14ac:dyDescent="0.3">
      <c r="B302" s="20" t="s">
        <v>131</v>
      </c>
      <c r="C302" s="22">
        <v>88668616</v>
      </c>
      <c r="D302" s="22">
        <v>136652308</v>
      </c>
      <c r="E302" s="22">
        <v>150536419</v>
      </c>
      <c r="F302" s="22">
        <v>135165669</v>
      </c>
      <c r="G302" s="22">
        <v>180443934</v>
      </c>
      <c r="H302" s="22">
        <v>234491161</v>
      </c>
      <c r="I302" s="49">
        <f t="shared" si="26"/>
        <v>246215719.05000001</v>
      </c>
      <c r="J302" s="49">
        <f t="shared" si="26"/>
        <v>283148076.90749997</v>
      </c>
      <c r="K302" s="49">
        <f t="shared" si="26"/>
        <v>325620288.44362491</v>
      </c>
      <c r="L302" s="49">
        <f t="shared" si="26"/>
        <v>374463331.71016866</v>
      </c>
      <c r="M302" s="35"/>
      <c r="N302" s="49"/>
      <c r="P302" s="35"/>
      <c r="Q302" s="61">
        <f t="shared" si="27"/>
        <v>0.18816944762236995</v>
      </c>
      <c r="R302" s="35"/>
      <c r="S302" s="35"/>
      <c r="T302" s="35"/>
      <c r="U302" s="35"/>
    </row>
    <row r="303" spans="2:21" x14ac:dyDescent="0.3">
      <c r="B303" s="20" t="s">
        <v>132</v>
      </c>
      <c r="C303" s="22">
        <v>336559097</v>
      </c>
      <c r="D303" s="22">
        <v>352283284</v>
      </c>
      <c r="E303" s="22">
        <v>370852399</v>
      </c>
      <c r="F303" s="22">
        <v>418650469</v>
      </c>
      <c r="G303" s="22">
        <v>455982125</v>
      </c>
      <c r="H303" s="22">
        <v>512885849</v>
      </c>
      <c r="I303" s="49">
        <f t="shared" si="26"/>
        <v>538530141.45000005</v>
      </c>
      <c r="J303" s="49">
        <f t="shared" si="26"/>
        <v>619309662.66750002</v>
      </c>
      <c r="K303" s="49">
        <f t="shared" si="26"/>
        <v>712206112.06762493</v>
      </c>
      <c r="L303" s="49">
        <f t="shared" si="26"/>
        <v>819037028.87776864</v>
      </c>
      <c r="M303" s="35"/>
      <c r="N303" s="49"/>
      <c r="P303" s="35"/>
      <c r="Q303" s="61">
        <f t="shared" si="27"/>
        <v>0.41156965784164568</v>
      </c>
      <c r="R303" s="35"/>
      <c r="S303" s="35"/>
      <c r="T303" s="35"/>
      <c r="U303" s="35"/>
    </row>
    <row r="304" spans="2:21" x14ac:dyDescent="0.3">
      <c r="B304" s="20" t="s">
        <v>133</v>
      </c>
      <c r="C304" s="22">
        <v>17107097</v>
      </c>
      <c r="D304" s="22">
        <v>24744343</v>
      </c>
      <c r="E304" s="22">
        <v>31477723</v>
      </c>
      <c r="F304" s="22">
        <v>35944177</v>
      </c>
      <c r="G304" s="22">
        <v>46961210</v>
      </c>
      <c r="H304" s="22">
        <v>31721541</v>
      </c>
      <c r="I304" s="49">
        <f t="shared" si="26"/>
        <v>33307618.049999997</v>
      </c>
      <c r="J304" s="49">
        <f t="shared" si="26"/>
        <v>38303760.757499993</v>
      </c>
      <c r="K304" s="49">
        <f t="shared" si="26"/>
        <v>44049324.87112499</v>
      </c>
      <c r="L304" s="49">
        <f t="shared" si="26"/>
        <v>50656723.601793736</v>
      </c>
      <c r="M304" s="35"/>
      <c r="N304" s="49">
        <f>348028+44061006</f>
        <v>44409034</v>
      </c>
      <c r="P304" s="62">
        <f>334853+49082865</f>
        <v>49417718</v>
      </c>
      <c r="Q304" s="61">
        <f t="shared" si="27"/>
        <v>2.5455223225665041E-2</v>
      </c>
      <c r="R304" s="35"/>
      <c r="S304" s="35"/>
      <c r="T304" s="35"/>
      <c r="U304" s="35"/>
    </row>
    <row r="305" spans="2:21" x14ac:dyDescent="0.3">
      <c r="C305" s="40">
        <f t="shared" ref="C305:H305" si="29">SUM(C293:C301)</f>
        <v>760453937</v>
      </c>
      <c r="D305" s="40">
        <f t="shared" si="29"/>
        <v>897955796</v>
      </c>
      <c r="E305" s="40">
        <f t="shared" si="29"/>
        <v>930737391</v>
      </c>
      <c r="F305" s="40">
        <f t="shared" si="29"/>
        <v>961859118</v>
      </c>
      <c r="G305" s="40">
        <f t="shared" si="29"/>
        <v>1094930882</v>
      </c>
      <c r="H305" s="40">
        <f t="shared" si="29"/>
        <v>1246170215</v>
      </c>
      <c r="I305" s="40">
        <f>H305*(1+I307)</f>
        <v>1308478725.75</v>
      </c>
      <c r="J305" s="40">
        <f>I305*(1+J307)</f>
        <v>1504750534.6125</v>
      </c>
      <c r="K305" s="40">
        <f>J305*(1+K307)</f>
        <v>1730463114.8043747</v>
      </c>
      <c r="L305" s="40">
        <f>K305*(1+L307)</f>
        <v>1990032582.0250309</v>
      </c>
      <c r="M305" s="35"/>
      <c r="N305" s="49">
        <f>SUM(N293:N304)</f>
        <v>1238935391</v>
      </c>
      <c r="P305" s="62">
        <f>SUM(P293:P304)</f>
        <v>1187530946</v>
      </c>
      <c r="Q305" s="35"/>
      <c r="R305" s="35"/>
      <c r="S305" s="35"/>
      <c r="T305" s="35"/>
      <c r="U305" s="35"/>
    </row>
    <row r="306" spans="2:21" x14ac:dyDescent="0.3"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35"/>
      <c r="N306" s="35"/>
      <c r="O306" s="35"/>
      <c r="P306" s="35"/>
      <c r="Q306" s="35"/>
      <c r="R306" s="35"/>
      <c r="S306" s="35"/>
      <c r="T306" s="35"/>
      <c r="U306" s="35"/>
    </row>
    <row r="307" spans="2:21" x14ac:dyDescent="0.3">
      <c r="B307" s="32" t="s">
        <v>150</v>
      </c>
      <c r="C307" s="60"/>
      <c r="D307" s="60">
        <f>D305/C305-1</f>
        <v>0.18081550020300563</v>
      </c>
      <c r="E307" s="60">
        <f>E305/D305-1</f>
        <v>3.6506913977311095E-2</v>
      </c>
      <c r="F307" s="60">
        <f>F305/E305-1</f>
        <v>3.3437710036084756E-2</v>
      </c>
      <c r="G307" s="60">
        <f>G305/F305-1</f>
        <v>0.13834849772667024</v>
      </c>
      <c r="H307" s="60">
        <f>H305/G305-1</f>
        <v>0.13812683109617518</v>
      </c>
      <c r="I307" s="65">
        <v>0.05</v>
      </c>
      <c r="J307" s="65">
        <v>0.15</v>
      </c>
      <c r="K307" s="65">
        <v>0.15</v>
      </c>
      <c r="L307" s="65">
        <v>0.15</v>
      </c>
      <c r="M307" s="35"/>
      <c r="N307" s="35"/>
      <c r="O307" s="35"/>
      <c r="P307" s="35"/>
      <c r="Q307" s="35"/>
      <c r="R307" s="35"/>
      <c r="S307" s="35"/>
      <c r="T307" s="35"/>
      <c r="U307" s="35"/>
    </row>
    <row r="308" spans="2:21" x14ac:dyDescent="0.3">
      <c r="C308" s="46"/>
      <c r="D308" s="46"/>
      <c r="E308" s="46"/>
      <c r="F308" s="46"/>
      <c r="G308" s="46"/>
      <c r="H308" s="46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</row>
    <row r="309" spans="2:21" x14ac:dyDescent="0.3">
      <c r="B309" t="s">
        <v>145</v>
      </c>
      <c r="C309" s="29">
        <f t="shared" ref="C309:L309" si="30">SUM(C293:C301)-C305+SUM(C302:C304)-C301</f>
        <v>0</v>
      </c>
      <c r="D309" s="29">
        <f t="shared" si="30"/>
        <v>0</v>
      </c>
      <c r="E309" s="29">
        <f t="shared" si="30"/>
        <v>0</v>
      </c>
      <c r="F309" s="29">
        <f t="shared" si="30"/>
        <v>0</v>
      </c>
      <c r="G309" s="29">
        <f t="shared" si="30"/>
        <v>0</v>
      </c>
      <c r="H309" s="29">
        <f t="shared" si="30"/>
        <v>0</v>
      </c>
      <c r="I309" s="29">
        <f t="shared" si="30"/>
        <v>0</v>
      </c>
      <c r="J309" s="29">
        <f t="shared" si="30"/>
        <v>0</v>
      </c>
      <c r="K309" s="29">
        <f t="shared" si="30"/>
        <v>0</v>
      </c>
      <c r="L309" s="29">
        <f t="shared" si="30"/>
        <v>0</v>
      </c>
      <c r="M309" s="35"/>
      <c r="N309" s="35"/>
      <c r="O309" s="35"/>
      <c r="P309" s="35"/>
      <c r="Q309" s="35"/>
      <c r="R309" s="35"/>
      <c r="S309" s="35"/>
      <c r="T309" s="35"/>
      <c r="U309" s="35"/>
    </row>
    <row r="310" spans="2:21" x14ac:dyDescent="0.3">
      <c r="C310" s="46"/>
      <c r="D310" s="46"/>
      <c r="E310" s="46"/>
      <c r="F310" s="46"/>
      <c r="G310" s="46"/>
      <c r="H310" s="46"/>
      <c r="I310" s="35"/>
      <c r="J310" s="35"/>
      <c r="K310" s="35"/>
      <c r="L310" s="35"/>
      <c r="M310" s="35"/>
      <c r="N310" s="35"/>
      <c r="O310" s="49"/>
      <c r="P310" s="80"/>
      <c r="Q310" s="35"/>
      <c r="R310" s="35"/>
      <c r="S310" s="35"/>
      <c r="T310" s="35"/>
      <c r="U310" s="35"/>
    </row>
    <row r="311" spans="2:21" x14ac:dyDescent="0.3">
      <c r="B311" t="s">
        <v>136</v>
      </c>
      <c r="C311" s="31">
        <v>760453937</v>
      </c>
      <c r="D311" s="40">
        <f t="shared" ref="D311:L311" si="31">SUM(D312:D314)</f>
        <v>897955796</v>
      </c>
      <c r="E311" s="40">
        <f t="shared" si="31"/>
        <v>930737391</v>
      </c>
      <c r="F311" s="40">
        <f t="shared" si="31"/>
        <v>961859118</v>
      </c>
      <c r="G311" s="40">
        <f t="shared" si="31"/>
        <v>1094930882</v>
      </c>
      <c r="H311" s="40">
        <f t="shared" si="31"/>
        <v>1246170215</v>
      </c>
      <c r="I311" s="40">
        <f t="shared" si="31"/>
        <v>1308478725.75</v>
      </c>
      <c r="J311" s="40">
        <f t="shared" si="31"/>
        <v>1504750534.6125</v>
      </c>
      <c r="K311" s="40">
        <f t="shared" si="31"/>
        <v>1730463114.8043747</v>
      </c>
      <c r="L311" s="40">
        <f t="shared" si="31"/>
        <v>1990032582.0250309</v>
      </c>
      <c r="M311" s="35"/>
      <c r="N311" s="49">
        <f>SUM(N293:N304)</f>
        <v>1238935391</v>
      </c>
      <c r="P311" s="62">
        <f>P305</f>
        <v>1187530946</v>
      </c>
      <c r="Q311" s="35"/>
      <c r="R311" s="35"/>
      <c r="S311" s="35"/>
      <c r="T311" s="35"/>
      <c r="U311" s="35"/>
    </row>
    <row r="312" spans="2:21" x14ac:dyDescent="0.3">
      <c r="B312" s="20" t="s">
        <v>137</v>
      </c>
      <c r="C312" s="46"/>
      <c r="D312" s="22">
        <v>750597718</v>
      </c>
      <c r="E312" s="22">
        <v>726626174</v>
      </c>
      <c r="F312" s="22">
        <v>750494287</v>
      </c>
      <c r="G312" s="22">
        <v>857740593</v>
      </c>
      <c r="H312" s="22">
        <v>951723344</v>
      </c>
      <c r="I312" s="49">
        <f>I$305*I323</f>
        <v>1020613406.085</v>
      </c>
      <c r="J312" s="49">
        <f>J$305*J323</f>
        <v>1233895438.3822501</v>
      </c>
      <c r="K312" s="49">
        <f>K$305*K323</f>
        <v>1418979754.1395874</v>
      </c>
      <c r="L312" s="49">
        <f>L$305*L323</f>
        <v>1671627368.901026</v>
      </c>
      <c r="M312" s="35"/>
      <c r="N312" s="35"/>
      <c r="P312" s="35"/>
      <c r="Q312" s="35"/>
      <c r="R312" s="35"/>
      <c r="S312" s="35"/>
      <c r="T312" s="35"/>
      <c r="U312" s="35"/>
    </row>
    <row r="313" spans="2:21" x14ac:dyDescent="0.3">
      <c r="B313" s="20" t="s">
        <v>138</v>
      </c>
      <c r="C313" s="46"/>
      <c r="D313" s="22">
        <v>92317199</v>
      </c>
      <c r="E313" s="22">
        <v>105913673</v>
      </c>
      <c r="F313" s="22">
        <v>106934723</v>
      </c>
      <c r="G313" s="22">
        <v>156082998</v>
      </c>
      <c r="H313" s="22">
        <v>176900079</v>
      </c>
      <c r="I313" s="49">
        <f t="shared" ref="I313:L314" si="32">I$305*I324</f>
        <v>170102234.3475</v>
      </c>
      <c r="J313" s="49">
        <f t="shared" si="32"/>
        <v>165522558.80737498</v>
      </c>
      <c r="K313" s="49">
        <f t="shared" si="32"/>
        <v>190350942.62848121</v>
      </c>
      <c r="L313" s="49">
        <f t="shared" si="32"/>
        <v>199003258.20250309</v>
      </c>
      <c r="M313" s="35"/>
      <c r="N313" s="35"/>
      <c r="P313" s="35"/>
      <c r="Q313" s="35"/>
      <c r="R313" s="35"/>
      <c r="S313" s="35"/>
      <c r="T313" s="35"/>
      <c r="U313" s="35"/>
    </row>
    <row r="314" spans="2:21" x14ac:dyDescent="0.3">
      <c r="B314" s="20" t="s">
        <v>139</v>
      </c>
      <c r="C314" s="46"/>
      <c r="D314" s="22">
        <v>55040879</v>
      </c>
      <c r="E314" s="22">
        <v>98197544</v>
      </c>
      <c r="F314" s="22">
        <v>104430108</v>
      </c>
      <c r="G314" s="22">
        <v>81107291</v>
      </c>
      <c r="H314" s="22">
        <v>117546792</v>
      </c>
      <c r="I314" s="49">
        <f t="shared" si="32"/>
        <v>117763085.3175</v>
      </c>
      <c r="J314" s="49">
        <f t="shared" si="32"/>
        <v>105332537.422875</v>
      </c>
      <c r="K314" s="49">
        <f t="shared" si="32"/>
        <v>121132418.03630625</v>
      </c>
      <c r="L314" s="49">
        <f t="shared" si="32"/>
        <v>119401954.92150185</v>
      </c>
      <c r="M314" s="35"/>
      <c r="N314" s="35"/>
      <c r="P314" s="35"/>
      <c r="Q314" s="35"/>
      <c r="R314" s="35"/>
      <c r="S314" s="35"/>
      <c r="T314" s="35"/>
      <c r="U314" s="35"/>
    </row>
    <row r="315" spans="2:21" x14ac:dyDescent="0.3">
      <c r="B315" t="s">
        <v>140</v>
      </c>
      <c r="C315" s="31">
        <v>18009807</v>
      </c>
      <c r="D315" s="40">
        <f>SUM(D316:D318)</f>
        <v>30343820</v>
      </c>
      <c r="E315" s="40">
        <f>SUM(E316:E318)</f>
        <v>36818080</v>
      </c>
      <c r="F315" s="40">
        <f>SUM(F316:F318)</f>
        <v>52029946</v>
      </c>
      <c r="G315" s="40">
        <f>SUM(G316:G318)</f>
        <v>65346807</v>
      </c>
      <c r="H315" s="40">
        <f>SUM(H316:H318)</f>
        <v>90677688</v>
      </c>
      <c r="I315" s="40">
        <f t="shared" ref="I315:N315" si="33">SUM(I316:I318)</f>
        <v>93530059.316610008</v>
      </c>
      <c r="J315" s="40">
        <f t="shared" si="33"/>
        <v>78397502.853311241</v>
      </c>
      <c r="K315" s="40">
        <f t="shared" si="33"/>
        <v>79255210.658040375</v>
      </c>
      <c r="L315" s="40">
        <f t="shared" si="33"/>
        <v>81989342.379431278</v>
      </c>
      <c r="M315" s="35"/>
      <c r="N315" s="40">
        <f t="shared" si="33"/>
        <v>90658604</v>
      </c>
      <c r="P315" s="40">
        <f>SUM(P316:P318)</f>
        <v>90704172</v>
      </c>
      <c r="Q315" s="35"/>
      <c r="R315" s="35"/>
      <c r="S315" s="35"/>
      <c r="T315" s="35"/>
      <c r="U315" s="35"/>
    </row>
    <row r="316" spans="2:21" x14ac:dyDescent="0.3">
      <c r="B316" s="20" t="s">
        <v>137</v>
      </c>
      <c r="C316" s="46"/>
      <c r="D316" s="22">
        <v>2814943</v>
      </c>
      <c r="E316" s="22">
        <v>2702070</v>
      </c>
      <c r="F316" s="22">
        <v>6567755</v>
      </c>
      <c r="G316" s="22">
        <v>10181101</v>
      </c>
      <c r="H316" s="22">
        <v>14799919</v>
      </c>
      <c r="I316" s="49">
        <f>I312*I328</f>
        <v>16329814.49736</v>
      </c>
      <c r="J316" s="49">
        <f>J312*J328</f>
        <v>18508431.575733751</v>
      </c>
      <c r="K316" s="49">
        <f>K312*K328</f>
        <v>14189797.541395875</v>
      </c>
      <c r="L316" s="49">
        <f>L312*L328</f>
        <v>16716273.689010261</v>
      </c>
      <c r="M316" s="35"/>
      <c r="N316" s="33">
        <v>11132938</v>
      </c>
      <c r="P316" s="67">
        <v>8460758</v>
      </c>
      <c r="Q316" s="35"/>
      <c r="R316" s="35"/>
      <c r="S316" s="35"/>
      <c r="T316" s="35"/>
      <c r="U316" s="35"/>
    </row>
    <row r="317" spans="2:21" x14ac:dyDescent="0.3">
      <c r="B317" s="20" t="s">
        <v>138</v>
      </c>
      <c r="C317" s="46"/>
      <c r="D317" s="22">
        <v>5984306</v>
      </c>
      <c r="E317" s="22">
        <v>8494001</v>
      </c>
      <c r="F317" s="22">
        <v>12396301</v>
      </c>
      <c r="G317" s="22">
        <v>19165658</v>
      </c>
      <c r="H317" s="22">
        <v>28559919</v>
      </c>
      <c r="I317" s="49">
        <f t="shared" ref="I317:L318" si="34">I313*I329</f>
        <v>28917379.839075003</v>
      </c>
      <c r="J317" s="49">
        <f t="shared" si="34"/>
        <v>19862707.056884997</v>
      </c>
      <c r="K317" s="49">
        <f t="shared" si="34"/>
        <v>19035094.26284812</v>
      </c>
      <c r="L317" s="49">
        <f t="shared" si="34"/>
        <v>19900325.82025031</v>
      </c>
      <c r="M317" s="35"/>
      <c r="N317" s="33">
        <v>24036094</v>
      </c>
      <c r="P317" s="67">
        <v>27174375</v>
      </c>
      <c r="Q317" s="35"/>
      <c r="R317" s="35"/>
      <c r="S317" s="35"/>
      <c r="T317" s="35"/>
      <c r="U317" s="35"/>
    </row>
    <row r="318" spans="2:21" x14ac:dyDescent="0.3">
      <c r="B318" s="20" t="s">
        <v>141</v>
      </c>
      <c r="C318" s="46"/>
      <c r="D318" s="22">
        <v>21544571</v>
      </c>
      <c r="E318" s="22">
        <v>25622009</v>
      </c>
      <c r="F318" s="22">
        <v>33065890</v>
      </c>
      <c r="G318" s="22">
        <v>36000048</v>
      </c>
      <c r="H318" s="22">
        <v>47317850</v>
      </c>
      <c r="I318" s="49">
        <f t="shared" si="34"/>
        <v>48282864.980174996</v>
      </c>
      <c r="J318" s="49">
        <f t="shared" si="34"/>
        <v>40026364.2206925</v>
      </c>
      <c r="K318" s="49">
        <f t="shared" si="34"/>
        <v>46030318.853796378</v>
      </c>
      <c r="L318" s="49">
        <f t="shared" si="34"/>
        <v>45372742.870170705</v>
      </c>
      <c r="M318" s="35"/>
      <c r="N318" s="33">
        <v>55489572</v>
      </c>
      <c r="P318" s="67">
        <v>55069039</v>
      </c>
      <c r="Q318" s="35"/>
      <c r="R318" s="35"/>
      <c r="S318" s="35"/>
      <c r="T318" s="35"/>
      <c r="U318" s="35"/>
    </row>
    <row r="319" spans="2:21" x14ac:dyDescent="0.3">
      <c r="C319" s="46"/>
      <c r="D319" s="46"/>
      <c r="E319" s="46"/>
      <c r="F319" s="46"/>
      <c r="G319" s="46"/>
      <c r="H319" s="46"/>
      <c r="I319" s="35"/>
      <c r="J319" s="35"/>
      <c r="K319" s="35"/>
      <c r="L319" s="35"/>
      <c r="M319" s="35"/>
      <c r="N319" s="35"/>
      <c r="P319" s="35"/>
      <c r="Q319" s="35"/>
      <c r="R319" s="35"/>
      <c r="S319" s="35"/>
      <c r="T319" s="35"/>
      <c r="U319" s="35"/>
    </row>
    <row r="320" spans="2:21" x14ac:dyDescent="0.3">
      <c r="B320" s="32" t="s">
        <v>142</v>
      </c>
      <c r="C320" s="40">
        <f t="shared" ref="C320:H320" si="35">C311-C315</f>
        <v>742444130</v>
      </c>
      <c r="D320" s="40">
        <f t="shared" si="35"/>
        <v>867611976</v>
      </c>
      <c r="E320" s="40">
        <f t="shared" si="35"/>
        <v>893919311</v>
      </c>
      <c r="F320" s="40">
        <f t="shared" si="35"/>
        <v>909829172</v>
      </c>
      <c r="G320" s="40">
        <f t="shared" si="35"/>
        <v>1029584075</v>
      </c>
      <c r="H320" s="40">
        <f t="shared" si="35"/>
        <v>1155492527</v>
      </c>
      <c r="I320" s="40">
        <f t="shared" ref="I320:N320" si="36">I311-I315</f>
        <v>1214948666.4333899</v>
      </c>
      <c r="J320" s="40">
        <f t="shared" si="36"/>
        <v>1426353031.7591887</v>
      </c>
      <c r="K320" s="40">
        <f t="shared" si="36"/>
        <v>1651207904.1463344</v>
      </c>
      <c r="L320" s="40">
        <f t="shared" si="36"/>
        <v>1908043239.6455996</v>
      </c>
      <c r="M320" s="35"/>
      <c r="N320" s="40">
        <f t="shared" si="36"/>
        <v>1148276787</v>
      </c>
      <c r="P320" s="40">
        <f>P311-P315</f>
        <v>1096826774</v>
      </c>
      <c r="Q320" s="35"/>
      <c r="R320" s="35"/>
      <c r="S320" s="35"/>
      <c r="T320" s="35"/>
      <c r="U320" s="35"/>
    </row>
    <row r="321" spans="2:21" x14ac:dyDescent="0.3">
      <c r="C321" s="46"/>
      <c r="D321" s="46"/>
      <c r="E321" s="46"/>
      <c r="F321" s="46"/>
      <c r="G321" s="46"/>
      <c r="H321" s="46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</row>
    <row r="322" spans="2:21" x14ac:dyDescent="0.3">
      <c r="B322" s="32" t="s">
        <v>308</v>
      </c>
      <c r="C322" s="46"/>
      <c r="D322" s="46"/>
      <c r="E322" s="46"/>
      <c r="F322" s="46"/>
      <c r="G322" s="46"/>
      <c r="H322" s="46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</row>
    <row r="323" spans="2:21" x14ac:dyDescent="0.3">
      <c r="B323" s="20" t="s">
        <v>137</v>
      </c>
      <c r="C323" s="46"/>
      <c r="D323" s="60">
        <f t="shared" ref="D323:G325" si="37">D312/D$311</f>
        <v>0.83589606675917039</v>
      </c>
      <c r="E323" s="60">
        <f t="shared" si="37"/>
        <v>0.78069945510548422</v>
      </c>
      <c r="F323" s="60">
        <f t="shared" si="37"/>
        <v>0.78025385730137664</v>
      </c>
      <c r="G323" s="60">
        <f t="shared" si="37"/>
        <v>0.78337419018929455</v>
      </c>
      <c r="H323" s="60">
        <f>H312/H$311</f>
        <v>0.76371857756205475</v>
      </c>
      <c r="I323" s="86">
        <f>1-I324-I325</f>
        <v>0.78</v>
      </c>
      <c r="J323" s="86">
        <f>1-J324-J325</f>
        <v>0.82000000000000006</v>
      </c>
      <c r="K323" s="86">
        <f>1-K324-K325</f>
        <v>0.82000000000000006</v>
      </c>
      <c r="L323" s="86">
        <f>1-L324-L325</f>
        <v>0.84000000000000008</v>
      </c>
      <c r="M323" s="35"/>
      <c r="N323" s="35"/>
      <c r="O323" s="35"/>
      <c r="P323" s="35"/>
      <c r="Q323" s="35"/>
      <c r="R323" s="35"/>
      <c r="S323" s="35"/>
      <c r="T323" s="35"/>
      <c r="U323" s="35"/>
    </row>
    <row r="324" spans="2:21" x14ac:dyDescent="0.3">
      <c r="B324" s="20" t="s">
        <v>138</v>
      </c>
      <c r="C324" s="46"/>
      <c r="D324" s="60">
        <f t="shared" si="37"/>
        <v>0.10280817765332403</v>
      </c>
      <c r="E324" s="60">
        <f t="shared" si="37"/>
        <v>0.11379544222050063</v>
      </c>
      <c r="F324" s="60">
        <f t="shared" si="37"/>
        <v>0.11117503696627638</v>
      </c>
      <c r="G324" s="60">
        <f t="shared" si="37"/>
        <v>0.14255054868385747</v>
      </c>
      <c r="H324" s="60">
        <f>H313/H$311</f>
        <v>0.14195498886963848</v>
      </c>
      <c r="I324" s="86">
        <v>0.13</v>
      </c>
      <c r="J324" s="86">
        <v>0.11</v>
      </c>
      <c r="K324" s="86">
        <v>0.11</v>
      </c>
      <c r="L324" s="86">
        <v>0.1</v>
      </c>
      <c r="M324" s="35"/>
      <c r="N324" s="35"/>
      <c r="O324" s="35"/>
      <c r="P324" s="35"/>
      <c r="Q324" s="35"/>
      <c r="R324" s="35"/>
      <c r="S324" s="35"/>
      <c r="T324" s="35"/>
      <c r="U324" s="35"/>
    </row>
    <row r="325" spans="2:21" x14ac:dyDescent="0.3">
      <c r="B325" s="20" t="s">
        <v>141</v>
      </c>
      <c r="C325" s="46"/>
      <c r="D325" s="60">
        <f t="shared" si="37"/>
        <v>6.1295755587505558E-2</v>
      </c>
      <c r="E325" s="60">
        <f t="shared" si="37"/>
        <v>0.10550510267401517</v>
      </c>
      <c r="F325" s="60">
        <f t="shared" si="37"/>
        <v>0.10857110573234698</v>
      </c>
      <c r="G325" s="60">
        <f t="shared" si="37"/>
        <v>7.4075261126848008E-2</v>
      </c>
      <c r="H325" s="60">
        <f>H314/H$311</f>
        <v>9.4326433568306722E-2</v>
      </c>
      <c r="I325" s="86">
        <v>0.09</v>
      </c>
      <c r="J325" s="86">
        <v>7.0000000000000007E-2</v>
      </c>
      <c r="K325" s="86">
        <v>7.0000000000000007E-2</v>
      </c>
      <c r="L325" s="86">
        <v>0.06</v>
      </c>
      <c r="M325" s="35"/>
      <c r="N325" s="35"/>
      <c r="O325" s="35"/>
      <c r="P325" s="35"/>
      <c r="Q325" s="35"/>
      <c r="R325" s="35"/>
      <c r="S325" s="35"/>
      <c r="T325" s="35"/>
      <c r="U325" s="35"/>
    </row>
    <row r="326" spans="2:21" x14ac:dyDescent="0.3">
      <c r="C326" s="46"/>
      <c r="D326" s="46"/>
      <c r="E326" s="46"/>
      <c r="F326" s="46"/>
      <c r="G326" s="46"/>
      <c r="H326" s="46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</row>
    <row r="327" spans="2:21" x14ac:dyDescent="0.3">
      <c r="B327" s="32" t="s">
        <v>146</v>
      </c>
      <c r="C327" s="46"/>
      <c r="D327" s="46"/>
      <c r="E327" s="46"/>
      <c r="F327" s="46"/>
      <c r="G327" s="46"/>
      <c r="H327" s="46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</row>
    <row r="328" spans="2:21" x14ac:dyDescent="0.3">
      <c r="B328" s="20" t="s">
        <v>137</v>
      </c>
      <c r="C328" s="60"/>
      <c r="D328" s="61">
        <f t="shared" ref="D328:H330" si="38">D316/D312</f>
        <v>3.7502685293269171E-3</v>
      </c>
      <c r="E328" s="61">
        <f t="shared" si="38"/>
        <v>3.718652171756202E-3</v>
      </c>
      <c r="F328" s="61">
        <f t="shared" si="38"/>
        <v>8.7512391683269401E-3</v>
      </c>
      <c r="G328" s="61">
        <f t="shared" si="38"/>
        <v>1.1869673748785723E-2</v>
      </c>
      <c r="H328" s="61">
        <f t="shared" si="38"/>
        <v>1.5550652501384899E-2</v>
      </c>
      <c r="I328" s="86">
        <v>1.6E-2</v>
      </c>
      <c r="J328" s="86">
        <v>1.4999999999999999E-2</v>
      </c>
      <c r="K328" s="86">
        <v>0.01</v>
      </c>
      <c r="L328" s="86">
        <v>0.01</v>
      </c>
      <c r="M328" s="35"/>
      <c r="N328" s="61"/>
      <c r="O328" s="35"/>
      <c r="P328" s="35"/>
      <c r="Q328" s="35"/>
      <c r="R328" s="35"/>
      <c r="S328" s="35"/>
      <c r="T328" s="35"/>
      <c r="U328" s="35"/>
    </row>
    <row r="329" spans="2:21" x14ac:dyDescent="0.3">
      <c r="B329" s="20" t="s">
        <v>138</v>
      </c>
      <c r="C329" s="60"/>
      <c r="D329" s="61">
        <f t="shared" si="38"/>
        <v>6.4823305568445594E-2</v>
      </c>
      <c r="E329" s="61">
        <f t="shared" si="38"/>
        <v>8.0197398120637364E-2</v>
      </c>
      <c r="F329" s="61">
        <f t="shared" si="38"/>
        <v>0.11592400159862012</v>
      </c>
      <c r="G329" s="61">
        <f t="shared" si="38"/>
        <v>0.1227914522759231</v>
      </c>
      <c r="H329" s="61">
        <f t="shared" si="38"/>
        <v>0.16144661529518028</v>
      </c>
      <c r="I329" s="86">
        <v>0.17</v>
      </c>
      <c r="J329" s="86">
        <v>0.12</v>
      </c>
      <c r="K329" s="86">
        <v>0.1</v>
      </c>
      <c r="L329" s="86">
        <v>0.1</v>
      </c>
      <c r="M329" s="35"/>
      <c r="N329" s="35"/>
      <c r="O329" s="35"/>
      <c r="P329" s="35"/>
      <c r="Q329" s="35"/>
      <c r="R329" s="35"/>
      <c r="S329" s="35"/>
      <c r="T329" s="35"/>
      <c r="U329" s="35"/>
    </row>
    <row r="330" spans="2:21" x14ac:dyDescent="0.3">
      <c r="B330" s="20" t="s">
        <v>141</v>
      </c>
      <c r="C330" s="60"/>
      <c r="D330" s="61">
        <f t="shared" si="38"/>
        <v>0.39142854168444513</v>
      </c>
      <c r="E330" s="61">
        <f t="shared" si="38"/>
        <v>0.26092311432962112</v>
      </c>
      <c r="F330" s="61">
        <f t="shared" si="38"/>
        <v>0.31663177060010317</v>
      </c>
      <c r="G330" s="61">
        <f t="shared" si="38"/>
        <v>0.4438571126731381</v>
      </c>
      <c r="H330" s="61">
        <f t="shared" si="38"/>
        <v>0.4025448010525034</v>
      </c>
      <c r="I330" s="86">
        <v>0.41</v>
      </c>
      <c r="J330" s="86">
        <v>0.38</v>
      </c>
      <c r="K330" s="86">
        <v>0.38</v>
      </c>
      <c r="L330" s="86">
        <v>0.38</v>
      </c>
      <c r="M330" s="35"/>
      <c r="N330" s="35"/>
      <c r="P330" s="79">
        <v>0.39700000000000002</v>
      </c>
      <c r="Q330" s="35"/>
      <c r="R330" s="35"/>
      <c r="S330" s="35"/>
      <c r="T330" s="35"/>
      <c r="U330" s="35"/>
    </row>
    <row r="331" spans="2:21" x14ac:dyDescent="0.3">
      <c r="C331" s="46"/>
      <c r="D331" s="46"/>
      <c r="E331" s="46"/>
      <c r="F331" s="46"/>
      <c r="G331" s="46"/>
      <c r="H331" s="46"/>
      <c r="I331" s="35"/>
      <c r="J331" s="35"/>
      <c r="K331" s="35"/>
      <c r="L331" s="35"/>
      <c r="M331" s="35"/>
      <c r="N331" s="35"/>
      <c r="P331" s="35"/>
      <c r="Q331" s="35"/>
      <c r="R331" s="35"/>
      <c r="S331" s="35"/>
      <c r="T331" s="35"/>
      <c r="U331" s="35"/>
    </row>
    <row r="332" spans="2:21" x14ac:dyDescent="0.3">
      <c r="B332" s="32"/>
      <c r="C332" s="46"/>
      <c r="D332" s="46"/>
      <c r="E332" s="46"/>
      <c r="F332" s="46"/>
      <c r="G332" s="46"/>
      <c r="H332" s="46"/>
      <c r="I332" s="35"/>
      <c r="J332" s="35"/>
      <c r="K332" s="35"/>
      <c r="L332" s="35"/>
      <c r="M332" s="35"/>
      <c r="N332" s="35"/>
      <c r="P332" s="35"/>
      <c r="Q332" s="35"/>
      <c r="R332" s="35"/>
      <c r="S332" s="35"/>
      <c r="T332" s="35"/>
      <c r="U332" s="35"/>
    </row>
    <row r="333" spans="2:21" x14ac:dyDescent="0.3">
      <c r="B333" s="32" t="s">
        <v>147</v>
      </c>
      <c r="C333" s="46"/>
      <c r="D333" s="46">
        <f t="shared" ref="D333:L333" si="39">D314-C314</f>
        <v>55040879</v>
      </c>
      <c r="E333" s="46">
        <f t="shared" si="39"/>
        <v>43156665</v>
      </c>
      <c r="F333" s="46">
        <f t="shared" si="39"/>
        <v>6232564</v>
      </c>
      <c r="G333" s="46">
        <f t="shared" si="39"/>
        <v>-23322817</v>
      </c>
      <c r="H333" s="46">
        <f t="shared" si="39"/>
        <v>36439501</v>
      </c>
      <c r="I333" s="46">
        <f t="shared" si="39"/>
        <v>216293.31749999523</v>
      </c>
      <c r="J333" s="46">
        <f t="shared" si="39"/>
        <v>-12430547.894624993</v>
      </c>
      <c r="K333" s="46">
        <f t="shared" si="39"/>
        <v>15799880.613431245</v>
      </c>
      <c r="L333" s="46">
        <f t="shared" si="39"/>
        <v>-1730463.114804402</v>
      </c>
      <c r="M333" s="35"/>
      <c r="N333" s="35"/>
      <c r="P333" s="35"/>
      <c r="Q333" s="35"/>
      <c r="R333" s="35"/>
      <c r="S333" s="35"/>
      <c r="T333" s="35"/>
      <c r="U333" s="35"/>
    </row>
    <row r="334" spans="2:21" x14ac:dyDescent="0.3">
      <c r="B334" s="32" t="s">
        <v>148</v>
      </c>
      <c r="C334" s="46"/>
      <c r="D334" s="61"/>
      <c r="E334" s="61">
        <f t="shared" ref="E334:L334" si="40">E333/D313</f>
        <v>0.46748239187802915</v>
      </c>
      <c r="F334" s="61">
        <f t="shared" si="40"/>
        <v>5.8845697854327077E-2</v>
      </c>
      <c r="G334" s="61">
        <f t="shared" si="40"/>
        <v>-0.2181033096237599</v>
      </c>
      <c r="H334" s="61">
        <f t="shared" si="40"/>
        <v>0.23346233393082313</v>
      </c>
      <c r="I334" s="61">
        <f t="shared" si="40"/>
        <v>1.2226863816154386E-3</v>
      </c>
      <c r="J334" s="61">
        <f t="shared" si="40"/>
        <v>-7.3076923076923039E-2</v>
      </c>
      <c r="K334" s="61">
        <f t="shared" si="40"/>
        <v>9.5454545454545431E-2</v>
      </c>
      <c r="L334" s="61">
        <f t="shared" si="40"/>
        <v>-9.0909090909092344E-3</v>
      </c>
      <c r="M334" s="35"/>
      <c r="N334" s="35"/>
      <c r="P334" s="35"/>
      <c r="Q334" s="35"/>
      <c r="R334" s="35"/>
      <c r="S334" s="35"/>
      <c r="T334" s="35"/>
      <c r="U334" s="35"/>
    </row>
    <row r="335" spans="2:21" x14ac:dyDescent="0.3">
      <c r="B335" s="32" t="s">
        <v>149</v>
      </c>
      <c r="C335" s="46"/>
      <c r="D335" s="61">
        <f t="shared" ref="D335:L335" si="41">D314/D311</f>
        <v>6.1295755587505558E-2</v>
      </c>
      <c r="E335" s="61">
        <f t="shared" si="41"/>
        <v>0.10550510267401517</v>
      </c>
      <c r="F335" s="61">
        <f t="shared" si="41"/>
        <v>0.10857110573234698</v>
      </c>
      <c r="G335" s="61">
        <f t="shared" si="41"/>
        <v>7.4075261126848008E-2</v>
      </c>
      <c r="H335" s="61">
        <f t="shared" si="41"/>
        <v>9.4326433568306722E-2</v>
      </c>
      <c r="I335" s="61">
        <f t="shared" si="41"/>
        <v>0.09</v>
      </c>
      <c r="J335" s="61">
        <f t="shared" si="41"/>
        <v>7.0000000000000007E-2</v>
      </c>
      <c r="K335" s="61">
        <f t="shared" si="41"/>
        <v>7.0000000000000007E-2</v>
      </c>
      <c r="L335" s="61">
        <f t="shared" si="41"/>
        <v>0.06</v>
      </c>
      <c r="M335" s="35"/>
      <c r="N335" s="35"/>
      <c r="P335" s="79">
        <v>6.2799999999999995E-2</v>
      </c>
      <c r="Q335" s="35"/>
      <c r="R335" s="35"/>
      <c r="S335" s="35"/>
      <c r="T335" s="35"/>
      <c r="U335" s="35"/>
    </row>
    <row r="336" spans="2:21" x14ac:dyDescent="0.3">
      <c r="B336" s="32"/>
      <c r="C336" s="46"/>
      <c r="D336" s="46"/>
      <c r="E336" s="46"/>
      <c r="F336" s="46"/>
      <c r="G336" s="46"/>
      <c r="H336" s="46"/>
      <c r="I336" s="35"/>
      <c r="J336" s="35"/>
      <c r="K336" s="35"/>
      <c r="L336" s="35"/>
      <c r="M336" s="35"/>
      <c r="N336" s="35"/>
      <c r="P336" s="35"/>
      <c r="Q336" s="35"/>
      <c r="R336" s="35"/>
      <c r="S336" s="35"/>
      <c r="T336" s="35"/>
      <c r="U336" s="35"/>
    </row>
    <row r="337" spans="2:21" x14ac:dyDescent="0.3">
      <c r="B337" s="32" t="s">
        <v>373</v>
      </c>
      <c r="C337" s="61">
        <f t="shared" ref="C337:L337" si="42">C315/C311</f>
        <v>2.3682968979092812E-2</v>
      </c>
      <c r="D337" s="61">
        <f t="shared" si="42"/>
        <v>3.379210884897501E-2</v>
      </c>
      <c r="E337" s="61">
        <f t="shared" si="42"/>
        <v>3.9557968075658839E-2</v>
      </c>
      <c r="F337" s="61">
        <f t="shared" si="42"/>
        <v>5.4093104724303294E-2</v>
      </c>
      <c r="G337" s="61">
        <f t="shared" si="42"/>
        <v>5.9681216480658182E-2</v>
      </c>
      <c r="H337" s="61">
        <f t="shared" si="42"/>
        <v>7.276509012053381E-2</v>
      </c>
      <c r="I337" s="61">
        <f t="shared" si="42"/>
        <v>7.1480000000000002E-2</v>
      </c>
      <c r="J337" s="61">
        <f t="shared" si="42"/>
        <v>5.2099999999999994E-2</v>
      </c>
      <c r="K337" s="61">
        <f t="shared" si="42"/>
        <v>4.5800000000000007E-2</v>
      </c>
      <c r="L337" s="61">
        <f t="shared" si="42"/>
        <v>4.1200000000000001E-2</v>
      </c>
      <c r="M337" s="35"/>
      <c r="N337" s="35"/>
      <c r="P337" s="35"/>
      <c r="Q337" s="35"/>
      <c r="R337" s="35"/>
      <c r="S337" s="35"/>
      <c r="T337" s="35"/>
      <c r="U337" s="35"/>
    </row>
    <row r="338" spans="2:21" x14ac:dyDescent="0.3">
      <c r="B338" s="32"/>
      <c r="C338" s="46"/>
      <c r="D338" s="46"/>
      <c r="E338" s="46"/>
      <c r="F338" s="46"/>
      <c r="G338" s="46"/>
      <c r="H338" s="46"/>
      <c r="I338" s="35"/>
      <c r="J338" s="35"/>
      <c r="K338" s="35"/>
      <c r="L338" s="35"/>
      <c r="M338" s="35"/>
      <c r="N338" s="35"/>
      <c r="P338" s="35"/>
      <c r="Q338" s="35"/>
      <c r="R338" s="35"/>
      <c r="S338" s="35"/>
      <c r="T338" s="35"/>
      <c r="U338" s="35"/>
    </row>
    <row r="339" spans="2:21" s="6" customFormat="1" x14ac:dyDescent="0.3">
      <c r="C339" s="54"/>
      <c r="D339" s="54"/>
      <c r="E339" s="54"/>
      <c r="F339" s="54"/>
      <c r="G339" s="54"/>
      <c r="H339" s="54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</row>
    <row r="340" spans="2:21" x14ac:dyDescent="0.3">
      <c r="C340" s="46"/>
      <c r="D340" s="46"/>
      <c r="E340" s="46"/>
      <c r="F340" s="46"/>
      <c r="G340" s="46"/>
      <c r="H340" s="46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</row>
    <row r="341" spans="2:21" x14ac:dyDescent="0.3">
      <c r="B341" t="s">
        <v>33</v>
      </c>
      <c r="C341" s="22">
        <v>118078273</v>
      </c>
      <c r="D341" s="22">
        <v>89274413</v>
      </c>
      <c r="E341" s="22">
        <v>107059021</v>
      </c>
      <c r="F341" s="22">
        <v>302059529</v>
      </c>
      <c r="G341" s="22">
        <v>385390598</v>
      </c>
      <c r="H341" s="22">
        <v>761650234</v>
      </c>
      <c r="I341" s="46">
        <f>I358</f>
        <v>709291118.42399991</v>
      </c>
      <c r="J341" s="46">
        <f>J358</f>
        <v>668358324.86000013</v>
      </c>
      <c r="K341" s="46">
        <f>K358</f>
        <v>737754178.87780023</v>
      </c>
      <c r="L341" s="46">
        <f>L358</f>
        <v>791175567.27385437</v>
      </c>
      <c r="M341" s="35"/>
      <c r="N341" s="33">
        <v>706747778</v>
      </c>
      <c r="O341" s="35"/>
      <c r="P341" s="35"/>
      <c r="Q341" s="35"/>
      <c r="R341" s="35"/>
      <c r="S341" s="35"/>
      <c r="T341" s="35"/>
      <c r="U341" s="35"/>
    </row>
    <row r="342" spans="2:21" x14ac:dyDescent="0.3">
      <c r="C342" s="46"/>
      <c r="D342" s="46"/>
      <c r="E342" s="46"/>
      <c r="F342" s="46"/>
      <c r="G342" s="46"/>
      <c r="H342" s="46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</row>
    <row r="343" spans="2:21" x14ac:dyDescent="0.3">
      <c r="B343" s="35" t="s">
        <v>161</v>
      </c>
      <c r="C343" s="31">
        <v>94122004</v>
      </c>
      <c r="D343" s="31">
        <v>68228143</v>
      </c>
      <c r="E343" s="66">
        <v>83350413</v>
      </c>
      <c r="F343" s="31">
        <v>282664666</v>
      </c>
      <c r="G343" s="31">
        <v>346865782</v>
      </c>
      <c r="H343" s="31">
        <v>761687245</v>
      </c>
      <c r="I343" s="50">
        <f>H343*(1+I363)</f>
        <v>670284775.60000002</v>
      </c>
      <c r="J343" s="50">
        <f>I343*(1+J363)</f>
        <v>603256298.04000008</v>
      </c>
      <c r="K343" s="50">
        <f>J343*(1+K363)</f>
        <v>633419112.94200015</v>
      </c>
      <c r="L343" s="50">
        <f>K343*(1+L363)</f>
        <v>665090068.58910024</v>
      </c>
      <c r="M343" s="35"/>
      <c r="N343" s="35"/>
      <c r="O343" s="35"/>
      <c r="P343" s="35"/>
      <c r="Q343" s="35"/>
      <c r="R343" s="35"/>
      <c r="S343" s="35"/>
      <c r="T343" s="35"/>
      <c r="U343" s="35"/>
    </row>
    <row r="344" spans="2:21" x14ac:dyDescent="0.3">
      <c r="B344" s="34" t="s">
        <v>151</v>
      </c>
      <c r="C344" s="22">
        <v>38675911</v>
      </c>
      <c r="D344" s="22">
        <v>32982542</v>
      </c>
      <c r="E344" s="67">
        <v>47278715</v>
      </c>
      <c r="F344" s="22">
        <v>186530856</v>
      </c>
      <c r="G344" s="22">
        <v>262947127</v>
      </c>
      <c r="H344" s="22">
        <v>536463694</v>
      </c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</row>
    <row r="345" spans="2:21" x14ac:dyDescent="0.3">
      <c r="B345" s="34" t="s">
        <v>152</v>
      </c>
      <c r="C345" s="22">
        <v>14879391</v>
      </c>
      <c r="D345" s="22">
        <v>35245601</v>
      </c>
      <c r="E345" s="67">
        <v>36071698</v>
      </c>
      <c r="F345" s="22">
        <v>96133810</v>
      </c>
      <c r="G345" s="22">
        <v>83526929</v>
      </c>
      <c r="H345" s="22">
        <v>196888787</v>
      </c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</row>
    <row r="346" spans="2:21" x14ac:dyDescent="0.3">
      <c r="B346" s="36" t="s">
        <v>162</v>
      </c>
      <c r="C346" s="22">
        <v>40566702</v>
      </c>
      <c r="D346" s="46"/>
      <c r="E346" s="62"/>
      <c r="F346" s="46"/>
      <c r="G346" s="22">
        <v>391726</v>
      </c>
      <c r="H346" s="22">
        <v>28334764</v>
      </c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</row>
    <row r="347" spans="2:21" x14ac:dyDescent="0.3">
      <c r="B347" s="35" t="s">
        <v>163</v>
      </c>
      <c r="C347" s="31">
        <v>10007450</v>
      </c>
      <c r="D347" s="31">
        <v>9539364</v>
      </c>
      <c r="E347" s="66">
        <v>15284770</v>
      </c>
      <c r="F347" s="31">
        <v>11254899</v>
      </c>
      <c r="G347" s="31">
        <v>21778691</v>
      </c>
      <c r="H347" s="31">
        <v>27951009</v>
      </c>
      <c r="I347" s="50">
        <f>H347*(1+I364)</f>
        <v>33541210.799999997</v>
      </c>
      <c r="J347" s="50">
        <f>I347*(1+J364)</f>
        <v>40249452.959999993</v>
      </c>
      <c r="K347" s="50">
        <f>J347*(1+K364)</f>
        <v>48299343.551999994</v>
      </c>
      <c r="L347" s="50">
        <f>K347*(1+L364)</f>
        <v>57959212.262399994</v>
      </c>
      <c r="M347" s="35"/>
      <c r="N347" s="35"/>
      <c r="O347" s="35"/>
      <c r="P347" s="35"/>
      <c r="Q347" s="35"/>
      <c r="R347" s="35"/>
      <c r="S347" s="35"/>
      <c r="T347" s="35"/>
      <c r="U347" s="35"/>
    </row>
    <row r="348" spans="2:21" x14ac:dyDescent="0.3">
      <c r="B348" s="34" t="s">
        <v>153</v>
      </c>
      <c r="C348" s="22">
        <v>1197755</v>
      </c>
      <c r="D348" s="22">
        <v>4368976</v>
      </c>
      <c r="E348" s="67">
        <v>4080152</v>
      </c>
      <c r="F348" s="46"/>
      <c r="G348" s="22">
        <v>4664885</v>
      </c>
      <c r="H348" s="22">
        <v>11163594</v>
      </c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</row>
    <row r="349" spans="2:21" x14ac:dyDescent="0.3">
      <c r="B349" s="34" t="s">
        <v>154</v>
      </c>
      <c r="C349" s="22">
        <v>8809695</v>
      </c>
      <c r="D349" s="22">
        <v>5170388</v>
      </c>
      <c r="E349" s="67">
        <v>11204618</v>
      </c>
      <c r="F349" s="22">
        <v>11254899</v>
      </c>
      <c r="G349" s="22">
        <v>17113806</v>
      </c>
      <c r="H349" s="22">
        <v>16787415</v>
      </c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</row>
    <row r="350" spans="2:21" x14ac:dyDescent="0.3">
      <c r="B350" t="s">
        <v>155</v>
      </c>
      <c r="C350" s="31">
        <v>5803044</v>
      </c>
      <c r="D350" s="31">
        <v>5140927</v>
      </c>
      <c r="E350" s="66">
        <v>5553077</v>
      </c>
      <c r="F350" s="31">
        <v>8969091</v>
      </c>
      <c r="G350" s="31">
        <v>15605634</v>
      </c>
      <c r="H350" s="31">
        <v>35136594</v>
      </c>
      <c r="I350" s="50">
        <f>H350*(1+I365)</f>
        <v>42163912.799999997</v>
      </c>
      <c r="J350" s="50">
        <f>I350*(1+J365)</f>
        <v>50596695.359999992</v>
      </c>
      <c r="K350" s="50">
        <f>J350*(1+K365)</f>
        <v>60716034.431999989</v>
      </c>
      <c r="L350" s="50">
        <f>K350*(1+L365)</f>
        <v>72859241.318399981</v>
      </c>
      <c r="M350" s="35"/>
      <c r="N350" s="35"/>
      <c r="O350" s="35"/>
      <c r="P350" s="35"/>
      <c r="Q350" s="35"/>
      <c r="R350" s="35"/>
      <c r="S350" s="35"/>
      <c r="T350" s="35"/>
      <c r="U350" s="35"/>
    </row>
    <row r="351" spans="2:21" x14ac:dyDescent="0.3">
      <c r="B351" s="34" t="s">
        <v>153</v>
      </c>
      <c r="C351" s="22">
        <v>5803044</v>
      </c>
      <c r="D351" s="22">
        <v>5140927</v>
      </c>
      <c r="E351" s="67">
        <v>5553077</v>
      </c>
      <c r="F351" s="22">
        <v>8969091</v>
      </c>
      <c r="G351" s="22">
        <v>15605634</v>
      </c>
      <c r="H351" s="22">
        <v>35136594</v>
      </c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</row>
    <row r="352" spans="2:21" x14ac:dyDescent="0.3">
      <c r="B352" t="s">
        <v>156</v>
      </c>
      <c r="C352" s="31">
        <v>8145775</v>
      </c>
      <c r="D352" s="31">
        <v>6634319</v>
      </c>
      <c r="E352" s="66">
        <v>3300536</v>
      </c>
      <c r="F352" s="31">
        <v>1286715</v>
      </c>
      <c r="G352" s="31">
        <v>6832912</v>
      </c>
      <c r="H352" s="31">
        <v>7795564</v>
      </c>
      <c r="I352" s="50">
        <f>H352*(1+I366)</f>
        <v>8575120.4000000004</v>
      </c>
      <c r="J352" s="50">
        <f>I352*(1+J366)</f>
        <v>9432632.4400000013</v>
      </c>
      <c r="K352" s="50">
        <f>J352*(1+K366)</f>
        <v>10375895.684000002</v>
      </c>
      <c r="L352" s="50">
        <f>K352*(1+L366)</f>
        <v>11413485.252400003</v>
      </c>
      <c r="M352" s="35"/>
      <c r="N352" s="35"/>
      <c r="O352" s="35"/>
      <c r="P352" s="35"/>
      <c r="Q352" s="35"/>
      <c r="R352" s="35"/>
      <c r="S352" s="35"/>
      <c r="T352" s="35"/>
      <c r="U352" s="35"/>
    </row>
    <row r="353" spans="2:21" x14ac:dyDescent="0.3">
      <c r="B353" s="34" t="s">
        <v>157</v>
      </c>
      <c r="C353" s="22">
        <v>8045593</v>
      </c>
      <c r="D353" s="22">
        <v>5952635</v>
      </c>
      <c r="E353" s="67">
        <v>2520350</v>
      </c>
      <c r="F353" s="22">
        <v>561716</v>
      </c>
      <c r="G353" s="22">
        <v>6521553</v>
      </c>
      <c r="H353" s="22">
        <v>6521553</v>
      </c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</row>
    <row r="354" spans="2:21" x14ac:dyDescent="0.3">
      <c r="B354" s="34" t="s">
        <v>158</v>
      </c>
      <c r="C354" s="22">
        <v>98087</v>
      </c>
      <c r="D354" s="22">
        <v>680203</v>
      </c>
      <c r="E354" s="67">
        <v>777994</v>
      </c>
      <c r="F354" s="22">
        <v>724589</v>
      </c>
      <c r="G354" s="22">
        <v>309749</v>
      </c>
      <c r="H354" s="22">
        <v>1273485</v>
      </c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</row>
    <row r="355" spans="2:21" x14ac:dyDescent="0.3">
      <c r="B355" s="34" t="s">
        <v>159</v>
      </c>
      <c r="C355" s="22">
        <v>2095</v>
      </c>
      <c r="D355" s="22">
        <v>1481</v>
      </c>
      <c r="E355" s="67">
        <v>2192</v>
      </c>
      <c r="F355" s="22">
        <v>410</v>
      </c>
      <c r="G355" s="22">
        <v>1610</v>
      </c>
      <c r="H355" s="22">
        <v>526</v>
      </c>
      <c r="I355" s="35"/>
      <c r="J355" s="35"/>
      <c r="K355" s="62"/>
      <c r="L355" s="35"/>
      <c r="M355" s="35"/>
      <c r="N355" s="35"/>
      <c r="O355" s="35"/>
      <c r="P355" s="35"/>
      <c r="Q355" s="35"/>
      <c r="R355" s="35"/>
      <c r="S355" s="35"/>
      <c r="T355" s="35"/>
      <c r="U355" s="35"/>
    </row>
    <row r="356" spans="2:21" x14ac:dyDescent="0.3">
      <c r="B356" s="32" t="s">
        <v>164</v>
      </c>
      <c r="C356" s="40">
        <f t="shared" ref="C356:L356" si="43">C343+C347+C350+C352</f>
        <v>118078273</v>
      </c>
      <c r="D356" s="40">
        <f t="shared" si="43"/>
        <v>89542753</v>
      </c>
      <c r="E356" s="40">
        <f t="shared" si="43"/>
        <v>107488796</v>
      </c>
      <c r="F356" s="40">
        <f t="shared" si="43"/>
        <v>304175371</v>
      </c>
      <c r="G356" s="40">
        <f t="shared" si="43"/>
        <v>391083019</v>
      </c>
      <c r="H356" s="40">
        <f t="shared" si="43"/>
        <v>832570412</v>
      </c>
      <c r="I356" s="40">
        <f t="shared" si="43"/>
        <v>754565019.5999999</v>
      </c>
      <c r="J356" s="40">
        <f t="shared" si="43"/>
        <v>703535078.80000019</v>
      </c>
      <c r="K356" s="40">
        <f t="shared" si="43"/>
        <v>752810386.61000025</v>
      </c>
      <c r="L356" s="40">
        <f t="shared" si="43"/>
        <v>807322007.42230034</v>
      </c>
      <c r="M356" s="35"/>
      <c r="N356" s="35"/>
      <c r="O356" s="35"/>
      <c r="P356" s="35"/>
      <c r="Q356" s="35"/>
      <c r="R356" s="35"/>
      <c r="S356" s="35"/>
      <c r="T356" s="35"/>
      <c r="U356" s="35"/>
    </row>
    <row r="357" spans="2:21" x14ac:dyDescent="0.3">
      <c r="B357" t="s">
        <v>160</v>
      </c>
      <c r="C357" s="46"/>
      <c r="D357" s="22">
        <v>268340</v>
      </c>
      <c r="E357" s="22">
        <v>429775</v>
      </c>
      <c r="F357" s="22">
        <v>2115842</v>
      </c>
      <c r="G357" s="22">
        <v>5692421</v>
      </c>
      <c r="H357" s="22">
        <v>70920178</v>
      </c>
      <c r="I357" s="49">
        <f>I373</f>
        <v>45273901.175999992</v>
      </c>
      <c r="J357" s="49">
        <f>J373</f>
        <v>35176753.940000013</v>
      </c>
      <c r="K357" s="49">
        <f>K373</f>
        <v>15056207.732200006</v>
      </c>
      <c r="L357" s="49">
        <f>L373</f>
        <v>16146440.148446007</v>
      </c>
      <c r="M357" s="35"/>
      <c r="N357" s="35"/>
      <c r="O357" s="35"/>
      <c r="P357" s="35"/>
      <c r="Q357" s="35"/>
      <c r="R357" s="35"/>
      <c r="S357" s="35"/>
      <c r="T357" s="35"/>
      <c r="U357" s="35"/>
    </row>
    <row r="358" spans="2:21" x14ac:dyDescent="0.3">
      <c r="B358" t="s">
        <v>33</v>
      </c>
      <c r="C358" s="40">
        <f t="shared" ref="C358:L358" si="44">C356-C357</f>
        <v>118078273</v>
      </c>
      <c r="D358" s="40">
        <f t="shared" si="44"/>
        <v>89274413</v>
      </c>
      <c r="E358" s="40">
        <f t="shared" si="44"/>
        <v>107059021</v>
      </c>
      <c r="F358" s="40">
        <f t="shared" si="44"/>
        <v>302059529</v>
      </c>
      <c r="G358" s="40">
        <f t="shared" si="44"/>
        <v>385390598</v>
      </c>
      <c r="H358" s="40">
        <f t="shared" si="44"/>
        <v>761650234</v>
      </c>
      <c r="I358" s="40">
        <f t="shared" si="44"/>
        <v>709291118.42399991</v>
      </c>
      <c r="J358" s="40">
        <f t="shared" si="44"/>
        <v>668358324.86000013</v>
      </c>
      <c r="K358" s="40">
        <f t="shared" si="44"/>
        <v>737754178.87780023</v>
      </c>
      <c r="L358" s="40">
        <f t="shared" si="44"/>
        <v>791175567.27385437</v>
      </c>
      <c r="M358" s="35"/>
      <c r="N358" s="35"/>
      <c r="O358" s="35"/>
      <c r="P358" s="35"/>
      <c r="Q358" s="35"/>
      <c r="R358" s="35"/>
      <c r="S358" s="35"/>
      <c r="T358" s="35"/>
      <c r="U358" s="35"/>
    </row>
    <row r="359" spans="2:21" x14ac:dyDescent="0.3">
      <c r="C359" s="46"/>
      <c r="D359" s="46"/>
      <c r="E359" s="46"/>
      <c r="F359" s="46"/>
      <c r="G359" s="46"/>
      <c r="H359" s="46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</row>
    <row r="360" spans="2:21" s="28" customFormat="1" x14ac:dyDescent="0.3">
      <c r="B360" s="28" t="s">
        <v>145</v>
      </c>
      <c r="C360" s="46">
        <f t="shared" ref="C360:H360" si="45">C358-C341</f>
        <v>0</v>
      </c>
      <c r="D360" s="46">
        <f t="shared" si="45"/>
        <v>0</v>
      </c>
      <c r="E360" s="46">
        <f t="shared" si="45"/>
        <v>0</v>
      </c>
      <c r="F360" s="46">
        <f t="shared" si="45"/>
        <v>0</v>
      </c>
      <c r="G360" s="46">
        <f t="shared" si="45"/>
        <v>0</v>
      </c>
      <c r="H360" s="46">
        <f t="shared" si="45"/>
        <v>0</v>
      </c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</row>
    <row r="361" spans="2:21" x14ac:dyDescent="0.3">
      <c r="C361" s="46"/>
      <c r="D361" s="46"/>
      <c r="E361" s="46"/>
      <c r="F361" s="46"/>
      <c r="G361" s="46"/>
      <c r="H361" s="46"/>
      <c r="I361" s="49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</row>
    <row r="362" spans="2:21" x14ac:dyDescent="0.3">
      <c r="B362" t="s">
        <v>312</v>
      </c>
      <c r="C362" s="46"/>
      <c r="I362" s="49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</row>
    <row r="363" spans="2:21" x14ac:dyDescent="0.3">
      <c r="B363" t="s">
        <v>313</v>
      </c>
      <c r="C363" s="46"/>
      <c r="D363" s="60">
        <f>D343/C343-1</f>
        <v>-0.27510953761672985</v>
      </c>
      <c r="E363" s="60">
        <f>E343/D343-1</f>
        <v>0.22164270248422269</v>
      </c>
      <c r="F363" s="60">
        <f>F343/E343-1</f>
        <v>2.3912809286259926</v>
      </c>
      <c r="G363" s="60">
        <f>G343/F343-1</f>
        <v>0.22712819719745236</v>
      </c>
      <c r="H363" s="60">
        <f>H343/G343-1</f>
        <v>1.1959134758354457</v>
      </c>
      <c r="I363" s="60">
        <v>-0.12</v>
      </c>
      <c r="J363" s="60">
        <v>-0.1</v>
      </c>
      <c r="K363" s="60">
        <v>0.05</v>
      </c>
      <c r="L363" s="60">
        <v>0.05</v>
      </c>
      <c r="M363" s="35"/>
      <c r="N363" s="35"/>
      <c r="O363" s="35"/>
      <c r="P363" s="35"/>
      <c r="Q363" s="35"/>
      <c r="R363" s="35"/>
      <c r="S363" s="35"/>
      <c r="T363" s="35"/>
      <c r="U363" s="35"/>
    </row>
    <row r="364" spans="2:21" x14ac:dyDescent="0.3">
      <c r="B364" t="s">
        <v>315</v>
      </c>
      <c r="C364" s="46"/>
      <c r="D364" s="60">
        <f>D347/C347-1</f>
        <v>-4.6773753553602582E-2</v>
      </c>
      <c r="E364" s="60">
        <f>E347/D347-1</f>
        <v>0.6022839677781453</v>
      </c>
      <c r="F364" s="60">
        <f>F347/E347-1</f>
        <v>-0.26365270789158102</v>
      </c>
      <c r="G364" s="60">
        <f>G347/F347-1</f>
        <v>0.93504099859092471</v>
      </c>
      <c r="H364" s="60">
        <f>H347/G347-1</f>
        <v>0.28341088084678745</v>
      </c>
      <c r="I364" s="60">
        <v>0.2</v>
      </c>
      <c r="J364" s="60">
        <v>0.2</v>
      </c>
      <c r="K364" s="60">
        <v>0.2</v>
      </c>
      <c r="L364" s="60">
        <v>0.2</v>
      </c>
      <c r="M364" s="35"/>
      <c r="N364" s="35"/>
      <c r="O364" s="35"/>
      <c r="P364" s="35"/>
      <c r="Q364" s="35"/>
      <c r="R364" s="35"/>
      <c r="S364" s="35"/>
      <c r="T364" s="35"/>
      <c r="U364" s="35"/>
    </row>
    <row r="365" spans="2:21" x14ac:dyDescent="0.3">
      <c r="B365" t="s">
        <v>314</v>
      </c>
      <c r="C365" s="46"/>
      <c r="D365" s="60">
        <f>D350/C350-1</f>
        <v>-0.11409822155406713</v>
      </c>
      <c r="E365" s="60">
        <f>E350/D350-1</f>
        <v>8.0170366161589124E-2</v>
      </c>
      <c r="F365" s="60">
        <f>F350/E350-1</f>
        <v>0.61515696612886872</v>
      </c>
      <c r="G365" s="60">
        <f>G350/F350-1</f>
        <v>0.7399348495850917</v>
      </c>
      <c r="H365" s="60">
        <f>H350/G350-1</f>
        <v>1.2515326195654723</v>
      </c>
      <c r="I365" s="60">
        <v>0.2</v>
      </c>
      <c r="J365" s="60">
        <v>0.2</v>
      </c>
      <c r="K365" s="60">
        <v>0.2</v>
      </c>
      <c r="L365" s="60">
        <v>0.2</v>
      </c>
      <c r="M365" s="35"/>
      <c r="N365" s="35"/>
      <c r="O365" s="35"/>
      <c r="P365" s="35"/>
      <c r="Q365" s="35"/>
      <c r="R365" s="35"/>
      <c r="S365" s="35"/>
      <c r="T365" s="35"/>
      <c r="U365" s="35"/>
    </row>
    <row r="366" spans="2:21" x14ac:dyDescent="0.3">
      <c r="B366" t="s">
        <v>316</v>
      </c>
      <c r="C366" s="46"/>
      <c r="D366" s="60">
        <f>D352/C352-1</f>
        <v>-0.18555091443110083</v>
      </c>
      <c r="E366" s="60">
        <f>E352/D352-1</f>
        <v>-0.50250568294952358</v>
      </c>
      <c r="F366" s="60">
        <f>F352/E352-1</f>
        <v>-0.61014968477847242</v>
      </c>
      <c r="G366" s="60">
        <f>G352/F352-1</f>
        <v>4.3103538856700983</v>
      </c>
      <c r="H366" s="60">
        <f>H352/G352-1</f>
        <v>0.14088458917662039</v>
      </c>
      <c r="I366" s="60">
        <v>0.1</v>
      </c>
      <c r="J366" s="60">
        <v>0.1</v>
      </c>
      <c r="K366" s="60">
        <v>0.1</v>
      </c>
      <c r="L366" s="60">
        <v>0.1</v>
      </c>
      <c r="M366" s="35"/>
      <c r="N366" s="35"/>
      <c r="O366" s="35"/>
      <c r="P366" s="35"/>
      <c r="Q366" s="35"/>
      <c r="R366" s="35"/>
      <c r="S366" s="35"/>
      <c r="T366" s="35"/>
      <c r="U366" s="35"/>
    </row>
    <row r="367" spans="2:21" x14ac:dyDescent="0.3">
      <c r="C367" s="46"/>
      <c r="D367" s="46"/>
      <c r="E367" s="46"/>
      <c r="F367" s="46"/>
      <c r="G367" s="46"/>
      <c r="H367" s="46"/>
      <c r="I367" s="49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</row>
    <row r="368" spans="2:21" x14ac:dyDescent="0.3">
      <c r="C368" s="46"/>
      <c r="D368" s="46"/>
      <c r="E368" s="46"/>
      <c r="F368" s="46"/>
      <c r="G368" s="46"/>
      <c r="H368" s="46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</row>
    <row r="369" spans="2:21" x14ac:dyDescent="0.3">
      <c r="B369" t="s">
        <v>165</v>
      </c>
      <c r="C369" s="46"/>
      <c r="D369" s="46"/>
      <c r="E369" s="46"/>
      <c r="F369" s="46"/>
      <c r="G369" s="46"/>
      <c r="H369" s="46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</row>
    <row r="370" spans="2:21" x14ac:dyDescent="0.3">
      <c r="B370" t="s">
        <v>137</v>
      </c>
      <c r="C370" s="46"/>
      <c r="D370" s="46"/>
      <c r="E370" s="22">
        <v>276905</v>
      </c>
      <c r="F370" s="22">
        <v>1962972</v>
      </c>
      <c r="G370" s="22">
        <v>5539551</v>
      </c>
      <c r="H370" s="22">
        <v>236544</v>
      </c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</row>
    <row r="371" spans="2:21" x14ac:dyDescent="0.3">
      <c r="B371" t="s">
        <v>138</v>
      </c>
      <c r="C371" s="46"/>
      <c r="D371" s="46"/>
      <c r="E371" s="22">
        <v>0</v>
      </c>
      <c r="F371" s="22">
        <v>0</v>
      </c>
      <c r="G371" s="22">
        <v>0</v>
      </c>
      <c r="H371" s="22">
        <v>70530764</v>
      </c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</row>
    <row r="372" spans="2:21" x14ac:dyDescent="0.3">
      <c r="B372" t="s">
        <v>141</v>
      </c>
      <c r="C372" s="46"/>
      <c r="D372" s="46"/>
      <c r="E372" s="22">
        <v>152870</v>
      </c>
      <c r="F372" s="22">
        <v>152870</v>
      </c>
      <c r="G372" s="22">
        <v>152870</v>
      </c>
      <c r="H372" s="22">
        <v>152870</v>
      </c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</row>
    <row r="373" spans="2:21" x14ac:dyDescent="0.3">
      <c r="C373" s="40">
        <f t="shared" ref="C373:H373" si="46">SUM(C370:C372)</f>
        <v>0</v>
      </c>
      <c r="D373" s="40">
        <f t="shared" si="46"/>
        <v>0</v>
      </c>
      <c r="E373" s="40">
        <f t="shared" si="46"/>
        <v>429775</v>
      </c>
      <c r="F373" s="40">
        <f t="shared" si="46"/>
        <v>2115842</v>
      </c>
      <c r="G373" s="40">
        <f t="shared" si="46"/>
        <v>5692421</v>
      </c>
      <c r="H373" s="40">
        <f t="shared" si="46"/>
        <v>70920178</v>
      </c>
      <c r="I373" s="50">
        <f>I356*I375</f>
        <v>45273901.175999992</v>
      </c>
      <c r="J373" s="50">
        <f>J356*J375</f>
        <v>35176753.940000013</v>
      </c>
      <c r="K373" s="50">
        <f>K356*K375</f>
        <v>15056207.732200006</v>
      </c>
      <c r="L373" s="50">
        <f>L356*L375</f>
        <v>16146440.148446007</v>
      </c>
      <c r="M373" s="35"/>
      <c r="N373" s="35"/>
      <c r="O373" s="35"/>
      <c r="P373" s="35"/>
      <c r="Q373" s="35"/>
      <c r="R373" s="35"/>
      <c r="S373" s="35"/>
      <c r="T373" s="35"/>
      <c r="U373" s="35"/>
    </row>
    <row r="374" spans="2:21" x14ac:dyDescent="0.3">
      <c r="C374" s="46"/>
      <c r="D374" s="46"/>
      <c r="E374" s="46"/>
      <c r="F374" s="46"/>
      <c r="G374" s="46"/>
      <c r="H374" s="46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</row>
    <row r="375" spans="2:21" x14ac:dyDescent="0.3">
      <c r="B375" t="s">
        <v>317</v>
      </c>
      <c r="C375" s="61">
        <f t="shared" ref="C375:H375" si="47">C373/C356</f>
        <v>0</v>
      </c>
      <c r="D375" s="61">
        <f t="shared" si="47"/>
        <v>0</v>
      </c>
      <c r="E375" s="61">
        <f t="shared" si="47"/>
        <v>3.9983236950574827E-3</v>
      </c>
      <c r="F375" s="61">
        <f t="shared" si="47"/>
        <v>6.9559938171325515E-3</v>
      </c>
      <c r="G375" s="61">
        <f t="shared" si="47"/>
        <v>1.4555530983051965E-2</v>
      </c>
      <c r="H375" s="61">
        <f t="shared" si="47"/>
        <v>8.5182198379636864E-2</v>
      </c>
      <c r="I375" s="86">
        <v>0.06</v>
      </c>
      <c r="J375" s="86">
        <v>0.05</v>
      </c>
      <c r="K375" s="86">
        <v>0.02</v>
      </c>
      <c r="L375" s="86">
        <v>0.02</v>
      </c>
      <c r="M375" s="35"/>
      <c r="N375" s="35"/>
      <c r="O375" s="35"/>
      <c r="P375" s="35"/>
      <c r="Q375" s="35"/>
      <c r="R375" s="35"/>
      <c r="S375" s="35"/>
      <c r="T375" s="35"/>
      <c r="U375" s="35"/>
    </row>
    <row r="376" spans="2:21" x14ac:dyDescent="0.3">
      <c r="C376" s="46"/>
      <c r="D376" s="46"/>
      <c r="E376" s="46"/>
      <c r="F376" s="46"/>
      <c r="G376" s="46"/>
      <c r="H376" s="46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</row>
    <row r="377" spans="2:21" s="28" customFormat="1" x14ac:dyDescent="0.3">
      <c r="B377" s="28" t="s">
        <v>145</v>
      </c>
      <c r="C377" s="46">
        <f t="shared" ref="C377:H377" si="48">C373-C357</f>
        <v>0</v>
      </c>
      <c r="D377" s="46">
        <f t="shared" si="48"/>
        <v>-268340</v>
      </c>
      <c r="E377" s="46">
        <f t="shared" si="48"/>
        <v>0</v>
      </c>
      <c r="F377" s="46">
        <f t="shared" si="48"/>
        <v>0</v>
      </c>
      <c r="G377" s="46">
        <f t="shared" si="48"/>
        <v>0</v>
      </c>
      <c r="H377" s="46">
        <f t="shared" si="48"/>
        <v>0</v>
      </c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</row>
    <row r="378" spans="2:21" x14ac:dyDescent="0.3">
      <c r="C378" s="46"/>
      <c r="D378" s="46"/>
      <c r="E378" s="46"/>
      <c r="F378" s="46"/>
      <c r="G378" s="46"/>
      <c r="H378" s="46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</row>
    <row r="379" spans="2:21" x14ac:dyDescent="0.3">
      <c r="B379" t="s">
        <v>310</v>
      </c>
      <c r="C379" s="60">
        <f>C341/FS!C62</f>
        <v>0.10215968401935187</v>
      </c>
      <c r="D379" s="60">
        <f>D341/FS!D62</f>
        <v>6.7636628025291953E-2</v>
      </c>
      <c r="E379" s="60">
        <f>E341/FS!E62</f>
        <v>7.5985433875038907E-2</v>
      </c>
      <c r="F379" s="60">
        <f>F341/FS!G62</f>
        <v>0.1713816671235594</v>
      </c>
      <c r="G379" s="60">
        <f>G341/FS!H62</f>
        <v>0.19429912715556849</v>
      </c>
      <c r="H379" s="60">
        <f>H341/FS!I62</f>
        <v>0.30471446636183447</v>
      </c>
      <c r="I379" s="60">
        <f>I341/FS!J62</f>
        <v>0.26641819161642594</v>
      </c>
      <c r="J379" s="60">
        <f>J341/FS!K62</f>
        <v>0.22632663151578231</v>
      </c>
      <c r="K379" s="60">
        <f>K341/FS!L62</f>
        <v>0.21898942245406738</v>
      </c>
      <c r="L379" s="60">
        <f>L341/FS!M62</f>
        <v>0.21011309047715665</v>
      </c>
      <c r="M379" s="35"/>
      <c r="N379" s="60">
        <f>N341/2525511650</f>
        <v>0.27984340440480643</v>
      </c>
      <c r="O379" s="35"/>
      <c r="P379" s="35"/>
      <c r="Q379" s="35"/>
      <c r="R379" s="35"/>
      <c r="S379" s="35"/>
      <c r="T379" s="35"/>
      <c r="U379" s="35"/>
    </row>
    <row r="380" spans="2:21" x14ac:dyDescent="0.3">
      <c r="B380" t="s">
        <v>311</v>
      </c>
      <c r="C380" s="60">
        <f t="shared" ref="C380:L380" si="49">C341/C289</f>
        <v>0.15903994419081743</v>
      </c>
      <c r="D380" s="60">
        <f t="shared" si="49"/>
        <v>0.10289670436729886</v>
      </c>
      <c r="E380" s="60">
        <f t="shared" si="49"/>
        <v>0.11976362931486106</v>
      </c>
      <c r="F380" s="60">
        <f t="shared" si="49"/>
        <v>0.33199587163819805</v>
      </c>
      <c r="G380" s="60">
        <f t="shared" si="49"/>
        <v>0.37431678224044013</v>
      </c>
      <c r="H380" s="60">
        <f t="shared" si="49"/>
        <v>0.65915634779349808</v>
      </c>
      <c r="I380" s="60">
        <f t="shared" si="49"/>
        <v>0.58380336389536436</v>
      </c>
      <c r="J380" s="60">
        <f t="shared" si="49"/>
        <v>0.46857847249476675</v>
      </c>
      <c r="K380" s="60">
        <f t="shared" si="49"/>
        <v>0.44679666141691293</v>
      </c>
      <c r="L380" s="60">
        <f t="shared" si="49"/>
        <v>0.41465285001654756</v>
      </c>
      <c r="M380" s="35"/>
      <c r="N380" s="60">
        <f>N341/N289</f>
        <v>0.6154855571420691</v>
      </c>
      <c r="O380" s="35"/>
      <c r="P380" s="35"/>
      <c r="Q380" s="35"/>
      <c r="R380" s="35"/>
      <c r="S380" s="35"/>
      <c r="T380" s="35"/>
      <c r="U380" s="35"/>
    </row>
    <row r="381" spans="2:21" x14ac:dyDescent="0.3">
      <c r="C381" s="46"/>
      <c r="D381" s="46"/>
      <c r="E381" s="46"/>
      <c r="F381" s="46"/>
      <c r="G381" s="46"/>
      <c r="H381" s="46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</row>
    <row r="382" spans="2:21" s="6" customFormat="1" x14ac:dyDescent="0.3">
      <c r="C382" s="54"/>
      <c r="D382" s="54"/>
      <c r="E382" s="54"/>
      <c r="F382" s="54"/>
      <c r="G382" s="54"/>
      <c r="H382" s="54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</row>
    <row r="383" spans="2:21" x14ac:dyDescent="0.3">
      <c r="C383" s="46"/>
      <c r="D383" s="46"/>
      <c r="E383" s="46"/>
      <c r="F383" s="46"/>
      <c r="G383" s="46"/>
      <c r="H383" s="46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</row>
    <row r="384" spans="2:21" x14ac:dyDescent="0.3">
      <c r="B384" t="s">
        <v>34</v>
      </c>
      <c r="C384" s="22">
        <v>154913643</v>
      </c>
      <c r="D384" s="22">
        <v>176760611</v>
      </c>
      <c r="E384" s="22">
        <v>197825017</v>
      </c>
      <c r="F384" s="22">
        <v>278716794</v>
      </c>
      <c r="G384" s="22">
        <v>335953802</v>
      </c>
      <c r="H384" s="22">
        <v>118652257</v>
      </c>
      <c r="I384" s="49">
        <f>I386+I387</f>
        <v>296954728</v>
      </c>
      <c r="J384" s="49">
        <f>J386+J387</f>
        <v>326650200.80000001</v>
      </c>
      <c r="K384" s="49">
        <f>K386+K387</f>
        <v>359315220.88</v>
      </c>
      <c r="L384" s="49">
        <f>L386+L387</f>
        <v>395246742.96800005</v>
      </c>
      <c r="M384" s="35"/>
      <c r="N384" s="33">
        <v>246477855</v>
      </c>
      <c r="O384" s="35"/>
      <c r="P384" s="35"/>
      <c r="Q384" s="35"/>
      <c r="R384" s="35"/>
      <c r="S384" s="35"/>
      <c r="T384" s="35"/>
      <c r="U384" s="35"/>
    </row>
    <row r="385" spans="2:21" x14ac:dyDescent="0.3">
      <c r="C385" s="46"/>
      <c r="D385" s="46"/>
      <c r="E385" s="46"/>
      <c r="F385" s="46"/>
      <c r="G385" s="46"/>
      <c r="H385" s="46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</row>
    <row r="386" spans="2:21" x14ac:dyDescent="0.3">
      <c r="B386" t="s">
        <v>167</v>
      </c>
      <c r="C386" s="22">
        <v>154366556</v>
      </c>
      <c r="D386" s="22">
        <v>176516118</v>
      </c>
      <c r="E386" s="22">
        <v>197604294</v>
      </c>
      <c r="F386" s="22">
        <v>278424725</v>
      </c>
      <c r="G386" s="22">
        <v>335503946</v>
      </c>
      <c r="H386" s="22">
        <v>118436200</v>
      </c>
      <c r="I386" s="49">
        <f t="shared" ref="I386:L387" si="50">H386*(1+I391)</f>
        <v>296090500</v>
      </c>
      <c r="J386" s="49">
        <f t="shared" si="50"/>
        <v>325699550</v>
      </c>
      <c r="K386" s="49">
        <f t="shared" si="50"/>
        <v>358269505</v>
      </c>
      <c r="L386" s="49">
        <f t="shared" si="50"/>
        <v>394096455.50000006</v>
      </c>
      <c r="M386" s="35"/>
      <c r="N386" s="35"/>
      <c r="O386" s="35"/>
      <c r="P386" s="35"/>
      <c r="Q386" s="35"/>
      <c r="R386" s="35"/>
      <c r="S386" s="35"/>
      <c r="T386" s="35"/>
      <c r="U386" s="35"/>
    </row>
    <row r="387" spans="2:21" x14ac:dyDescent="0.3">
      <c r="B387" t="s">
        <v>166</v>
      </c>
      <c r="C387" s="22">
        <v>547087</v>
      </c>
      <c r="D387" s="22">
        <v>244493</v>
      </c>
      <c r="E387" s="22">
        <v>220723</v>
      </c>
      <c r="F387" s="22">
        <v>292069</v>
      </c>
      <c r="G387" s="22">
        <v>449856</v>
      </c>
      <c r="H387" s="22">
        <v>216057</v>
      </c>
      <c r="I387" s="49">
        <f t="shared" si="50"/>
        <v>864228</v>
      </c>
      <c r="J387" s="49">
        <f t="shared" si="50"/>
        <v>950650.8</v>
      </c>
      <c r="K387" s="49">
        <f t="shared" si="50"/>
        <v>1045715.8800000001</v>
      </c>
      <c r="L387" s="49">
        <f t="shared" si="50"/>
        <v>1150287.4680000001</v>
      </c>
      <c r="M387" s="35"/>
      <c r="N387" s="35"/>
      <c r="O387" s="35"/>
      <c r="P387" s="35"/>
      <c r="Q387" s="35"/>
      <c r="R387" s="35"/>
      <c r="S387" s="35"/>
      <c r="T387" s="35"/>
      <c r="U387" s="35"/>
    </row>
    <row r="388" spans="2:21" x14ac:dyDescent="0.3">
      <c r="C388" s="46"/>
      <c r="D388" s="46"/>
      <c r="E388" s="46"/>
      <c r="F388" s="46"/>
      <c r="G388" s="46"/>
      <c r="H388" s="46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</row>
    <row r="389" spans="2:21" s="28" customFormat="1" x14ac:dyDescent="0.3">
      <c r="B389" s="28" t="s">
        <v>145</v>
      </c>
      <c r="C389" s="46">
        <f t="shared" ref="C389:H389" si="51">SUM(C386:C387)-C384</f>
        <v>0</v>
      </c>
      <c r="D389" s="46">
        <f t="shared" si="51"/>
        <v>0</v>
      </c>
      <c r="E389" s="46">
        <f t="shared" si="51"/>
        <v>0</v>
      </c>
      <c r="F389" s="46">
        <f t="shared" si="51"/>
        <v>0</v>
      </c>
      <c r="G389" s="46">
        <f t="shared" si="51"/>
        <v>0</v>
      </c>
      <c r="H389" s="46">
        <f t="shared" si="51"/>
        <v>0</v>
      </c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</row>
    <row r="390" spans="2:21" s="28" customFormat="1" x14ac:dyDescent="0.3">
      <c r="C390" s="46"/>
      <c r="D390" s="46"/>
      <c r="E390" s="46"/>
      <c r="F390" s="46"/>
      <c r="G390" s="46"/>
      <c r="H390" s="46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</row>
    <row r="391" spans="2:21" x14ac:dyDescent="0.3">
      <c r="B391" t="s">
        <v>318</v>
      </c>
      <c r="C391" s="60"/>
      <c r="D391" s="60">
        <f t="shared" ref="D391:H392" si="52">D386/C386-1</f>
        <v>0.14348679256664898</v>
      </c>
      <c r="E391" s="60">
        <f t="shared" si="52"/>
        <v>0.11946884080013587</v>
      </c>
      <c r="F391" s="60">
        <f t="shared" si="52"/>
        <v>0.40900139042525052</v>
      </c>
      <c r="G391" s="60">
        <f t="shared" si="52"/>
        <v>0.20500773054548227</v>
      </c>
      <c r="H391" s="60">
        <f t="shared" si="52"/>
        <v>-0.64699014300117952</v>
      </c>
      <c r="I391" s="60">
        <v>1.5</v>
      </c>
      <c r="J391" s="60">
        <v>0.1</v>
      </c>
      <c r="K391" s="60">
        <v>0.1</v>
      </c>
      <c r="L391" s="60">
        <v>0.1</v>
      </c>
      <c r="M391" s="35"/>
      <c r="N391" s="60"/>
      <c r="O391" s="35"/>
      <c r="P391" s="35"/>
      <c r="Q391" s="35"/>
      <c r="R391" s="35"/>
      <c r="S391" s="35"/>
      <c r="T391" s="35"/>
      <c r="U391" s="35"/>
    </row>
    <row r="392" spans="2:21" x14ac:dyDescent="0.3">
      <c r="B392" t="s">
        <v>319</v>
      </c>
      <c r="C392" s="60"/>
      <c r="D392" s="60">
        <f t="shared" si="52"/>
        <v>-0.55310032956367083</v>
      </c>
      <c r="E392" s="60">
        <f t="shared" si="52"/>
        <v>-9.7221597346345279E-2</v>
      </c>
      <c r="F392" s="60">
        <f t="shared" si="52"/>
        <v>0.32323772330024503</v>
      </c>
      <c r="G392" s="60">
        <f t="shared" si="52"/>
        <v>0.540238779192588</v>
      </c>
      <c r="H392" s="60">
        <f t="shared" si="52"/>
        <v>-0.51971964361929146</v>
      </c>
      <c r="I392" s="60">
        <v>3</v>
      </c>
      <c r="J392" s="60">
        <v>0.1</v>
      </c>
      <c r="K392" s="60">
        <v>0.1</v>
      </c>
      <c r="L392" s="60">
        <v>0.1</v>
      </c>
      <c r="M392" s="35"/>
      <c r="N392" s="60"/>
      <c r="O392" s="35"/>
      <c r="P392" s="35"/>
      <c r="Q392" s="35"/>
      <c r="R392" s="35"/>
      <c r="S392" s="35"/>
      <c r="T392" s="35"/>
      <c r="U392" s="35"/>
    </row>
    <row r="393" spans="2:21" x14ac:dyDescent="0.3"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35"/>
      <c r="N393" s="60"/>
      <c r="O393" s="35"/>
      <c r="P393" s="35"/>
      <c r="Q393" s="35"/>
      <c r="R393" s="35"/>
      <c r="S393" s="35"/>
      <c r="T393" s="35"/>
      <c r="U393" s="35"/>
    </row>
    <row r="394" spans="2:21" s="68" customFormat="1" x14ac:dyDescent="0.3">
      <c r="C394" s="69"/>
      <c r="D394" s="69"/>
      <c r="E394" s="69"/>
      <c r="F394" s="69"/>
      <c r="G394" s="69"/>
      <c r="H394" s="69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</row>
    <row r="395" spans="2:21" x14ac:dyDescent="0.3">
      <c r="C395" s="46"/>
      <c r="D395" s="46"/>
      <c r="E395" s="46"/>
      <c r="F395" s="46"/>
      <c r="G395" s="46"/>
      <c r="H395" s="46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</row>
    <row r="396" spans="2:21" x14ac:dyDescent="0.3">
      <c r="B396" t="s">
        <v>36</v>
      </c>
      <c r="C396" s="22">
        <v>109844</v>
      </c>
      <c r="D396" s="22">
        <v>105320</v>
      </c>
      <c r="E396" s="22">
        <v>56821</v>
      </c>
      <c r="F396" s="22">
        <v>64155</v>
      </c>
      <c r="G396" s="22">
        <v>60428</v>
      </c>
      <c r="H396" s="22">
        <v>55302</v>
      </c>
      <c r="I396" s="49">
        <f>H396</f>
        <v>55302</v>
      </c>
      <c r="J396" s="49">
        <f>I396</f>
        <v>55302</v>
      </c>
      <c r="K396" s="49">
        <f>J396</f>
        <v>55302</v>
      </c>
      <c r="L396" s="49">
        <f>K396</f>
        <v>55302</v>
      </c>
      <c r="M396" s="49"/>
      <c r="N396" s="33">
        <v>59475</v>
      </c>
      <c r="O396" s="49"/>
      <c r="P396" s="22">
        <v>57856</v>
      </c>
      <c r="Q396" s="22">
        <v>55302</v>
      </c>
      <c r="R396" s="35"/>
      <c r="S396" s="35"/>
      <c r="T396" s="35"/>
      <c r="U396" s="35"/>
    </row>
    <row r="397" spans="2:21" x14ac:dyDescent="0.3">
      <c r="C397" s="46"/>
      <c r="D397" s="46"/>
      <c r="E397" s="46"/>
      <c r="F397" s="46"/>
      <c r="G397" s="46"/>
      <c r="H397" s="46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</row>
    <row r="398" spans="2:21" x14ac:dyDescent="0.3">
      <c r="C398" s="46"/>
      <c r="D398" s="46"/>
      <c r="E398" s="46"/>
      <c r="F398" s="46"/>
      <c r="G398" s="46"/>
      <c r="H398" s="46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</row>
    <row r="399" spans="2:21" s="68" customFormat="1" x14ac:dyDescent="0.3">
      <c r="C399" s="69"/>
      <c r="D399" s="69"/>
      <c r="E399" s="69"/>
      <c r="F399" s="69"/>
      <c r="G399" s="69"/>
      <c r="H399" s="69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</row>
    <row r="400" spans="2:21" x14ac:dyDescent="0.3">
      <c r="C400" s="46"/>
      <c r="D400" s="46"/>
      <c r="E400" s="46"/>
      <c r="F400" s="46"/>
      <c r="G400" s="46"/>
      <c r="H400" s="46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</row>
    <row r="401" spans="2:21" x14ac:dyDescent="0.3">
      <c r="B401" t="s">
        <v>37</v>
      </c>
      <c r="C401" s="22">
        <v>16317044</v>
      </c>
      <c r="D401" s="22">
        <v>17015236</v>
      </c>
      <c r="E401" s="22">
        <v>22524658</v>
      </c>
      <c r="F401" s="22">
        <v>25386630</v>
      </c>
      <c r="G401" s="22">
        <v>24744634</v>
      </c>
      <c r="H401" s="22">
        <v>27446607</v>
      </c>
      <c r="I401" s="49">
        <f>I419</f>
        <v>28268181.5</v>
      </c>
      <c r="J401" s="49">
        <f>J419</f>
        <v>29212223</v>
      </c>
      <c r="K401" s="49">
        <f>K419</f>
        <v>30197343.225000001</v>
      </c>
      <c r="L401" s="49">
        <f>L419</f>
        <v>31229665.525000002</v>
      </c>
      <c r="M401" s="49"/>
      <c r="N401" s="33">
        <v>26538514</v>
      </c>
      <c r="O401" s="49"/>
      <c r="P401" s="22">
        <v>26649043</v>
      </c>
      <c r="Q401" s="22">
        <v>27446607</v>
      </c>
      <c r="R401" s="35"/>
      <c r="S401" s="35"/>
      <c r="T401" s="35"/>
      <c r="U401" s="35"/>
    </row>
    <row r="402" spans="2:21" x14ac:dyDescent="0.3">
      <c r="C402" s="46"/>
      <c r="D402" s="46"/>
      <c r="E402" s="46"/>
      <c r="F402" s="46"/>
      <c r="G402" s="46"/>
      <c r="H402" s="46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</row>
    <row r="403" spans="2:21" x14ac:dyDescent="0.3">
      <c r="B403" t="s">
        <v>267</v>
      </c>
      <c r="C403" s="46"/>
      <c r="D403" s="46"/>
      <c r="E403" s="46"/>
      <c r="F403" s="46"/>
      <c r="G403" s="46"/>
      <c r="H403" s="46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</row>
    <row r="404" spans="2:21" x14ac:dyDescent="0.3">
      <c r="B404" t="s">
        <v>261</v>
      </c>
      <c r="C404" s="22">
        <v>18861131</v>
      </c>
      <c r="D404" s="22">
        <v>24218194</v>
      </c>
      <c r="E404" s="22">
        <v>26133242</v>
      </c>
      <c r="F404" s="22">
        <v>34132719</v>
      </c>
      <c r="G404" s="22">
        <v>38993957</v>
      </c>
      <c r="H404" s="22">
        <v>41078725</v>
      </c>
      <c r="I404" s="49">
        <f>H409</f>
        <v>47202075</v>
      </c>
      <c r="J404" s="49">
        <f>I409</f>
        <v>49256011.25</v>
      </c>
      <c r="K404" s="49">
        <f>J409</f>
        <v>51616115</v>
      </c>
      <c r="L404" s="49">
        <f>K409</f>
        <v>54078915.5625</v>
      </c>
      <c r="M404" s="35"/>
      <c r="N404" s="35"/>
      <c r="O404" s="35"/>
      <c r="P404" s="35"/>
      <c r="Q404" s="35"/>
      <c r="R404" s="35"/>
      <c r="S404" s="35"/>
      <c r="T404" s="35"/>
      <c r="U404" s="35"/>
    </row>
    <row r="405" spans="2:21" x14ac:dyDescent="0.3">
      <c r="B405" t="s">
        <v>262</v>
      </c>
      <c r="C405" s="22">
        <v>2163733</v>
      </c>
      <c r="D405" s="22">
        <v>2081002</v>
      </c>
      <c r="E405" s="22">
        <v>2673746</v>
      </c>
      <c r="F405" s="22">
        <v>1948928</v>
      </c>
      <c r="G405" s="22">
        <v>2188054</v>
      </c>
      <c r="H405" s="22">
        <v>4748991</v>
      </c>
      <c r="I405" s="49">
        <f>H404*I423</f>
        <v>2053936.25</v>
      </c>
      <c r="J405" s="49">
        <f>I404*J423</f>
        <v>2360103.75</v>
      </c>
      <c r="K405" s="49">
        <f>J404*K423</f>
        <v>2462800.5625</v>
      </c>
      <c r="L405" s="49">
        <f>K404*L423</f>
        <v>2580805.75</v>
      </c>
      <c r="M405" s="35"/>
      <c r="N405" s="35"/>
      <c r="O405" s="35"/>
      <c r="P405" s="35"/>
      <c r="Q405" s="35"/>
      <c r="R405" s="35"/>
      <c r="S405" s="35"/>
      <c r="T405" s="35"/>
      <c r="U405" s="35"/>
    </row>
    <row r="406" spans="2:21" x14ac:dyDescent="0.3">
      <c r="B406" t="s">
        <v>263</v>
      </c>
      <c r="C406" s="22">
        <v>-284381</v>
      </c>
      <c r="D406" s="22">
        <v>-296116</v>
      </c>
      <c r="E406" s="22">
        <v>-142690</v>
      </c>
      <c r="F406" s="22">
        <v>-186877</v>
      </c>
      <c r="G406" s="22">
        <v>-244889</v>
      </c>
      <c r="H406" s="22">
        <v>-281155</v>
      </c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</row>
    <row r="407" spans="2:21" x14ac:dyDescent="0.3">
      <c r="B407" t="s">
        <v>264</v>
      </c>
      <c r="C407" s="22">
        <v>-11367</v>
      </c>
      <c r="D407" s="22">
        <v>131362</v>
      </c>
      <c r="E407" s="22">
        <v>-60358</v>
      </c>
      <c r="F407" s="22">
        <v>84726</v>
      </c>
      <c r="G407" s="22">
        <v>144327</v>
      </c>
      <c r="H407" s="22">
        <v>1656960</v>
      </c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</row>
    <row r="408" spans="2:21" x14ac:dyDescent="0.3">
      <c r="B408" t="s">
        <v>265</v>
      </c>
      <c r="C408" s="46">
        <f>-356903+3845981</f>
        <v>3489078</v>
      </c>
      <c r="D408" s="22">
        <v>-1200</v>
      </c>
      <c r="E408" s="46">
        <f>5076844+525137-73202</f>
        <v>5528779</v>
      </c>
      <c r="F408" s="46">
        <f>-629302+3684535-39872-900</f>
        <v>3014461</v>
      </c>
      <c r="G408" s="22">
        <v>-2724</v>
      </c>
      <c r="H408" s="22">
        <v>-1446</v>
      </c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</row>
    <row r="409" spans="2:21" x14ac:dyDescent="0.3">
      <c r="B409" t="s">
        <v>266</v>
      </c>
      <c r="C409" s="31">
        <v>24218194</v>
      </c>
      <c r="D409" s="31">
        <v>26133242</v>
      </c>
      <c r="E409" s="31">
        <v>34132719</v>
      </c>
      <c r="F409" s="31">
        <v>38993957</v>
      </c>
      <c r="G409" s="31">
        <v>41078725</v>
      </c>
      <c r="H409" s="31">
        <v>47202075</v>
      </c>
      <c r="I409" s="50">
        <f>I404+I405-I406+I407+I408</f>
        <v>49256011.25</v>
      </c>
      <c r="J409" s="50">
        <f>J404+J405-J406+J407+J408</f>
        <v>51616115</v>
      </c>
      <c r="K409" s="50">
        <f>K404+K405-K406+K407+K408</f>
        <v>54078915.5625</v>
      </c>
      <c r="L409" s="50">
        <f>L404+L405-L406+L407+L408</f>
        <v>56659721.3125</v>
      </c>
      <c r="M409" s="35"/>
      <c r="N409" s="35"/>
      <c r="O409" s="35"/>
      <c r="P409" s="35"/>
      <c r="Q409" s="35"/>
      <c r="R409" s="35"/>
      <c r="S409" s="35"/>
      <c r="T409" s="35"/>
      <c r="U409" s="35"/>
    </row>
    <row r="410" spans="2:21" x14ac:dyDescent="0.3">
      <c r="C410" s="46"/>
      <c r="D410" s="46"/>
      <c r="E410" s="46"/>
      <c r="F410" s="46"/>
      <c r="G410" s="46"/>
      <c r="H410" s="46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</row>
    <row r="411" spans="2:21" x14ac:dyDescent="0.3">
      <c r="B411" t="s">
        <v>268</v>
      </c>
      <c r="C411" s="46"/>
      <c r="D411" s="46"/>
      <c r="E411" s="46"/>
      <c r="F411" s="46"/>
      <c r="G411" s="46"/>
      <c r="H411" s="46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</row>
    <row r="412" spans="2:21" x14ac:dyDescent="0.3">
      <c r="B412" t="s">
        <v>261</v>
      </c>
      <c r="C412" s="22">
        <v>7291465</v>
      </c>
      <c r="D412" s="22">
        <v>7901150</v>
      </c>
      <c r="E412" s="22">
        <v>9118006</v>
      </c>
      <c r="F412" s="22">
        <v>11608061</v>
      </c>
      <c r="G412" s="22">
        <v>13607327</v>
      </c>
      <c r="H412" s="22">
        <v>16334091</v>
      </c>
      <c r="I412" s="49">
        <f>H417</f>
        <v>19755468</v>
      </c>
      <c r="J412" s="49">
        <f>I417</f>
        <v>20987829.75</v>
      </c>
      <c r="K412" s="49">
        <f>J417</f>
        <v>22403892</v>
      </c>
      <c r="L412" s="49">
        <f>K417</f>
        <v>23881572.337499999</v>
      </c>
      <c r="M412" s="35"/>
      <c r="N412" s="35"/>
      <c r="O412" s="35"/>
      <c r="P412" s="35"/>
      <c r="Q412" s="35"/>
      <c r="R412" s="35"/>
      <c r="S412" s="35"/>
      <c r="T412" s="35"/>
      <c r="U412" s="35"/>
    </row>
    <row r="413" spans="2:21" x14ac:dyDescent="0.3">
      <c r="B413" t="s">
        <v>269</v>
      </c>
      <c r="C413" s="22">
        <v>1185698</v>
      </c>
      <c r="D413" s="22">
        <v>1383581</v>
      </c>
      <c r="E413" s="22">
        <v>2588863</v>
      </c>
      <c r="F413" s="22">
        <v>2791740</v>
      </c>
      <c r="G413" s="22">
        <v>2903408</v>
      </c>
      <c r="H413" s="22">
        <v>3131250</v>
      </c>
      <c r="I413" s="49">
        <f>H404*I424</f>
        <v>1232361.75</v>
      </c>
      <c r="J413" s="49">
        <f>I404*J424</f>
        <v>1416062.25</v>
      </c>
      <c r="K413" s="49">
        <f>J404*K424</f>
        <v>1477680.3374999999</v>
      </c>
      <c r="L413" s="49">
        <f>K404*L424</f>
        <v>1548483.45</v>
      </c>
      <c r="M413" s="35"/>
      <c r="N413" s="35"/>
      <c r="O413" s="35"/>
      <c r="P413" s="35"/>
      <c r="Q413" s="35"/>
      <c r="R413" s="35"/>
      <c r="S413" s="35"/>
      <c r="T413" s="35"/>
      <c r="U413" s="35"/>
    </row>
    <row r="414" spans="2:21" x14ac:dyDescent="0.3">
      <c r="B414" t="s">
        <v>263</v>
      </c>
      <c r="C414" s="22">
        <v>-207575</v>
      </c>
      <c r="D414" s="22">
        <v>-265704</v>
      </c>
      <c r="E414" s="22">
        <v>-138232</v>
      </c>
      <c r="F414" s="22">
        <v>-183796</v>
      </c>
      <c r="G414" s="22">
        <v>-217004</v>
      </c>
      <c r="H414" s="22">
        <v>-253417</v>
      </c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</row>
    <row r="415" spans="2:21" x14ac:dyDescent="0.3">
      <c r="B415" t="s">
        <v>264</v>
      </c>
      <c r="C415" s="22">
        <v>-11535</v>
      </c>
      <c r="D415" s="22">
        <v>99052</v>
      </c>
      <c r="E415" s="22">
        <v>-9441</v>
      </c>
      <c r="F415" s="22">
        <v>20624</v>
      </c>
      <c r="G415" s="22">
        <v>40441</v>
      </c>
      <c r="H415" s="22">
        <v>543541</v>
      </c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</row>
    <row r="416" spans="2:21" x14ac:dyDescent="0.3">
      <c r="B416" t="s">
        <v>265</v>
      </c>
      <c r="C416" s="22">
        <v>-356903</v>
      </c>
      <c r="D416" s="22">
        <v>-73</v>
      </c>
      <c r="E416" s="46">
        <f>-66480+25636+89709</f>
        <v>48865</v>
      </c>
      <c r="F416" s="46">
        <f>-629302</f>
        <v>-629302</v>
      </c>
      <c r="G416" s="22">
        <v>-81</v>
      </c>
      <c r="H416" s="22">
        <v>3</v>
      </c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</row>
    <row r="417" spans="2:21" x14ac:dyDescent="0.3">
      <c r="B417" t="s">
        <v>266</v>
      </c>
      <c r="C417" s="31">
        <v>7901150</v>
      </c>
      <c r="D417" s="31">
        <v>9118006</v>
      </c>
      <c r="E417" s="31">
        <v>11608061</v>
      </c>
      <c r="F417" s="31">
        <v>13607327</v>
      </c>
      <c r="G417" s="31">
        <v>16334091</v>
      </c>
      <c r="H417" s="31">
        <v>19755468</v>
      </c>
      <c r="I417" s="50">
        <f>I412+I413</f>
        <v>20987829.75</v>
      </c>
      <c r="J417" s="50">
        <f>J412+J413</f>
        <v>22403892</v>
      </c>
      <c r="K417" s="50">
        <f>K412+K413</f>
        <v>23881572.337499999</v>
      </c>
      <c r="L417" s="50">
        <f>L412+L413</f>
        <v>25430055.787499998</v>
      </c>
      <c r="M417" s="35"/>
      <c r="N417" s="35"/>
      <c r="O417" s="35"/>
      <c r="P417" s="35"/>
      <c r="Q417" s="35"/>
      <c r="R417" s="35"/>
      <c r="S417" s="35"/>
      <c r="T417" s="35"/>
      <c r="U417" s="35"/>
    </row>
    <row r="418" spans="2:21" x14ac:dyDescent="0.3">
      <c r="C418" s="46"/>
      <c r="D418" s="46"/>
      <c r="E418" s="46"/>
      <c r="F418" s="46"/>
      <c r="G418" s="46"/>
      <c r="H418" s="46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</row>
    <row r="419" spans="2:21" ht="15" thickBot="1" x14ac:dyDescent="0.35">
      <c r="B419" t="s">
        <v>270</v>
      </c>
      <c r="C419" s="76">
        <f t="shared" ref="C419:L419" si="53">C409-C417</f>
        <v>16317044</v>
      </c>
      <c r="D419" s="76">
        <f t="shared" si="53"/>
        <v>17015236</v>
      </c>
      <c r="E419" s="76">
        <f t="shared" si="53"/>
        <v>22524658</v>
      </c>
      <c r="F419" s="76">
        <f t="shared" si="53"/>
        <v>25386630</v>
      </c>
      <c r="G419" s="76">
        <f t="shared" si="53"/>
        <v>24744634</v>
      </c>
      <c r="H419" s="76">
        <f t="shared" si="53"/>
        <v>27446607</v>
      </c>
      <c r="I419" s="76">
        <f t="shared" si="53"/>
        <v>28268181.5</v>
      </c>
      <c r="J419" s="76">
        <f t="shared" si="53"/>
        <v>29212223</v>
      </c>
      <c r="K419" s="76">
        <f t="shared" si="53"/>
        <v>30197343.225000001</v>
      </c>
      <c r="L419" s="76">
        <f t="shared" si="53"/>
        <v>31229665.525000002</v>
      </c>
      <c r="M419" s="35"/>
      <c r="N419" s="35"/>
      <c r="O419" s="35"/>
      <c r="P419" s="35"/>
      <c r="Q419" s="35"/>
      <c r="R419" s="35"/>
      <c r="S419" s="35"/>
      <c r="T419" s="35"/>
      <c r="U419" s="35"/>
    </row>
    <row r="420" spans="2:21" ht="15" thickTop="1" x14ac:dyDescent="0.3">
      <c r="C420" s="46"/>
      <c r="D420" s="46"/>
      <c r="E420" s="46"/>
      <c r="F420" s="46"/>
      <c r="G420" s="46"/>
      <c r="H420" s="46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</row>
    <row r="421" spans="2:21" s="28" customFormat="1" x14ac:dyDescent="0.3">
      <c r="B421" s="28" t="s">
        <v>145</v>
      </c>
      <c r="C421" s="46">
        <f t="shared" ref="C421:H421" si="54">SUM(C404:C408)-C409+SUM(C412:C416)-C417+C419-C401</f>
        <v>0</v>
      </c>
      <c r="D421" s="46">
        <f t="shared" si="54"/>
        <v>0</v>
      </c>
      <c r="E421" s="46">
        <f t="shared" si="54"/>
        <v>0</v>
      </c>
      <c r="F421" s="46">
        <f t="shared" si="54"/>
        <v>0</v>
      </c>
      <c r="G421" s="46">
        <f t="shared" si="54"/>
        <v>0</v>
      </c>
      <c r="H421" s="46">
        <f t="shared" si="54"/>
        <v>0</v>
      </c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</row>
    <row r="422" spans="2:21" x14ac:dyDescent="0.3">
      <c r="C422" s="46"/>
      <c r="D422" s="46"/>
      <c r="E422" s="46"/>
      <c r="F422" s="46"/>
      <c r="G422" s="46"/>
      <c r="H422" s="46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</row>
    <row r="423" spans="2:21" x14ac:dyDescent="0.3">
      <c r="B423" t="s">
        <v>329</v>
      </c>
      <c r="C423" s="46"/>
      <c r="D423" s="60">
        <f>D405/D404</f>
        <v>8.5927216538111806E-2</v>
      </c>
      <c r="E423" s="60">
        <f>E405/E404</f>
        <v>0.10231206675390676</v>
      </c>
      <c r="F423" s="60">
        <f>F405/F404</f>
        <v>5.7098527661977351E-2</v>
      </c>
      <c r="G423" s="60">
        <f>G405/G404</f>
        <v>5.6112643300088777E-2</v>
      </c>
      <c r="H423" s="60">
        <f>H405/H404</f>
        <v>0.11560706910937474</v>
      </c>
      <c r="I423" s="85">
        <v>0.05</v>
      </c>
      <c r="J423" s="85">
        <v>0.05</v>
      </c>
      <c r="K423" s="85">
        <v>0.05</v>
      </c>
      <c r="L423" s="85">
        <v>0.05</v>
      </c>
      <c r="M423" s="35"/>
      <c r="N423" s="35"/>
      <c r="O423" s="35"/>
      <c r="P423" s="35"/>
      <c r="Q423" s="35"/>
      <c r="R423" s="35"/>
      <c r="S423" s="35"/>
      <c r="T423" s="35"/>
      <c r="U423" s="35"/>
    </row>
    <row r="424" spans="2:21" x14ac:dyDescent="0.3">
      <c r="B424" t="s">
        <v>330</v>
      </c>
      <c r="C424" s="46"/>
      <c r="D424" s="60">
        <f>D413/D404</f>
        <v>5.7129817359626404E-2</v>
      </c>
      <c r="E424" s="60">
        <f>E413/E404</f>
        <v>9.906398142258814E-2</v>
      </c>
      <c r="F424" s="60">
        <f>F413/F404</f>
        <v>8.1790729885890423E-2</v>
      </c>
      <c r="G424" s="60">
        <f>G413/G404</f>
        <v>7.4457896129905457E-2</v>
      </c>
      <c r="H424" s="60">
        <f>H413/H404</f>
        <v>7.622558879322569E-2</v>
      </c>
      <c r="I424" s="85">
        <v>0.03</v>
      </c>
      <c r="J424" s="85">
        <v>0.03</v>
      </c>
      <c r="K424" s="85">
        <v>0.03</v>
      </c>
      <c r="L424" s="85">
        <v>0.03</v>
      </c>
      <c r="M424" s="35"/>
      <c r="N424" s="35"/>
      <c r="O424" s="35"/>
      <c r="P424" s="35"/>
      <c r="Q424" s="35"/>
      <c r="R424" s="35"/>
      <c r="S424" s="35"/>
      <c r="T424" s="35"/>
      <c r="U424" s="35"/>
    </row>
    <row r="425" spans="2:21" x14ac:dyDescent="0.3">
      <c r="C425" s="46"/>
      <c r="D425" s="46"/>
      <c r="E425" s="46"/>
      <c r="F425" s="46"/>
      <c r="G425" s="46"/>
      <c r="H425" s="46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</row>
    <row r="426" spans="2:21" x14ac:dyDescent="0.3">
      <c r="C426" s="46"/>
      <c r="D426" s="46"/>
      <c r="E426" s="46"/>
      <c r="F426" s="46"/>
      <c r="G426" s="46"/>
      <c r="H426" s="46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</row>
    <row r="427" spans="2:21" x14ac:dyDescent="0.3">
      <c r="C427" s="46"/>
      <c r="D427" s="46"/>
      <c r="E427" s="46"/>
      <c r="F427" s="46"/>
      <c r="G427" s="46"/>
      <c r="H427" s="46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</row>
    <row r="428" spans="2:21" s="6" customFormat="1" x14ac:dyDescent="0.3">
      <c r="C428" s="54"/>
      <c r="D428" s="54"/>
      <c r="E428" s="54"/>
      <c r="F428" s="54"/>
      <c r="G428" s="54"/>
      <c r="H428" s="54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</row>
    <row r="429" spans="2:21" x14ac:dyDescent="0.3">
      <c r="C429" s="46"/>
      <c r="D429" s="46"/>
      <c r="E429" s="46"/>
      <c r="F429" s="46"/>
      <c r="G429" s="46"/>
      <c r="H429" s="46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</row>
    <row r="430" spans="2:21" x14ac:dyDescent="0.3">
      <c r="B430" t="s">
        <v>38</v>
      </c>
      <c r="C430" s="22">
        <v>104516</v>
      </c>
      <c r="D430" s="22">
        <v>103064</v>
      </c>
      <c r="E430" s="22">
        <v>46350</v>
      </c>
      <c r="F430" s="22">
        <v>67116</v>
      </c>
      <c r="G430" s="22">
        <v>72400</v>
      </c>
      <c r="H430" s="22">
        <v>80350</v>
      </c>
      <c r="I430" s="49">
        <f>H430*(1+I431)</f>
        <v>642800</v>
      </c>
      <c r="J430" s="49">
        <f>I430*(1+J431)</f>
        <v>707080</v>
      </c>
      <c r="K430" s="49">
        <f>J430*(1+K431)</f>
        <v>777788.00000000012</v>
      </c>
      <c r="L430" s="49">
        <f>K430*(1+L431)</f>
        <v>855566.80000000016</v>
      </c>
      <c r="M430" s="49"/>
      <c r="N430" s="33">
        <v>545850</v>
      </c>
      <c r="O430" s="49"/>
      <c r="P430" s="22">
        <v>424550</v>
      </c>
      <c r="Q430" s="22">
        <v>80350</v>
      </c>
      <c r="R430" s="35"/>
      <c r="S430" s="35"/>
      <c r="T430" s="35"/>
      <c r="U430" s="35"/>
    </row>
    <row r="431" spans="2:21" x14ac:dyDescent="0.3">
      <c r="B431" t="s">
        <v>312</v>
      </c>
      <c r="C431" s="46"/>
      <c r="D431" s="60">
        <f>D430/C430-1</f>
        <v>-1.3892609743962669E-2</v>
      </c>
      <c r="E431" s="60">
        <f>E430/D430-1</f>
        <v>-0.55027943801909496</v>
      </c>
      <c r="F431" s="60">
        <f>F430/E430-1</f>
        <v>0.44802588996763748</v>
      </c>
      <c r="G431" s="60">
        <f>G430/F430-1</f>
        <v>7.8729364086060016E-2</v>
      </c>
      <c r="H431" s="60">
        <f>H430/G430-1</f>
        <v>0.10980662983425415</v>
      </c>
      <c r="I431" s="85">
        <v>7</v>
      </c>
      <c r="J431" s="85">
        <v>0.1</v>
      </c>
      <c r="K431" s="85">
        <v>0.1</v>
      </c>
      <c r="L431" s="85">
        <v>0.1</v>
      </c>
      <c r="M431" s="35"/>
      <c r="N431" s="35"/>
      <c r="O431" s="35"/>
      <c r="P431" s="35"/>
      <c r="Q431" s="35"/>
      <c r="R431" s="35"/>
      <c r="S431" s="35"/>
      <c r="T431" s="35"/>
      <c r="U431" s="35"/>
    </row>
    <row r="432" spans="2:21" x14ac:dyDescent="0.3">
      <c r="C432" s="46"/>
      <c r="D432" s="46"/>
      <c r="E432" s="46"/>
      <c r="F432" s="46"/>
      <c r="G432" s="46"/>
      <c r="H432" s="46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</row>
    <row r="433" spans="2:21" s="6" customFormat="1" x14ac:dyDescent="0.3">
      <c r="C433" s="54"/>
      <c r="D433" s="54"/>
      <c r="E433" s="54"/>
      <c r="F433" s="54"/>
      <c r="G433" s="54"/>
      <c r="H433" s="54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</row>
    <row r="434" spans="2:21" x14ac:dyDescent="0.3">
      <c r="C434" s="46"/>
      <c r="D434" s="46"/>
      <c r="E434" s="46"/>
      <c r="F434" s="46"/>
      <c r="G434" s="46"/>
      <c r="H434" s="46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</row>
    <row r="435" spans="2:21" x14ac:dyDescent="0.3">
      <c r="B435" t="s">
        <v>39</v>
      </c>
      <c r="C435" s="22">
        <v>1251226</v>
      </c>
      <c r="D435" s="22">
        <v>1433931</v>
      </c>
      <c r="E435" s="22">
        <v>1645714</v>
      </c>
      <c r="F435" s="22">
        <v>1800516</v>
      </c>
      <c r="G435" s="22">
        <v>2272639</v>
      </c>
      <c r="H435" s="22">
        <v>4113200</v>
      </c>
      <c r="I435" s="49">
        <f>I447-I453</f>
        <v>4090774.4800000004</v>
      </c>
      <c r="J435" s="49">
        <f>J447-J453</f>
        <v>4409448.7120000012</v>
      </c>
      <c r="K435" s="49">
        <f>K447-K453</f>
        <v>7206711.8784000017</v>
      </c>
      <c r="L435" s="49">
        <f>L447-L453</f>
        <v>7793697.8688000012</v>
      </c>
      <c r="M435" s="49"/>
      <c r="N435" s="33">
        <v>4061409</v>
      </c>
      <c r="O435" s="49"/>
      <c r="P435" s="22">
        <v>4042878</v>
      </c>
      <c r="Q435" s="22">
        <v>4113200</v>
      </c>
      <c r="R435" s="35"/>
      <c r="S435" s="35"/>
      <c r="T435" s="35"/>
      <c r="U435" s="35"/>
    </row>
    <row r="436" spans="2:21" x14ac:dyDescent="0.3">
      <c r="C436" s="46"/>
      <c r="D436" s="46"/>
      <c r="E436" s="46"/>
      <c r="F436" s="46"/>
      <c r="G436" s="46"/>
      <c r="H436" s="46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</row>
    <row r="437" spans="2:21" x14ac:dyDescent="0.3">
      <c r="B437" t="s">
        <v>271</v>
      </c>
      <c r="C437" s="22">
        <v>539408</v>
      </c>
      <c r="D437" s="22">
        <v>698913</v>
      </c>
      <c r="E437" s="22">
        <v>824816</v>
      </c>
      <c r="F437" s="22">
        <v>773768</v>
      </c>
      <c r="G437" s="22">
        <v>913139</v>
      </c>
      <c r="H437" s="22">
        <v>1984245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</row>
    <row r="438" spans="2:21" x14ac:dyDescent="0.3">
      <c r="B438" t="s">
        <v>272</v>
      </c>
      <c r="C438" s="22">
        <v>311748</v>
      </c>
      <c r="D438" s="22">
        <v>334954</v>
      </c>
      <c r="E438" s="22">
        <v>375742</v>
      </c>
      <c r="F438" s="22">
        <v>581601</v>
      </c>
      <c r="G438" s="22">
        <v>914353</v>
      </c>
      <c r="H438" s="22">
        <v>1683808</v>
      </c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</row>
    <row r="439" spans="2:21" x14ac:dyDescent="0.3">
      <c r="B439" t="s">
        <v>273</v>
      </c>
      <c r="C439" s="22">
        <v>400045</v>
      </c>
      <c r="D439" s="22">
        <v>400045</v>
      </c>
      <c r="E439" s="22">
        <v>445147</v>
      </c>
      <c r="F439" s="22">
        <v>445147</v>
      </c>
      <c r="G439" s="22">
        <v>445147</v>
      </c>
      <c r="H439" s="22">
        <v>445147</v>
      </c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</row>
    <row r="440" spans="2:21" x14ac:dyDescent="0.3">
      <c r="C440" s="46"/>
      <c r="D440" s="46"/>
      <c r="E440" s="46"/>
      <c r="F440" s="46"/>
      <c r="G440" s="46"/>
      <c r="H440" s="46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</row>
    <row r="441" spans="2:21" s="28" customFormat="1" x14ac:dyDescent="0.3">
      <c r="B441" s="28" t="s">
        <v>145</v>
      </c>
      <c r="C441" s="46">
        <f t="shared" ref="C441:H441" si="55">SUM(C437:C439)-C435</f>
        <v>-25</v>
      </c>
      <c r="D441" s="46">
        <f t="shared" si="55"/>
        <v>-19</v>
      </c>
      <c r="E441" s="46">
        <f t="shared" si="55"/>
        <v>-9</v>
      </c>
      <c r="F441" s="46">
        <f t="shared" si="55"/>
        <v>0</v>
      </c>
      <c r="G441" s="46">
        <f t="shared" si="55"/>
        <v>0</v>
      </c>
      <c r="H441" s="46">
        <f t="shared" si="55"/>
        <v>0</v>
      </c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</row>
    <row r="442" spans="2:21" x14ac:dyDescent="0.3">
      <c r="C442" s="46"/>
      <c r="D442" s="46"/>
      <c r="E442" s="46"/>
      <c r="F442" s="46"/>
      <c r="G442" s="46"/>
      <c r="H442" s="46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</row>
    <row r="443" spans="2:21" x14ac:dyDescent="0.3">
      <c r="B443" t="s">
        <v>274</v>
      </c>
      <c r="C443" s="46"/>
      <c r="D443" s="46"/>
      <c r="E443" s="46"/>
      <c r="F443" s="46"/>
      <c r="G443" s="46"/>
      <c r="H443" s="46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</row>
    <row r="444" spans="2:21" x14ac:dyDescent="0.3">
      <c r="B444" t="s">
        <v>261</v>
      </c>
      <c r="C444" s="22">
        <v>1682677</v>
      </c>
      <c r="D444" s="22">
        <v>1942915</v>
      </c>
      <c r="E444" s="22">
        <v>2134021</v>
      </c>
      <c r="F444" s="22">
        <v>2522952</v>
      </c>
      <c r="G444" s="22">
        <v>2789928</v>
      </c>
      <c r="H444" s="22">
        <v>3224572</v>
      </c>
      <c r="I444" s="49">
        <f>H447</f>
        <v>4912819</v>
      </c>
      <c r="J444" s="49">
        <f>I447</f>
        <v>7170019.4000000004</v>
      </c>
      <c r="K444" s="49">
        <f>J447</f>
        <v>7759557.6800000006</v>
      </c>
      <c r="L444" s="49">
        <f>K447</f>
        <v>10627565.440000001</v>
      </c>
      <c r="M444" s="35"/>
      <c r="N444" s="35"/>
      <c r="O444" s="35"/>
      <c r="P444" s="35"/>
      <c r="Q444" s="35"/>
      <c r="R444" s="35"/>
      <c r="S444" s="35"/>
      <c r="T444" s="35"/>
      <c r="U444" s="35"/>
    </row>
    <row r="445" spans="2:21" x14ac:dyDescent="0.3">
      <c r="B445" t="s">
        <v>275</v>
      </c>
      <c r="C445" s="22">
        <v>267071</v>
      </c>
      <c r="D445" s="22">
        <v>378969</v>
      </c>
      <c r="E445" s="22">
        <v>339200</v>
      </c>
      <c r="F445" s="22">
        <v>229494</v>
      </c>
      <c r="G445" s="22">
        <v>361616</v>
      </c>
      <c r="H445" s="22">
        <v>1255591</v>
      </c>
      <c r="I445" s="49">
        <f>H444*I457</f>
        <v>2257200.4</v>
      </c>
      <c r="J445" s="49">
        <f>I444*J457</f>
        <v>589538.28</v>
      </c>
      <c r="K445" s="49">
        <f>J444*K457</f>
        <v>2868007.7600000002</v>
      </c>
      <c r="L445" s="49">
        <f>K444*L457</f>
        <v>931146.9216</v>
      </c>
      <c r="M445" s="35"/>
      <c r="N445" s="35"/>
      <c r="O445" s="35"/>
      <c r="P445" s="35"/>
      <c r="Q445" s="35"/>
      <c r="R445" s="35"/>
      <c r="S445" s="35"/>
      <c r="T445" s="35"/>
      <c r="U445" s="35"/>
    </row>
    <row r="446" spans="2:21" x14ac:dyDescent="0.3">
      <c r="B446" t="s">
        <v>263</v>
      </c>
      <c r="C446" s="22">
        <v>-8355</v>
      </c>
      <c r="D446" s="22">
        <v>-215892</v>
      </c>
      <c r="E446" s="22">
        <v>0</v>
      </c>
      <c r="F446" s="22">
        <v>-280</v>
      </c>
      <c r="G446" s="22">
        <v>-41845</v>
      </c>
      <c r="H446" s="22">
        <v>-28185</v>
      </c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</row>
    <row r="447" spans="2:21" x14ac:dyDescent="0.3">
      <c r="B447" t="s">
        <v>277</v>
      </c>
      <c r="C447" s="22">
        <v>1942915</v>
      </c>
      <c r="D447" s="22">
        <v>2134021</v>
      </c>
      <c r="E447" s="22">
        <v>2522952</v>
      </c>
      <c r="F447" s="22">
        <v>2789928</v>
      </c>
      <c r="G447" s="22">
        <v>3224572</v>
      </c>
      <c r="H447" s="22">
        <v>4912819</v>
      </c>
      <c r="I447" s="49">
        <f>I444+I445+I446</f>
        <v>7170019.4000000004</v>
      </c>
      <c r="J447" s="49">
        <f>J444+J445+J446</f>
        <v>7759557.6800000006</v>
      </c>
      <c r="K447" s="49">
        <f>K444+K445+K446</f>
        <v>10627565.440000001</v>
      </c>
      <c r="L447" s="49">
        <f>L444+L445+L446</f>
        <v>11558712.3616</v>
      </c>
      <c r="M447" s="35"/>
      <c r="N447" s="35"/>
      <c r="O447" s="35"/>
      <c r="P447" s="35"/>
      <c r="Q447" s="35"/>
      <c r="R447" s="35"/>
      <c r="S447" s="35"/>
      <c r="T447" s="35"/>
      <c r="U447" s="35"/>
    </row>
    <row r="448" spans="2:21" x14ac:dyDescent="0.3">
      <c r="C448" s="46"/>
      <c r="D448" s="46"/>
      <c r="E448" s="46"/>
      <c r="F448" s="46"/>
      <c r="G448" s="46"/>
      <c r="H448" s="46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</row>
    <row r="449" spans="2:21" x14ac:dyDescent="0.3">
      <c r="B449" t="s">
        <v>276</v>
      </c>
      <c r="C449" s="46"/>
      <c r="D449" s="46"/>
      <c r="E449" s="46"/>
      <c r="F449" s="46"/>
      <c r="G449" s="46"/>
      <c r="H449" s="46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</row>
    <row r="450" spans="2:21" x14ac:dyDescent="0.3">
      <c r="B450" t="s">
        <v>261</v>
      </c>
      <c r="C450" s="22">
        <v>1176543</v>
      </c>
      <c r="D450" s="22">
        <v>1403507</v>
      </c>
      <c r="E450" s="22">
        <v>1435108</v>
      </c>
      <c r="F450" s="22">
        <v>1698136</v>
      </c>
      <c r="G450" s="22">
        <v>2016160</v>
      </c>
      <c r="H450" s="22">
        <v>2311433</v>
      </c>
      <c r="I450" s="49">
        <f>H453</f>
        <v>2928574</v>
      </c>
      <c r="J450" s="49">
        <f>I453</f>
        <v>3079244.92</v>
      </c>
      <c r="K450" s="49">
        <f>J453</f>
        <v>3350108.9679999999</v>
      </c>
      <c r="L450" s="49">
        <f>K453</f>
        <v>3420853.5615999997</v>
      </c>
      <c r="M450" s="35"/>
      <c r="N450" s="35"/>
      <c r="O450" s="35"/>
      <c r="P450" s="35"/>
      <c r="Q450" s="35"/>
      <c r="R450" s="35"/>
      <c r="S450" s="35"/>
      <c r="T450" s="35"/>
      <c r="U450" s="35"/>
    </row>
    <row r="451" spans="2:21" x14ac:dyDescent="0.3">
      <c r="B451" t="s">
        <v>269</v>
      </c>
      <c r="C451" s="22">
        <v>229764</v>
      </c>
      <c r="D451" s="22">
        <v>218076</v>
      </c>
      <c r="E451" s="22">
        <v>252392</v>
      </c>
      <c r="F451" s="22">
        <v>310946</v>
      </c>
      <c r="G451" s="22">
        <v>316658</v>
      </c>
      <c r="H451" s="22">
        <v>467121</v>
      </c>
      <c r="I451" s="49">
        <f>H445*I458</f>
        <v>150670.91999999998</v>
      </c>
      <c r="J451" s="49">
        <f>I445*J458</f>
        <v>270864.04799999995</v>
      </c>
      <c r="K451" s="49">
        <f>J445*K458</f>
        <v>70744.593600000007</v>
      </c>
      <c r="L451" s="49">
        <f>K445*L458</f>
        <v>344160.93119999999</v>
      </c>
      <c r="M451" s="35"/>
      <c r="N451" s="35"/>
      <c r="O451" s="35"/>
      <c r="P451" s="35"/>
      <c r="Q451" s="35"/>
      <c r="R451" s="35"/>
      <c r="S451" s="35"/>
      <c r="T451" s="35"/>
      <c r="U451" s="35"/>
    </row>
    <row r="452" spans="2:21" x14ac:dyDescent="0.3">
      <c r="B452" t="s">
        <v>263</v>
      </c>
      <c r="C452" s="22">
        <v>-1114</v>
      </c>
      <c r="D452" s="22">
        <v>-202301</v>
      </c>
      <c r="E452" s="22">
        <v>0</v>
      </c>
      <c r="F452" s="22">
        <v>-280</v>
      </c>
      <c r="G452" s="22">
        <v>-24321</v>
      </c>
      <c r="H452" s="22">
        <v>-28185</v>
      </c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</row>
    <row r="453" spans="2:21" x14ac:dyDescent="0.3">
      <c r="B453" t="s">
        <v>277</v>
      </c>
      <c r="C453" s="22">
        <v>1403507</v>
      </c>
      <c r="D453" s="22">
        <v>1435108</v>
      </c>
      <c r="E453" s="22">
        <v>1698136</v>
      </c>
      <c r="F453" s="22">
        <v>2016160</v>
      </c>
      <c r="G453" s="22">
        <v>2311433</v>
      </c>
      <c r="H453" s="22">
        <v>2928574</v>
      </c>
      <c r="I453" s="49">
        <f>I450+I451+I452</f>
        <v>3079244.92</v>
      </c>
      <c r="J453" s="49">
        <f>J450+J451+J452</f>
        <v>3350108.9679999999</v>
      </c>
      <c r="K453" s="49">
        <f>K450+K451+K452</f>
        <v>3420853.5615999997</v>
      </c>
      <c r="L453" s="49">
        <f>L450+L451+L452</f>
        <v>3765014.4927999997</v>
      </c>
      <c r="M453" s="35"/>
      <c r="N453" s="35"/>
      <c r="O453" s="35"/>
      <c r="P453" s="35"/>
      <c r="Q453" s="35"/>
      <c r="R453" s="35"/>
      <c r="S453" s="35"/>
      <c r="T453" s="35"/>
      <c r="U453" s="35"/>
    </row>
    <row r="454" spans="2:21" x14ac:dyDescent="0.3">
      <c r="C454" s="46"/>
      <c r="D454" s="46"/>
      <c r="E454" s="46"/>
      <c r="F454" s="46"/>
      <c r="G454" s="46"/>
      <c r="H454" s="46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</row>
    <row r="455" spans="2:21" s="28" customFormat="1" x14ac:dyDescent="0.3">
      <c r="B455" s="28" t="s">
        <v>145</v>
      </c>
      <c r="C455" s="46">
        <f t="shared" ref="C455:H455" si="56">C447-C453-C437</f>
        <v>0</v>
      </c>
      <c r="D455" s="46">
        <f t="shared" si="56"/>
        <v>0</v>
      </c>
      <c r="E455" s="46">
        <f t="shared" si="56"/>
        <v>0</v>
      </c>
      <c r="F455" s="46">
        <f t="shared" si="56"/>
        <v>0</v>
      </c>
      <c r="G455" s="46">
        <f t="shared" si="56"/>
        <v>0</v>
      </c>
      <c r="H455" s="46">
        <f t="shared" si="56"/>
        <v>0</v>
      </c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</row>
    <row r="456" spans="2:21" x14ac:dyDescent="0.3">
      <c r="C456" s="46"/>
      <c r="D456" s="46"/>
      <c r="E456" s="46"/>
      <c r="F456" s="46"/>
      <c r="G456" s="46"/>
      <c r="H456" s="46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</row>
    <row r="457" spans="2:21" x14ac:dyDescent="0.3">
      <c r="B457" t="s">
        <v>329</v>
      </c>
      <c r="C457" s="46"/>
      <c r="D457" s="60">
        <f>D445/D444</f>
        <v>0.19505176500258631</v>
      </c>
      <c r="E457" s="60">
        <f>E445/E444</f>
        <v>0.15894876385939968</v>
      </c>
      <c r="F457" s="60">
        <f>F445/F444</f>
        <v>9.0962491557508823E-2</v>
      </c>
      <c r="G457" s="60">
        <f>G445/G444</f>
        <v>0.12961481443248715</v>
      </c>
      <c r="H457" s="60">
        <f>H445/H444</f>
        <v>0.38938221878748558</v>
      </c>
      <c r="I457" s="85">
        <v>0.7</v>
      </c>
      <c r="J457" s="85">
        <v>0.12</v>
      </c>
      <c r="K457" s="85">
        <v>0.4</v>
      </c>
      <c r="L457" s="85">
        <v>0.12</v>
      </c>
      <c r="M457" s="35"/>
      <c r="N457" s="35"/>
      <c r="O457" s="35"/>
      <c r="P457" s="35"/>
      <c r="Q457" s="35"/>
      <c r="R457" s="35"/>
      <c r="S457" s="35"/>
      <c r="T457" s="35"/>
      <c r="U457" s="35"/>
    </row>
    <row r="458" spans="2:21" x14ac:dyDescent="0.3">
      <c r="B458" t="s">
        <v>331</v>
      </c>
      <c r="C458" s="46"/>
      <c r="D458" s="60">
        <f>D451/D444</f>
        <v>0.11224165750946387</v>
      </c>
      <c r="E458" s="60">
        <f>E451/E444</f>
        <v>0.11827062620283493</v>
      </c>
      <c r="F458" s="60">
        <f>F451/F444</f>
        <v>0.12324689490723566</v>
      </c>
      <c r="G458" s="60">
        <f>G451/G444</f>
        <v>0.11350042008252542</v>
      </c>
      <c r="H458" s="60">
        <f>H451/H444</f>
        <v>0.14486294615223352</v>
      </c>
      <c r="I458" s="85">
        <v>0.12</v>
      </c>
      <c r="J458" s="85">
        <v>0.12</v>
      </c>
      <c r="K458" s="85">
        <v>0.12</v>
      </c>
      <c r="L458" s="85">
        <v>0.12</v>
      </c>
      <c r="M458" s="35"/>
      <c r="N458" s="35"/>
      <c r="O458" s="35"/>
      <c r="P458" s="35"/>
      <c r="Q458" s="35"/>
      <c r="R458" s="35"/>
      <c r="S458" s="35"/>
      <c r="T458" s="35"/>
      <c r="U458" s="35"/>
    </row>
    <row r="459" spans="2:21" x14ac:dyDescent="0.3">
      <c r="C459" s="46"/>
      <c r="D459" s="46"/>
      <c r="E459" s="46"/>
      <c r="F459" s="46"/>
      <c r="G459" s="46"/>
      <c r="H459" s="46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</row>
    <row r="460" spans="2:21" s="6" customFormat="1" x14ac:dyDescent="0.3">
      <c r="C460" s="54"/>
      <c r="D460" s="54"/>
      <c r="E460" s="54"/>
      <c r="F460" s="54"/>
      <c r="G460" s="54"/>
      <c r="H460" s="54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</row>
    <row r="461" spans="2:21" x14ac:dyDescent="0.3">
      <c r="C461" s="46"/>
      <c r="D461" s="46"/>
      <c r="E461" s="46"/>
      <c r="F461" s="46"/>
      <c r="G461" s="46"/>
      <c r="H461" s="46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</row>
    <row r="462" spans="2:21" x14ac:dyDescent="0.3">
      <c r="B462" t="s">
        <v>40</v>
      </c>
      <c r="C462" s="22">
        <v>0</v>
      </c>
      <c r="D462" s="22">
        <v>188487</v>
      </c>
      <c r="E462" s="22">
        <v>530165</v>
      </c>
      <c r="F462" s="22">
        <v>2735566</v>
      </c>
      <c r="G462" s="22">
        <v>10036105</v>
      </c>
      <c r="H462" s="22">
        <v>30727213</v>
      </c>
      <c r="I462" s="49">
        <f>H462*(1+I464)</f>
        <v>32878117.91</v>
      </c>
      <c r="J462" s="49">
        <f>I462*(1+J464)</f>
        <v>16439058.955</v>
      </c>
      <c r="K462" s="49">
        <f>J462*(1+K464)</f>
        <v>17261011.90275</v>
      </c>
      <c r="L462" s="49">
        <f>K462*(1+L464)</f>
        <v>18124062.4978875</v>
      </c>
      <c r="M462" s="49"/>
      <c r="N462" s="33">
        <v>32664942</v>
      </c>
      <c r="O462" s="49"/>
      <c r="P462" s="22">
        <v>30251431</v>
      </c>
      <c r="Q462" s="22">
        <v>30727213</v>
      </c>
      <c r="R462" s="35"/>
      <c r="S462" s="35"/>
      <c r="T462" s="35"/>
      <c r="U462" s="35"/>
    </row>
    <row r="463" spans="2:21" x14ac:dyDescent="0.3">
      <c r="B463" t="s">
        <v>332</v>
      </c>
      <c r="C463" s="60">
        <f>C462/FS!C28</f>
        <v>0</v>
      </c>
      <c r="D463" s="60">
        <f>D462/FS!D28</f>
        <v>7.222125920568455E-3</v>
      </c>
      <c r="E463" s="60">
        <f>E462/FS!E28</f>
        <v>2.3066802947594264E-2</v>
      </c>
      <c r="F463" s="60">
        <f>F462/FS!G28</f>
        <v>0.1115653188884439</v>
      </c>
      <c r="G463" s="60">
        <f>G462/FS!H28</f>
        <v>0.30451820056749751</v>
      </c>
      <c r="H463" s="60">
        <f>H462/FS!I28</f>
        <v>1.253914113497804</v>
      </c>
      <c r="I463" s="85">
        <v>0.2</v>
      </c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</row>
    <row r="464" spans="2:21" x14ac:dyDescent="0.3">
      <c r="B464" t="s">
        <v>312</v>
      </c>
      <c r="C464" s="46"/>
      <c r="D464" s="60" t="e">
        <f>D462/C462-1</f>
        <v>#DIV/0!</v>
      </c>
      <c r="E464" s="60">
        <f>E462/D462-1</f>
        <v>1.8127404011947772</v>
      </c>
      <c r="F464" s="60">
        <f>F462/E462-1</f>
        <v>4.1598389180726754</v>
      </c>
      <c r="G464" s="60">
        <f>G462/F462-1</f>
        <v>2.6687489901541399</v>
      </c>
      <c r="H464" s="60">
        <f>H462/G462-1</f>
        <v>2.0616671507522093</v>
      </c>
      <c r="I464" s="85">
        <v>7.0000000000000007E-2</v>
      </c>
      <c r="J464" s="85">
        <v>-0.5</v>
      </c>
      <c r="K464" s="85">
        <v>0.05</v>
      </c>
      <c r="L464" s="85">
        <v>0.05</v>
      </c>
      <c r="M464" s="35"/>
      <c r="N464" s="35"/>
      <c r="O464" s="35"/>
      <c r="P464" s="35"/>
      <c r="Q464" s="35"/>
      <c r="R464" s="35"/>
      <c r="S464" s="35"/>
      <c r="T464" s="35"/>
      <c r="U464" s="35"/>
    </row>
    <row r="465" spans="2:21" x14ac:dyDescent="0.3">
      <c r="C465" s="46"/>
      <c r="D465" s="46"/>
      <c r="E465" s="46"/>
      <c r="F465" s="46"/>
      <c r="G465" s="46"/>
      <c r="H465" s="46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</row>
    <row r="466" spans="2:21" s="6" customFormat="1" x14ac:dyDescent="0.3">
      <c r="C466" s="54"/>
      <c r="D466" s="54"/>
      <c r="E466" s="54"/>
      <c r="F466" s="54"/>
      <c r="G466" s="54"/>
      <c r="H466" s="54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</row>
    <row r="467" spans="2:21" x14ac:dyDescent="0.3">
      <c r="C467" s="46"/>
      <c r="D467" s="46"/>
      <c r="E467" s="46"/>
      <c r="F467" s="46"/>
      <c r="G467" s="46"/>
      <c r="H467" s="46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</row>
    <row r="468" spans="2:21" x14ac:dyDescent="0.3">
      <c r="B468" t="s">
        <v>41</v>
      </c>
      <c r="C468" s="22">
        <v>17362977</v>
      </c>
      <c r="D468" s="22">
        <v>24051472</v>
      </c>
      <c r="E468" s="22">
        <v>23443869</v>
      </c>
      <c r="F468" s="22">
        <v>20195153</v>
      </c>
      <c r="G468" s="22">
        <v>27083177</v>
      </c>
      <c r="H468" s="22">
        <v>40811211</v>
      </c>
      <c r="I468" s="49">
        <f>H468*(1+I469)</f>
        <v>34689529.350000001</v>
      </c>
      <c r="J468" s="49">
        <f>I468*(1+J469)</f>
        <v>32955052.8825</v>
      </c>
      <c r="K468" s="49">
        <f>J468*(1+K469)</f>
        <v>33614153.94015</v>
      </c>
      <c r="L468" s="49">
        <f>K468*(1+L469)</f>
        <v>34286437.018953003</v>
      </c>
      <c r="M468" s="49"/>
      <c r="N468" s="33">
        <v>36882221</v>
      </c>
      <c r="O468" s="49"/>
      <c r="P468" s="22">
        <v>43351569</v>
      </c>
      <c r="Q468" s="22">
        <v>40811211</v>
      </c>
      <c r="R468" s="35"/>
      <c r="S468" s="35"/>
      <c r="T468" s="35"/>
      <c r="U468" s="35"/>
    </row>
    <row r="469" spans="2:21" x14ac:dyDescent="0.3">
      <c r="B469" t="s">
        <v>312</v>
      </c>
      <c r="C469" s="46"/>
      <c r="D469" s="60">
        <f>D468/C468-1</f>
        <v>0.38521591084293894</v>
      </c>
      <c r="E469" s="60">
        <f>E468/D468-1</f>
        <v>-2.5262611785257905E-2</v>
      </c>
      <c r="F469" s="60">
        <f>F468/E468-1</f>
        <v>-0.13857422595220947</v>
      </c>
      <c r="G469" s="60">
        <f>G468/F468-1</f>
        <v>0.34107312779457533</v>
      </c>
      <c r="H469" s="60">
        <f>H468/G468-1</f>
        <v>0.50688418127607404</v>
      </c>
      <c r="I469" s="85">
        <v>-0.15</v>
      </c>
      <c r="J469" s="85">
        <v>-0.05</v>
      </c>
      <c r="K469" s="85">
        <v>0.02</v>
      </c>
      <c r="L469" s="85">
        <v>0.02</v>
      </c>
      <c r="M469" s="35"/>
      <c r="N469" s="35"/>
      <c r="O469" s="35"/>
      <c r="P469" s="35"/>
      <c r="Q469" s="35"/>
      <c r="R469" s="35"/>
      <c r="S469" s="35"/>
      <c r="T469" s="35"/>
      <c r="U469" s="35"/>
    </row>
    <row r="470" spans="2:21" x14ac:dyDescent="0.3">
      <c r="C470" s="46"/>
      <c r="D470" s="46"/>
      <c r="E470" s="46"/>
      <c r="F470" s="46"/>
      <c r="G470" s="46"/>
      <c r="H470" s="46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</row>
    <row r="471" spans="2:21" x14ac:dyDescent="0.3">
      <c r="C471" s="46"/>
      <c r="D471" s="46"/>
      <c r="E471" s="46"/>
      <c r="F471" s="46"/>
      <c r="G471" s="46"/>
      <c r="H471" s="46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</row>
    <row r="472" spans="2:21" x14ac:dyDescent="0.3">
      <c r="C472" s="46"/>
      <c r="D472" s="46"/>
      <c r="E472" s="46"/>
      <c r="F472" s="46"/>
      <c r="G472" s="46"/>
      <c r="H472" s="46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</row>
    <row r="473" spans="2:21" s="38" customFormat="1" x14ac:dyDescent="0.3">
      <c r="B473" s="38" t="s">
        <v>181</v>
      </c>
      <c r="C473" s="63"/>
      <c r="D473" s="63"/>
      <c r="E473" s="63"/>
      <c r="F473" s="63"/>
      <c r="G473" s="63"/>
      <c r="H473" s="63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</row>
    <row r="474" spans="2:21" x14ac:dyDescent="0.3">
      <c r="C474" s="46"/>
      <c r="D474" s="46"/>
      <c r="E474" s="46"/>
      <c r="F474" s="46"/>
      <c r="G474" s="46"/>
      <c r="H474" s="46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</row>
    <row r="475" spans="2:21" x14ac:dyDescent="0.3">
      <c r="B475" s="3" t="s">
        <v>101</v>
      </c>
      <c r="C475" s="22">
        <v>60244892</v>
      </c>
      <c r="D475" s="22">
        <v>52362052</v>
      </c>
      <c r="E475" s="22">
        <v>53807425</v>
      </c>
      <c r="F475" s="22">
        <v>88248056</v>
      </c>
      <c r="G475" s="22">
        <v>73801195</v>
      </c>
      <c r="H475" s="22">
        <v>64971170</v>
      </c>
      <c r="I475" s="49">
        <f>I305*I483</f>
        <v>39254361.772500001</v>
      </c>
      <c r="J475" s="49">
        <f>J305*J483</f>
        <v>60190021.384499997</v>
      </c>
      <c r="K475" s="49">
        <f>K305*K483</f>
        <v>69218524.592174992</v>
      </c>
      <c r="L475" s="49">
        <f>L305*L483</f>
        <v>79601303.28100124</v>
      </c>
      <c r="M475" s="35"/>
      <c r="N475" s="33">
        <v>48268948</v>
      </c>
      <c r="O475" s="35"/>
      <c r="P475" s="35"/>
      <c r="Q475" s="35"/>
      <c r="R475" s="35"/>
      <c r="S475" s="35"/>
      <c r="T475" s="35"/>
      <c r="U475" s="35"/>
    </row>
    <row r="476" spans="2:21" x14ac:dyDescent="0.3">
      <c r="C476" s="46"/>
      <c r="D476" s="46"/>
      <c r="E476" s="46"/>
      <c r="F476" s="46"/>
      <c r="G476" s="46"/>
      <c r="H476" s="46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</row>
    <row r="477" spans="2:21" x14ac:dyDescent="0.3">
      <c r="B477" t="s">
        <v>168</v>
      </c>
      <c r="C477" s="22">
        <v>8939723</v>
      </c>
      <c r="D477" s="22">
        <v>2260971</v>
      </c>
      <c r="E477" s="22">
        <v>2806443</v>
      </c>
      <c r="F477" s="22">
        <v>913719</v>
      </c>
      <c r="G477" s="22">
        <v>193865</v>
      </c>
      <c r="H477" s="22">
        <v>6149813</v>
      </c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</row>
    <row r="478" spans="2:21" x14ac:dyDescent="0.3">
      <c r="B478" t="s">
        <v>169</v>
      </c>
      <c r="C478" s="22">
        <v>45599020</v>
      </c>
      <c r="D478" s="22">
        <v>50012061</v>
      </c>
      <c r="E478" s="22">
        <v>47910944</v>
      </c>
      <c r="F478" s="22">
        <v>84349312</v>
      </c>
      <c r="G478" s="22">
        <v>72391783</v>
      </c>
      <c r="H478" s="22">
        <v>58785098</v>
      </c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</row>
    <row r="479" spans="2:21" x14ac:dyDescent="0.3">
      <c r="B479" t="s">
        <v>170</v>
      </c>
      <c r="C479" s="22">
        <v>5706149</v>
      </c>
      <c r="D479" s="22">
        <v>89020</v>
      </c>
      <c r="E479" s="22">
        <v>3090038</v>
      </c>
      <c r="F479" s="22">
        <v>2985025</v>
      </c>
      <c r="G479" s="22">
        <v>1215547</v>
      </c>
      <c r="H479" s="22">
        <v>36259</v>
      </c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</row>
    <row r="480" spans="2:21" x14ac:dyDescent="0.3">
      <c r="C480" s="46"/>
      <c r="D480" s="46"/>
      <c r="E480" s="46"/>
      <c r="F480" s="46"/>
      <c r="G480" s="46"/>
      <c r="H480" s="46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</row>
    <row r="481" spans="2:21" s="28" customFormat="1" x14ac:dyDescent="0.3">
      <c r="B481" s="28" t="s">
        <v>145</v>
      </c>
      <c r="C481" s="46">
        <f t="shared" ref="C481:H481" si="57">SUM(C477:C479)-C475</f>
        <v>0</v>
      </c>
      <c r="D481" s="46">
        <f t="shared" si="57"/>
        <v>0</v>
      </c>
      <c r="E481" s="46">
        <f t="shared" si="57"/>
        <v>0</v>
      </c>
      <c r="F481" s="46">
        <f t="shared" si="57"/>
        <v>0</v>
      </c>
      <c r="G481" s="46">
        <f t="shared" si="57"/>
        <v>0</v>
      </c>
      <c r="H481" s="46">
        <f t="shared" si="57"/>
        <v>0</v>
      </c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</row>
    <row r="482" spans="2:21" x14ac:dyDescent="0.3">
      <c r="C482" s="46"/>
      <c r="D482" s="46"/>
      <c r="E482" s="46"/>
      <c r="F482" s="46"/>
      <c r="G482" s="46"/>
      <c r="H482" s="46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</row>
    <row r="483" spans="2:21" x14ac:dyDescent="0.3">
      <c r="B483" t="s">
        <v>326</v>
      </c>
      <c r="C483" s="61">
        <f t="shared" ref="C483:H483" si="58">C475/C305</f>
        <v>7.9222276417775975E-2</v>
      </c>
      <c r="D483" s="61">
        <f t="shared" si="58"/>
        <v>5.8312505173695656E-2</v>
      </c>
      <c r="E483" s="61">
        <f t="shared" si="58"/>
        <v>5.7811607785723952E-2</v>
      </c>
      <c r="F483" s="61">
        <f t="shared" si="58"/>
        <v>9.1747382073473258E-2</v>
      </c>
      <c r="G483" s="61">
        <f t="shared" si="58"/>
        <v>6.7402606149161479E-2</v>
      </c>
      <c r="H483" s="61">
        <f t="shared" si="58"/>
        <v>5.2136673801018427E-2</v>
      </c>
      <c r="I483" s="86">
        <v>0.03</v>
      </c>
      <c r="J483" s="86">
        <v>0.04</v>
      </c>
      <c r="K483" s="86">
        <v>0.04</v>
      </c>
      <c r="L483" s="86">
        <v>0.04</v>
      </c>
      <c r="M483" s="35"/>
      <c r="N483" s="35"/>
      <c r="O483" s="35"/>
      <c r="P483" s="35"/>
      <c r="Q483" s="35"/>
      <c r="R483" s="35"/>
      <c r="S483" s="35"/>
      <c r="T483" s="35"/>
      <c r="U483" s="35"/>
    </row>
    <row r="484" spans="2:21" x14ac:dyDescent="0.3">
      <c r="C484" s="46"/>
      <c r="D484" s="46"/>
      <c r="E484" s="46"/>
      <c r="F484" s="46"/>
      <c r="G484" s="46"/>
      <c r="H484" s="60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</row>
    <row r="485" spans="2:21" x14ac:dyDescent="0.3">
      <c r="C485" s="46"/>
      <c r="D485" s="46"/>
      <c r="E485" s="46"/>
      <c r="F485" s="46"/>
      <c r="G485" s="46"/>
      <c r="H485" s="46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</row>
    <row r="486" spans="2:21" s="6" customFormat="1" x14ac:dyDescent="0.3">
      <c r="C486" s="54"/>
      <c r="D486" s="54"/>
      <c r="E486" s="54"/>
      <c r="F486" s="54"/>
      <c r="G486" s="54"/>
      <c r="H486" s="54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</row>
    <row r="487" spans="2:21" x14ac:dyDescent="0.3">
      <c r="C487" s="46"/>
      <c r="D487" s="46"/>
      <c r="E487" s="46"/>
      <c r="F487" s="46"/>
      <c r="G487" s="46"/>
      <c r="H487" s="46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</row>
    <row r="488" spans="2:21" x14ac:dyDescent="0.3">
      <c r="B488" t="s">
        <v>43</v>
      </c>
      <c r="C488" s="22">
        <v>3678494</v>
      </c>
      <c r="D488" s="22">
        <v>8021783</v>
      </c>
      <c r="E488" s="22">
        <v>1495317</v>
      </c>
      <c r="F488" s="22">
        <v>1501262</v>
      </c>
      <c r="G488" s="22">
        <v>2092198</v>
      </c>
      <c r="H488" s="22">
        <v>2880667</v>
      </c>
      <c r="I488" s="49">
        <f>H488*(1+I489)</f>
        <v>1440333.5</v>
      </c>
      <c r="J488" s="49">
        <f>I488*(1+J489)</f>
        <v>1584366.85</v>
      </c>
      <c r="K488" s="49">
        <f>J488*(1+K489)</f>
        <v>1742803.5350000001</v>
      </c>
      <c r="L488" s="49">
        <f>K488*(1+L489)</f>
        <v>1917083.8885000004</v>
      </c>
      <c r="M488" s="49"/>
      <c r="N488" s="33">
        <v>1560980</v>
      </c>
      <c r="O488" s="49"/>
      <c r="P488" s="22">
        <v>5309026</v>
      </c>
      <c r="Q488" s="22">
        <v>2880667</v>
      </c>
      <c r="R488" s="35"/>
      <c r="S488" s="35"/>
      <c r="T488" s="35"/>
      <c r="U488" s="35"/>
    </row>
    <row r="489" spans="2:21" x14ac:dyDescent="0.3">
      <c r="B489" t="s">
        <v>312</v>
      </c>
      <c r="C489" s="46"/>
      <c r="D489" s="60">
        <f>D488/C488-1</f>
        <v>1.1807247748671061</v>
      </c>
      <c r="E489" s="60">
        <f>E488/D488-1</f>
        <v>-0.81359293812859312</v>
      </c>
      <c r="F489" s="60">
        <f>F488/E488-1</f>
        <v>3.9757456111313427E-3</v>
      </c>
      <c r="G489" s="60">
        <f>G488/F488-1</f>
        <v>0.3936261625219315</v>
      </c>
      <c r="H489" s="60">
        <f>H488/G488-1</f>
        <v>0.37686155899202656</v>
      </c>
      <c r="I489" s="85">
        <v>-0.5</v>
      </c>
      <c r="J489" s="85">
        <v>0.1</v>
      </c>
      <c r="K489" s="85">
        <v>0.1</v>
      </c>
      <c r="L489" s="85">
        <v>0.1</v>
      </c>
      <c r="M489" s="35"/>
      <c r="N489" s="35"/>
      <c r="O489" s="35"/>
      <c r="P489" s="35"/>
      <c r="Q489" s="35"/>
      <c r="R489" s="35"/>
      <c r="S489" s="35"/>
      <c r="T489" s="35"/>
      <c r="U489" s="35"/>
    </row>
    <row r="490" spans="2:21" x14ac:dyDescent="0.3">
      <c r="C490" s="46"/>
      <c r="D490" s="46"/>
      <c r="E490" s="46"/>
      <c r="F490" s="46"/>
      <c r="G490" s="46"/>
      <c r="H490" s="46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</row>
    <row r="491" spans="2:21" x14ac:dyDescent="0.3">
      <c r="C491" s="46"/>
      <c r="D491" s="46"/>
      <c r="E491" s="46"/>
      <c r="F491" s="46"/>
      <c r="G491" s="46"/>
      <c r="H491" s="46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</row>
    <row r="492" spans="2:21" s="6" customFormat="1" x14ac:dyDescent="0.3">
      <c r="C492" s="54"/>
      <c r="D492" s="54"/>
      <c r="E492" s="54"/>
      <c r="F492" s="54"/>
      <c r="G492" s="54"/>
      <c r="H492" s="54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</row>
    <row r="493" spans="2:21" x14ac:dyDescent="0.3">
      <c r="C493" s="46"/>
      <c r="D493" s="46"/>
      <c r="E493" s="46"/>
      <c r="F493" s="46"/>
      <c r="G493" s="46"/>
      <c r="H493" s="46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</row>
    <row r="494" spans="2:21" x14ac:dyDescent="0.3">
      <c r="B494" t="s">
        <v>44</v>
      </c>
      <c r="C494" s="22">
        <v>49532385</v>
      </c>
      <c r="D494" s="22">
        <v>48951394</v>
      </c>
      <c r="E494" s="22">
        <v>51117342</v>
      </c>
      <c r="F494" s="22">
        <v>91411522</v>
      </c>
      <c r="G494" s="22">
        <v>151424854</v>
      </c>
      <c r="H494" s="22">
        <v>97726435</v>
      </c>
      <c r="I494" s="49">
        <f>I496*I501</f>
        <v>107949494.87437499</v>
      </c>
      <c r="J494" s="49">
        <f>J496*J501</f>
        <v>118122916.96708126</v>
      </c>
      <c r="K494" s="49">
        <f>K496*K501</f>
        <v>134110891.39733905</v>
      </c>
      <c r="L494" s="49">
        <f>L496*L501</f>
        <v>149252443.65187731</v>
      </c>
      <c r="M494" s="49"/>
      <c r="N494" s="33">
        <v>117895187</v>
      </c>
      <c r="O494" s="49"/>
      <c r="P494" s="22">
        <v>133588179</v>
      </c>
      <c r="Q494" s="22">
        <v>97726435</v>
      </c>
      <c r="R494" s="35"/>
      <c r="S494" s="35"/>
      <c r="T494" s="35"/>
      <c r="U494" s="35"/>
    </row>
    <row r="495" spans="2:21" x14ac:dyDescent="0.3">
      <c r="C495" s="46"/>
      <c r="D495" s="46"/>
      <c r="E495" s="46"/>
      <c r="F495" s="46"/>
      <c r="G495" s="46"/>
      <c r="H495" s="46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</row>
    <row r="496" spans="2:21" x14ac:dyDescent="0.3">
      <c r="B496" t="s">
        <v>322</v>
      </c>
      <c r="C496" s="61">
        <f t="shared" ref="C496:H496" si="59">C494/C501</f>
        <v>5.7779213197481596E-2</v>
      </c>
      <c r="D496" s="61">
        <f t="shared" si="59"/>
        <v>4.922850742184097E-2</v>
      </c>
      <c r="E496" s="61">
        <f t="shared" si="59"/>
        <v>4.7818685375835779E-2</v>
      </c>
      <c r="F496" s="61">
        <f t="shared" si="59"/>
        <v>7.1048000065169384E-2</v>
      </c>
      <c r="G496" s="61">
        <f t="shared" si="59"/>
        <v>0.10282540682829101</v>
      </c>
      <c r="H496" s="61">
        <f t="shared" si="59"/>
        <v>4.9413094794391557E-2</v>
      </c>
      <c r="I496" s="61">
        <v>0.05</v>
      </c>
      <c r="J496" s="61">
        <v>0.05</v>
      </c>
      <c r="K496" s="61">
        <v>0.05</v>
      </c>
      <c r="L496" s="61">
        <v>0.05</v>
      </c>
      <c r="M496" s="35"/>
      <c r="N496" s="35"/>
      <c r="O496" s="35"/>
      <c r="P496" s="35"/>
      <c r="Q496" s="35"/>
      <c r="R496" s="35"/>
      <c r="S496" s="35"/>
      <c r="T496" s="35"/>
      <c r="U496" s="35"/>
    </row>
    <row r="497" spans="2:21" x14ac:dyDescent="0.3">
      <c r="C497" s="46"/>
      <c r="D497" s="46"/>
      <c r="E497" s="46"/>
      <c r="F497" s="46"/>
      <c r="G497" s="46"/>
      <c r="H497" s="46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</row>
    <row r="498" spans="2:21" x14ac:dyDescent="0.3">
      <c r="C498" s="46"/>
      <c r="D498" s="46"/>
      <c r="E498" s="46"/>
      <c r="F498" s="46"/>
      <c r="G498" s="46"/>
      <c r="H498" s="46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</row>
    <row r="499" spans="2:21" s="6" customFormat="1" x14ac:dyDescent="0.3">
      <c r="C499" s="54"/>
      <c r="D499" s="54"/>
      <c r="E499" s="54"/>
      <c r="F499" s="54"/>
      <c r="G499" s="54"/>
      <c r="H499" s="54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</row>
    <row r="500" spans="2:21" x14ac:dyDescent="0.3">
      <c r="C500" s="46"/>
      <c r="D500" s="46"/>
      <c r="E500" s="46"/>
      <c r="F500" s="46"/>
      <c r="G500" s="46"/>
      <c r="H500" s="46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</row>
    <row r="501" spans="2:21" x14ac:dyDescent="0.3">
      <c r="B501" t="s">
        <v>278</v>
      </c>
      <c r="C501" s="22">
        <v>857269981</v>
      </c>
      <c r="D501" s="22">
        <v>994370875</v>
      </c>
      <c r="E501" s="22">
        <v>1068982587</v>
      </c>
      <c r="F501" s="22">
        <v>1286616399</v>
      </c>
      <c r="G501" s="22">
        <v>1472640456</v>
      </c>
      <c r="H501" s="22">
        <v>1977743661</v>
      </c>
      <c r="I501" s="46">
        <f>I514</f>
        <v>2158989897.4874997</v>
      </c>
      <c r="J501" s="46">
        <f>J514</f>
        <v>2362458339.3416252</v>
      </c>
      <c r="K501" s="46">
        <f>K514</f>
        <v>2682217827.9467807</v>
      </c>
      <c r="L501" s="46">
        <f>L514</f>
        <v>2985048873.0375462</v>
      </c>
      <c r="M501" s="35"/>
      <c r="N501" s="33">
        <v>2038498641</v>
      </c>
      <c r="O501" s="35"/>
      <c r="P501" s="35"/>
      <c r="Q501" s="35"/>
      <c r="R501" s="35"/>
      <c r="S501" s="35"/>
      <c r="T501" s="35"/>
      <c r="U501" s="35"/>
    </row>
    <row r="502" spans="2:21" x14ac:dyDescent="0.3">
      <c r="C502" s="46"/>
      <c r="D502" s="46"/>
      <c r="E502" s="46"/>
      <c r="F502" s="46"/>
      <c r="G502" s="46"/>
      <c r="H502" s="46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</row>
    <row r="503" spans="2:21" x14ac:dyDescent="0.3">
      <c r="B503" s="35" t="s">
        <v>175</v>
      </c>
      <c r="C503" s="31">
        <v>649709858</v>
      </c>
      <c r="D503" s="31">
        <v>747951765</v>
      </c>
      <c r="E503" s="31">
        <v>800224277</v>
      </c>
      <c r="F503" s="31">
        <v>967297104</v>
      </c>
      <c r="G503" s="31">
        <v>1063816968</v>
      </c>
      <c r="H503" s="31">
        <v>1243534769</v>
      </c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</row>
    <row r="504" spans="2:21" x14ac:dyDescent="0.3">
      <c r="B504" t="s">
        <v>172</v>
      </c>
      <c r="C504" s="22">
        <v>42488222</v>
      </c>
      <c r="D504" s="22">
        <v>45166224</v>
      </c>
      <c r="E504" s="22">
        <v>43981795</v>
      </c>
      <c r="F504" s="22">
        <v>61440763</v>
      </c>
      <c r="G504" s="22">
        <v>84663624</v>
      </c>
      <c r="H504" s="22">
        <v>86197384</v>
      </c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</row>
    <row r="505" spans="2:21" x14ac:dyDescent="0.3">
      <c r="B505" t="s">
        <v>171</v>
      </c>
      <c r="C505" s="22">
        <v>212687511</v>
      </c>
      <c r="D505" s="22">
        <v>227412160</v>
      </c>
      <c r="E505" s="22">
        <v>248903630</v>
      </c>
      <c r="F505" s="22">
        <v>345520769</v>
      </c>
      <c r="G505" s="22">
        <v>430411206</v>
      </c>
      <c r="H505" s="22">
        <v>362455763</v>
      </c>
      <c r="I505" s="49"/>
      <c r="J505" s="49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</row>
    <row r="506" spans="2:21" x14ac:dyDescent="0.3">
      <c r="B506" t="s">
        <v>173</v>
      </c>
      <c r="C506" s="22">
        <v>394357770</v>
      </c>
      <c r="D506" s="22">
        <v>475290328</v>
      </c>
      <c r="E506" s="22">
        <v>507284805</v>
      </c>
      <c r="F506" s="22">
        <v>560306283</v>
      </c>
      <c r="G506" s="22">
        <v>548717236</v>
      </c>
      <c r="H506" s="22">
        <v>794859320</v>
      </c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</row>
    <row r="507" spans="2:21" x14ac:dyDescent="0.3">
      <c r="B507" t="s">
        <v>174</v>
      </c>
      <c r="C507" s="22">
        <v>176355</v>
      </c>
      <c r="D507" s="22">
        <v>83053</v>
      </c>
      <c r="E507" s="22">
        <v>54047</v>
      </c>
      <c r="F507" s="22">
        <v>29289</v>
      </c>
      <c r="G507" s="22">
        <v>24902</v>
      </c>
      <c r="H507" s="22">
        <v>22302</v>
      </c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</row>
    <row r="508" spans="2:21" x14ac:dyDescent="0.3">
      <c r="C508" s="46"/>
      <c r="D508" s="46"/>
      <c r="E508" s="46"/>
      <c r="F508" s="46"/>
      <c r="G508" s="46"/>
      <c r="H508" s="46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</row>
    <row r="509" spans="2:21" x14ac:dyDescent="0.3">
      <c r="B509" t="s">
        <v>176</v>
      </c>
      <c r="C509" s="31">
        <v>207560123</v>
      </c>
      <c r="D509" s="31">
        <v>246419110</v>
      </c>
      <c r="E509" s="31">
        <v>268758310</v>
      </c>
      <c r="F509" s="31">
        <v>319319295</v>
      </c>
      <c r="G509" s="31">
        <v>408823488</v>
      </c>
      <c r="H509" s="31">
        <v>734208892</v>
      </c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</row>
    <row r="510" spans="2:21" x14ac:dyDescent="0.3">
      <c r="B510" t="s">
        <v>177</v>
      </c>
      <c r="C510" s="22">
        <v>23401770</v>
      </c>
      <c r="D510" s="22">
        <v>32286978</v>
      </c>
      <c r="E510" s="22">
        <v>31851740</v>
      </c>
      <c r="F510" s="22">
        <v>47108754</v>
      </c>
      <c r="G510" s="22">
        <v>66784343</v>
      </c>
      <c r="H510" s="22">
        <v>132032767</v>
      </c>
      <c r="I510" s="35"/>
      <c r="J510" s="49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</row>
    <row r="511" spans="2:21" x14ac:dyDescent="0.3">
      <c r="B511" t="s">
        <v>171</v>
      </c>
      <c r="C511" s="22">
        <v>60355737</v>
      </c>
      <c r="D511" s="22">
        <v>72501383</v>
      </c>
      <c r="E511" s="22">
        <v>77548427</v>
      </c>
      <c r="F511" s="22">
        <v>97540150</v>
      </c>
      <c r="G511" s="22">
        <v>124954064</v>
      </c>
      <c r="H511" s="22">
        <v>191459487</v>
      </c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</row>
    <row r="512" spans="2:21" x14ac:dyDescent="0.3">
      <c r="B512" t="s">
        <v>178</v>
      </c>
      <c r="C512" s="22">
        <v>123802616</v>
      </c>
      <c r="D512" s="22">
        <v>141630749</v>
      </c>
      <c r="E512" s="22">
        <v>159358143</v>
      </c>
      <c r="F512" s="22">
        <v>174670391</v>
      </c>
      <c r="G512" s="22">
        <v>217085081</v>
      </c>
      <c r="H512" s="22">
        <v>410716638</v>
      </c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</row>
    <row r="513" spans="2:21" x14ac:dyDescent="0.3">
      <c r="C513" s="48"/>
      <c r="D513" s="48"/>
      <c r="E513" s="48"/>
      <c r="F513" s="48"/>
      <c r="G513" s="48"/>
      <c r="H513" s="48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</row>
    <row r="514" spans="2:21" x14ac:dyDescent="0.3">
      <c r="B514" s="2" t="s">
        <v>180</v>
      </c>
      <c r="C514" s="40">
        <f t="shared" ref="C514:H514" si="60">SUM(C515:C518)</f>
        <v>857269981</v>
      </c>
      <c r="D514" s="40">
        <f t="shared" si="60"/>
        <v>994370875</v>
      </c>
      <c r="E514" s="40">
        <f t="shared" si="60"/>
        <v>1068982587</v>
      </c>
      <c r="F514" s="40">
        <f t="shared" si="60"/>
        <v>1286616399</v>
      </c>
      <c r="G514" s="40">
        <f t="shared" si="60"/>
        <v>1472640456</v>
      </c>
      <c r="H514" s="40">
        <f t="shared" si="60"/>
        <v>1977743661</v>
      </c>
      <c r="I514" s="40">
        <f>I305*I522</f>
        <v>2158989897.4874997</v>
      </c>
      <c r="J514" s="40">
        <f>J305*J522</f>
        <v>2362458339.3416252</v>
      </c>
      <c r="K514" s="40">
        <f>K305*K522</f>
        <v>2682217827.9467807</v>
      </c>
      <c r="L514" s="40">
        <f>L305*L522</f>
        <v>2985048873.0375462</v>
      </c>
      <c r="M514" s="35"/>
      <c r="N514" s="35"/>
      <c r="O514" s="35"/>
      <c r="P514" s="35"/>
      <c r="Q514" s="35"/>
      <c r="R514" s="35"/>
      <c r="S514" s="35"/>
      <c r="T514" s="35"/>
      <c r="U514" s="35"/>
    </row>
    <row r="515" spans="2:21" x14ac:dyDescent="0.3">
      <c r="B515" t="s">
        <v>177</v>
      </c>
      <c r="C515" s="22">
        <v>65889992</v>
      </c>
      <c r="D515" s="22">
        <v>77453202</v>
      </c>
      <c r="E515" s="22">
        <v>75833535</v>
      </c>
      <c r="F515" s="22">
        <v>108549517</v>
      </c>
      <c r="G515" s="22">
        <v>151447967</v>
      </c>
      <c r="H515" s="22">
        <v>218230151</v>
      </c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</row>
    <row r="516" spans="2:21" x14ac:dyDescent="0.3">
      <c r="B516" t="s">
        <v>171</v>
      </c>
      <c r="C516" s="22">
        <v>273043248</v>
      </c>
      <c r="D516" s="22">
        <v>299913543</v>
      </c>
      <c r="E516" s="22">
        <v>326452057</v>
      </c>
      <c r="F516" s="22">
        <v>443060919</v>
      </c>
      <c r="G516" s="22">
        <v>555365270</v>
      </c>
      <c r="H516" s="22">
        <v>553915250</v>
      </c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</row>
    <row r="517" spans="2:21" x14ac:dyDescent="0.3">
      <c r="B517" t="s">
        <v>178</v>
      </c>
      <c r="C517" s="22">
        <v>518160386</v>
      </c>
      <c r="D517" s="22">
        <v>616921077</v>
      </c>
      <c r="E517" s="22">
        <v>666642948</v>
      </c>
      <c r="F517" s="22">
        <v>734976674</v>
      </c>
      <c r="G517" s="22">
        <v>765802317</v>
      </c>
      <c r="H517" s="22">
        <v>1205575958</v>
      </c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</row>
    <row r="518" spans="2:21" x14ac:dyDescent="0.3">
      <c r="B518" t="s">
        <v>179</v>
      </c>
      <c r="C518" s="22">
        <v>176355</v>
      </c>
      <c r="D518" s="22">
        <v>83053</v>
      </c>
      <c r="E518" s="22">
        <v>54047</v>
      </c>
      <c r="F518" s="22">
        <v>29289</v>
      </c>
      <c r="G518" s="22">
        <v>24902</v>
      </c>
      <c r="H518" s="22">
        <v>22302</v>
      </c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</row>
    <row r="519" spans="2:21" x14ac:dyDescent="0.3">
      <c r="C519" s="46"/>
      <c r="D519" s="46"/>
      <c r="E519" s="46"/>
      <c r="F519" s="46"/>
      <c r="G519" s="46"/>
      <c r="H519" s="46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</row>
    <row r="520" spans="2:21" s="28" customFormat="1" x14ac:dyDescent="0.3">
      <c r="B520" s="28" t="s">
        <v>145</v>
      </c>
      <c r="C520" s="46">
        <f t="shared" ref="C520:H520" si="61">SUM(C504:C507)-C503+SUM(C510:C512)-C509+(C504+C510-C515)+(C505+C511-C516)+(C506+C512-C517)+(C507-C518)</f>
        <v>0</v>
      </c>
      <c r="D520" s="46">
        <f t="shared" si="61"/>
        <v>0</v>
      </c>
      <c r="E520" s="46">
        <f t="shared" si="61"/>
        <v>0</v>
      </c>
      <c r="F520" s="46">
        <f t="shared" si="61"/>
        <v>0</v>
      </c>
      <c r="G520" s="46">
        <f t="shared" si="61"/>
        <v>0</v>
      </c>
      <c r="H520" s="46">
        <f t="shared" si="61"/>
        <v>0</v>
      </c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</row>
    <row r="521" spans="2:21" x14ac:dyDescent="0.3">
      <c r="C521" s="46"/>
      <c r="D521" s="46"/>
      <c r="E521" s="46"/>
      <c r="F521" s="46"/>
      <c r="G521" s="46"/>
      <c r="H521" s="46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</row>
    <row r="522" spans="2:21" x14ac:dyDescent="0.3">
      <c r="B522" t="s">
        <v>324</v>
      </c>
      <c r="C522" s="60">
        <f t="shared" ref="C522:H522" si="62">C501/C305</f>
        <v>1.1273134890746184</v>
      </c>
      <c r="D522" s="60">
        <f t="shared" si="62"/>
        <v>1.1073717430518151</v>
      </c>
      <c r="E522" s="60">
        <f t="shared" si="62"/>
        <v>1.1485329775474766</v>
      </c>
      <c r="F522" s="60">
        <f t="shared" si="62"/>
        <v>1.3376349768095663</v>
      </c>
      <c r="G522" s="60">
        <f t="shared" si="62"/>
        <v>1.344962024735366</v>
      </c>
      <c r="H522" s="60">
        <f t="shared" si="62"/>
        <v>1.5870573996988044</v>
      </c>
      <c r="I522" s="85">
        <v>1.65</v>
      </c>
      <c r="J522" s="85">
        <v>1.57</v>
      </c>
      <c r="K522" s="85">
        <v>1.55</v>
      </c>
      <c r="L522" s="85">
        <v>1.5</v>
      </c>
      <c r="M522" s="35"/>
      <c r="N522" s="60">
        <f>N501/N305</f>
        <v>1.6453631527586252</v>
      </c>
      <c r="O522" s="35"/>
      <c r="P522" s="35"/>
      <c r="Q522" s="35"/>
      <c r="R522" s="35"/>
      <c r="S522" s="35"/>
      <c r="T522" s="35"/>
      <c r="U522" s="35"/>
    </row>
    <row r="523" spans="2:21" x14ac:dyDescent="0.3">
      <c r="B523" t="s">
        <v>323</v>
      </c>
      <c r="C523" s="60">
        <f>C501/FS!C62</f>
        <v>0.74169809697534939</v>
      </c>
      <c r="D523" s="60">
        <f>D501/FS!D62</f>
        <v>0.7533613577673044</v>
      </c>
      <c r="E523" s="60">
        <f>E501/FS!E62</f>
        <v>0.75871332391556745</v>
      </c>
      <c r="F523" s="60">
        <f>F501/FS!G62</f>
        <v>0.72999671336020211</v>
      </c>
      <c r="G523" s="60">
        <f>G501/FS!H62</f>
        <v>0.74244871748214869</v>
      </c>
      <c r="H523" s="60">
        <f>H501/FS!I62</f>
        <v>0.79123865175903807</v>
      </c>
      <c r="I523" s="60">
        <f>I501/FS!J62</f>
        <v>0.81094231869813582</v>
      </c>
      <c r="J523" s="60">
        <f>J501/FS!K62</f>
        <v>0.80000086503232981</v>
      </c>
      <c r="K523" s="60">
        <f>K501/FS!L62</f>
        <v>0.79616944214606788</v>
      </c>
      <c r="L523" s="60">
        <f>L501/FS!M62</f>
        <v>0.7927416743927036</v>
      </c>
      <c r="M523" s="35"/>
      <c r="N523" s="35"/>
      <c r="O523" s="35"/>
      <c r="P523" s="35"/>
      <c r="Q523" s="35"/>
      <c r="R523" s="35"/>
      <c r="S523" s="35"/>
      <c r="T523" s="35"/>
      <c r="U523" s="35"/>
    </row>
    <row r="524" spans="2:21" x14ac:dyDescent="0.3">
      <c r="C524" s="46"/>
      <c r="D524" s="46"/>
      <c r="E524" s="46"/>
      <c r="F524" s="46"/>
      <c r="G524" s="46"/>
      <c r="H524" s="46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</row>
    <row r="525" spans="2:21" x14ac:dyDescent="0.3">
      <c r="B525" t="s">
        <v>325</v>
      </c>
      <c r="C525" s="46"/>
      <c r="D525" s="46"/>
      <c r="E525" s="46"/>
      <c r="F525" s="46"/>
      <c r="G525" s="46"/>
      <c r="H525" s="46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</row>
    <row r="526" spans="2:21" x14ac:dyDescent="0.3">
      <c r="B526" t="s">
        <v>177</v>
      </c>
      <c r="C526" s="60">
        <f t="shared" ref="C526:H526" si="63">C515/C$514</f>
        <v>7.6860258098784398E-2</v>
      </c>
      <c r="D526" s="60">
        <f t="shared" si="63"/>
        <v>7.7891663912622144E-2</v>
      </c>
      <c r="E526" s="60">
        <f t="shared" si="63"/>
        <v>7.09399160680622E-2</v>
      </c>
      <c r="F526" s="60">
        <f t="shared" si="63"/>
        <v>8.4368205693917939E-2</v>
      </c>
      <c r="G526" s="60">
        <f t="shared" si="63"/>
        <v>0.10284110176584746</v>
      </c>
      <c r="H526" s="60">
        <f t="shared" si="63"/>
        <v>0.11034299100706357</v>
      </c>
      <c r="I526" s="85">
        <f>1-I527-I528-I529</f>
        <v>9.9999999999999978E-2</v>
      </c>
      <c r="J526" s="85">
        <f>1-J527-J528-J529</f>
        <v>9.9999999999999978E-2</v>
      </c>
      <c r="K526" s="85">
        <f>1-K527-K528-K529</f>
        <v>9.9999999999999978E-2</v>
      </c>
      <c r="L526" s="85">
        <f>1-L527-L528-L529</f>
        <v>9.9999999999999978E-2</v>
      </c>
      <c r="M526" s="35"/>
      <c r="N526" s="35"/>
      <c r="O526" s="35"/>
      <c r="P526" s="35"/>
      <c r="Q526" s="35"/>
      <c r="R526" s="35"/>
      <c r="S526" s="35"/>
      <c r="T526" s="35"/>
      <c r="U526" s="35"/>
    </row>
    <row r="527" spans="2:21" x14ac:dyDescent="0.3">
      <c r="B527" t="s">
        <v>171</v>
      </c>
      <c r="C527" s="60">
        <f t="shared" ref="C527:E529" si="64">C516/C$514</f>
        <v>0.31850321841608964</v>
      </c>
      <c r="D527" s="60">
        <f t="shared" si="64"/>
        <v>0.30161135099617636</v>
      </c>
      <c r="E527" s="60">
        <f t="shared" si="64"/>
        <v>0.30538575742020013</v>
      </c>
      <c r="F527" s="60">
        <f t="shared" ref="F527:H529" si="65">F516/F$514</f>
        <v>0.34436131806213671</v>
      </c>
      <c r="G527" s="60">
        <f t="shared" si="65"/>
        <v>0.37712210589982598</v>
      </c>
      <c r="H527" s="60">
        <f t="shared" si="65"/>
        <v>0.28007433972506107</v>
      </c>
      <c r="I527" s="85">
        <v>0.3</v>
      </c>
      <c r="J527" s="85">
        <v>0.3</v>
      </c>
      <c r="K527" s="85">
        <v>0.3</v>
      </c>
      <c r="L527" s="85">
        <v>0.3</v>
      </c>
      <c r="M527" s="35"/>
      <c r="N527" s="35"/>
      <c r="O527" s="35"/>
      <c r="P527" s="35"/>
      <c r="Q527" s="35"/>
      <c r="R527" s="35"/>
      <c r="S527" s="35"/>
      <c r="T527" s="35"/>
      <c r="U527" s="35"/>
    </row>
    <row r="528" spans="2:21" x14ac:dyDescent="0.3">
      <c r="B528" t="s">
        <v>178</v>
      </c>
      <c r="C528" s="60">
        <f t="shared" si="64"/>
        <v>0.60443080649525271</v>
      </c>
      <c r="D528" s="60">
        <f t="shared" si="64"/>
        <v>0.62041346192888036</v>
      </c>
      <c r="E528" s="60">
        <f t="shared" si="64"/>
        <v>0.6236237672223186</v>
      </c>
      <c r="F528" s="60">
        <f t="shared" si="65"/>
        <v>0.57124771188308165</v>
      </c>
      <c r="G528" s="60">
        <f t="shared" si="65"/>
        <v>0.52001988257207021</v>
      </c>
      <c r="H528" s="60">
        <f t="shared" si="65"/>
        <v>0.60957139278122052</v>
      </c>
      <c r="I528" s="85">
        <v>0.6</v>
      </c>
      <c r="J528" s="85">
        <v>0.6</v>
      </c>
      <c r="K528" s="85">
        <v>0.6</v>
      </c>
      <c r="L528" s="85">
        <v>0.6</v>
      </c>
      <c r="M528" s="35"/>
      <c r="N528" s="35"/>
      <c r="O528" s="35"/>
      <c r="P528" s="35"/>
      <c r="Q528" s="35"/>
      <c r="R528" s="35"/>
      <c r="S528" s="35"/>
      <c r="T528" s="35"/>
      <c r="U528" s="35"/>
    </row>
    <row r="529" spans="2:21" x14ac:dyDescent="0.3">
      <c r="B529" t="s">
        <v>179</v>
      </c>
      <c r="C529" s="60">
        <f t="shared" si="64"/>
        <v>2.0571698987322873E-4</v>
      </c>
      <c r="D529" s="60">
        <f t="shared" si="64"/>
        <v>8.3523162321100767E-5</v>
      </c>
      <c r="E529" s="60">
        <f t="shared" si="64"/>
        <v>5.0559289418995932E-5</v>
      </c>
      <c r="F529" s="60">
        <f t="shared" si="65"/>
        <v>2.27643608637076E-5</v>
      </c>
      <c r="G529" s="60">
        <f t="shared" si="65"/>
        <v>1.6909762256320899E-5</v>
      </c>
      <c r="H529" s="60">
        <f t="shared" si="65"/>
        <v>1.1276486654859767E-5</v>
      </c>
      <c r="I529" s="85">
        <v>0</v>
      </c>
      <c r="J529" s="85">
        <v>0</v>
      </c>
      <c r="K529" s="85">
        <v>0</v>
      </c>
      <c r="L529" s="85">
        <v>0</v>
      </c>
      <c r="M529" s="35"/>
      <c r="N529" s="35"/>
      <c r="O529" s="35"/>
      <c r="P529" s="35"/>
      <c r="Q529" s="35"/>
      <c r="R529" s="35"/>
      <c r="S529" s="35"/>
      <c r="T529" s="35"/>
      <c r="U529" s="35"/>
    </row>
    <row r="530" spans="2:21" x14ac:dyDescent="0.3">
      <c r="C530" s="46"/>
      <c r="D530" s="46"/>
      <c r="E530" s="46"/>
      <c r="F530" s="46"/>
      <c r="G530" s="46"/>
      <c r="H530" s="46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</row>
    <row r="531" spans="2:21" x14ac:dyDescent="0.3">
      <c r="C531" s="46"/>
      <c r="D531" s="46"/>
      <c r="E531" s="46"/>
      <c r="F531" s="46"/>
      <c r="G531" s="46"/>
      <c r="H531" s="46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</row>
    <row r="532" spans="2:21" s="6" customFormat="1" x14ac:dyDescent="0.3">
      <c r="C532" s="54"/>
      <c r="D532" s="54"/>
      <c r="E532" s="54"/>
      <c r="F532" s="54"/>
      <c r="G532" s="54"/>
      <c r="H532" s="54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</row>
    <row r="533" spans="2:21" x14ac:dyDescent="0.3">
      <c r="C533" s="46"/>
      <c r="D533" s="46"/>
      <c r="E533" s="46"/>
      <c r="F533" s="46"/>
      <c r="G533" s="46"/>
      <c r="H533" s="46"/>
      <c r="I533" s="49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</row>
    <row r="534" spans="2:21" x14ac:dyDescent="0.3">
      <c r="B534" t="s">
        <v>46</v>
      </c>
      <c r="C534" s="22">
        <v>23786094</v>
      </c>
      <c r="D534" s="22">
        <v>25361912</v>
      </c>
      <c r="E534" s="22">
        <v>23248893</v>
      </c>
      <c r="F534" s="22">
        <v>54555933</v>
      </c>
      <c r="G534" s="22">
        <v>32587051</v>
      </c>
      <c r="H534" s="22">
        <v>16150356</v>
      </c>
      <c r="I534" s="49">
        <f>P534+I543</f>
        <v>23481198</v>
      </c>
      <c r="J534" s="49">
        <f>I534*(1+J541)</f>
        <v>35221797</v>
      </c>
      <c r="K534" s="49">
        <f>J534*(1+K541)</f>
        <v>52832695.5</v>
      </c>
      <c r="L534" s="49">
        <f>K534*(1+L541)</f>
        <v>79249043.25</v>
      </c>
      <c r="M534" s="49"/>
      <c r="N534" s="33">
        <v>13243625</v>
      </c>
      <c r="O534" s="49"/>
      <c r="P534" s="22">
        <v>11481198</v>
      </c>
      <c r="Q534" s="22">
        <v>16150356</v>
      </c>
      <c r="R534" s="35"/>
      <c r="S534" s="35"/>
      <c r="T534" s="35"/>
      <c r="U534" s="35"/>
    </row>
    <row r="535" spans="2:21" x14ac:dyDescent="0.3">
      <c r="C535" s="46"/>
      <c r="D535" s="46"/>
      <c r="E535" s="46"/>
      <c r="F535" s="46"/>
      <c r="G535" s="46"/>
      <c r="H535" s="46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</row>
    <row r="536" spans="2:21" x14ac:dyDescent="0.3">
      <c r="B536" t="s">
        <v>192</v>
      </c>
      <c r="C536" s="22">
        <v>6624731</v>
      </c>
      <c r="D536" s="22">
        <v>7210334</v>
      </c>
      <c r="E536" s="22">
        <v>7917888</v>
      </c>
      <c r="F536" s="22">
        <v>33159015</v>
      </c>
      <c r="G536" s="22">
        <v>23654334</v>
      </c>
      <c r="H536" s="22">
        <v>12522808</v>
      </c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</row>
    <row r="537" spans="2:21" x14ac:dyDescent="0.3">
      <c r="B537" t="s">
        <v>279</v>
      </c>
      <c r="C537" s="22">
        <v>17161363</v>
      </c>
      <c r="D537" s="22">
        <v>18151578</v>
      </c>
      <c r="E537" s="22">
        <v>15331005</v>
      </c>
      <c r="F537" s="22">
        <v>21396918</v>
      </c>
      <c r="G537" s="22">
        <v>8932717</v>
      </c>
      <c r="H537" s="22">
        <v>3627548</v>
      </c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</row>
    <row r="538" spans="2:21" x14ac:dyDescent="0.3">
      <c r="C538" s="46"/>
      <c r="D538" s="46"/>
      <c r="E538" s="46"/>
      <c r="F538" s="46"/>
      <c r="G538" s="46"/>
      <c r="H538" s="46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</row>
    <row r="539" spans="2:21" s="28" customFormat="1" x14ac:dyDescent="0.3">
      <c r="B539" s="28" t="s">
        <v>145</v>
      </c>
      <c r="C539" s="46">
        <f t="shared" ref="C539:H539" si="66">SUM(C536:C537)-C534</f>
        <v>0</v>
      </c>
      <c r="D539" s="46">
        <f t="shared" si="66"/>
        <v>0</v>
      </c>
      <c r="E539" s="46">
        <f t="shared" si="66"/>
        <v>0</v>
      </c>
      <c r="F539" s="46">
        <f t="shared" si="66"/>
        <v>0</v>
      </c>
      <c r="G539" s="46">
        <f t="shared" si="66"/>
        <v>0</v>
      </c>
      <c r="H539" s="46">
        <f t="shared" si="66"/>
        <v>0</v>
      </c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</row>
    <row r="540" spans="2:21" x14ac:dyDescent="0.3">
      <c r="C540" s="46"/>
      <c r="D540" s="46"/>
      <c r="E540" s="46"/>
      <c r="F540" s="46"/>
      <c r="G540" s="46"/>
      <c r="H540" s="46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</row>
    <row r="541" spans="2:21" x14ac:dyDescent="0.3">
      <c r="B541" t="s">
        <v>327</v>
      </c>
      <c r="C541" s="60"/>
      <c r="D541" s="60">
        <f t="shared" ref="D541:I541" si="67">D534/C534-1</f>
        <v>6.6249549001193619E-2</v>
      </c>
      <c r="E541" s="60">
        <f t="shared" si="67"/>
        <v>-8.3314657033744188E-2</v>
      </c>
      <c r="F541" s="60">
        <f t="shared" si="67"/>
        <v>1.3466034705394359</v>
      </c>
      <c r="G541" s="60">
        <f t="shared" si="67"/>
        <v>-0.40268547877276706</v>
      </c>
      <c r="H541" s="60">
        <f t="shared" si="67"/>
        <v>-0.50439344756909732</v>
      </c>
      <c r="I541" s="60">
        <f t="shared" si="67"/>
        <v>0.45391209952275968</v>
      </c>
      <c r="J541" s="85">
        <v>0.5</v>
      </c>
      <c r="K541" s="85">
        <v>0.5</v>
      </c>
      <c r="L541" s="85">
        <v>0.5</v>
      </c>
      <c r="M541" s="35"/>
      <c r="N541" s="35"/>
      <c r="O541" s="35"/>
      <c r="P541" s="35"/>
      <c r="Q541" s="35"/>
      <c r="R541" s="35"/>
      <c r="S541" s="35"/>
      <c r="T541" s="35"/>
      <c r="U541" s="35"/>
    </row>
    <row r="542" spans="2:21" x14ac:dyDescent="0.3">
      <c r="C542" s="46"/>
      <c r="D542" s="46"/>
      <c r="E542" s="46"/>
      <c r="F542" s="46"/>
      <c r="G542" s="46"/>
      <c r="H542" s="46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</row>
    <row r="543" spans="2:21" x14ac:dyDescent="0.3">
      <c r="B543" t="s">
        <v>361</v>
      </c>
      <c r="C543" s="46"/>
      <c r="D543" s="46"/>
      <c r="E543" s="46"/>
      <c r="F543" s="46"/>
      <c r="G543" s="46"/>
      <c r="H543" s="46"/>
      <c r="I543" s="49">
        <v>12000000</v>
      </c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</row>
    <row r="544" spans="2:21" s="6" customFormat="1" x14ac:dyDescent="0.3">
      <c r="C544" s="54"/>
      <c r="D544" s="54"/>
      <c r="E544" s="54"/>
      <c r="F544" s="54"/>
      <c r="G544" s="54"/>
      <c r="H544" s="54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</row>
    <row r="545" spans="2:21" x14ac:dyDescent="0.3">
      <c r="C545" s="46"/>
      <c r="D545" s="46"/>
      <c r="E545" s="46"/>
      <c r="F545" s="46"/>
      <c r="G545" s="46"/>
      <c r="H545" s="46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</row>
    <row r="546" spans="2:21" x14ac:dyDescent="0.3">
      <c r="B546" t="s">
        <v>47</v>
      </c>
      <c r="C546" s="22">
        <v>4202850</v>
      </c>
      <c r="D546" s="22">
        <v>6735997</v>
      </c>
      <c r="E546" s="22">
        <v>5197188</v>
      </c>
      <c r="F546" s="22">
        <v>6991005</v>
      </c>
      <c r="G546" s="22">
        <v>9486772</v>
      </c>
      <c r="H546" s="22">
        <v>24916074</v>
      </c>
      <c r="I546" s="49">
        <f>(FS!J25+FS!J29)*Drivers!I549</f>
        <v>9913347.5146077722</v>
      </c>
      <c r="J546" s="49">
        <f>(FS!K25+FS!K29)*Drivers!J549</f>
        <v>8703757.8574028723</v>
      </c>
      <c r="K546" s="49">
        <f>(FS!L25+FS!L29)*Drivers!K549</f>
        <v>9505552.2782801744</v>
      </c>
      <c r="L546" s="49">
        <f>(FS!M25+FS!M29)*Drivers!L549</f>
        <v>10262819.939326558</v>
      </c>
      <c r="M546" s="49"/>
      <c r="N546" s="33">
        <v>14420344</v>
      </c>
      <c r="O546" s="49"/>
      <c r="P546" s="22">
        <v>23513300</v>
      </c>
      <c r="Q546" s="22">
        <v>24916074</v>
      </c>
      <c r="R546" s="35"/>
      <c r="S546" s="35"/>
      <c r="T546" s="35"/>
      <c r="U546" s="35"/>
    </row>
    <row r="547" spans="2:21" x14ac:dyDescent="0.3">
      <c r="B547" t="s">
        <v>48</v>
      </c>
      <c r="C547" s="22">
        <v>3565215</v>
      </c>
      <c r="D547" s="22">
        <v>971424</v>
      </c>
      <c r="E547" s="22">
        <v>416458</v>
      </c>
      <c r="F547" s="22">
        <v>403846</v>
      </c>
      <c r="G547" s="22">
        <v>349106</v>
      </c>
      <c r="H547" s="22">
        <v>437123</v>
      </c>
      <c r="I547" s="49">
        <f>H547</f>
        <v>437123</v>
      </c>
      <c r="J547" s="49">
        <f>I547</f>
        <v>437123</v>
      </c>
      <c r="K547" s="49">
        <f>J547</f>
        <v>437123</v>
      </c>
      <c r="L547" s="49">
        <f>K547</f>
        <v>437123</v>
      </c>
      <c r="M547" s="49"/>
      <c r="N547" s="33">
        <v>431708</v>
      </c>
      <c r="O547" s="49"/>
      <c r="P547" s="22">
        <v>433316</v>
      </c>
      <c r="Q547" s="22">
        <v>437123</v>
      </c>
      <c r="R547" s="35"/>
      <c r="S547" s="35"/>
      <c r="T547" s="35"/>
      <c r="U547" s="35"/>
    </row>
    <row r="548" spans="2:21" x14ac:dyDescent="0.3">
      <c r="C548" s="46"/>
      <c r="D548" s="46"/>
      <c r="E548" s="46"/>
      <c r="F548" s="46"/>
      <c r="G548" s="46"/>
      <c r="H548" s="46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</row>
    <row r="549" spans="2:21" x14ac:dyDescent="0.3">
      <c r="B549" t="s">
        <v>328</v>
      </c>
      <c r="C549" s="60">
        <f>C546/(FS!C25+FS!C29)</f>
        <v>0.36386934970512369</v>
      </c>
      <c r="D549" s="60">
        <f>D546/(FS!D25+FS!D29)</f>
        <v>0.47145828355232777</v>
      </c>
      <c r="E549" s="60">
        <f>E546/(FS!E25+FS!E29)</f>
        <v>0.4054212937003695</v>
      </c>
      <c r="F549" s="60">
        <f>F546/(FS!G25+FS!G29)</f>
        <v>0.58431507556891071</v>
      </c>
      <c r="G549" s="60">
        <f>G546/(FS!H25+FS!H29)</f>
        <v>0.65370714676812014</v>
      </c>
      <c r="H549" s="60">
        <f>H546/(FS!I25+FS!I29)</f>
        <v>6.187335964441548</v>
      </c>
      <c r="I549" s="85">
        <v>0.5</v>
      </c>
      <c r="J549" s="85">
        <v>0.5</v>
      </c>
      <c r="K549" s="85">
        <v>0.5</v>
      </c>
      <c r="L549" s="85">
        <v>0.5</v>
      </c>
      <c r="M549" s="35"/>
      <c r="N549" s="35"/>
      <c r="O549" s="35"/>
      <c r="P549" s="35"/>
      <c r="Q549" s="35"/>
      <c r="R549" s="35"/>
      <c r="S549" s="35"/>
      <c r="T549" s="35"/>
      <c r="U549" s="35"/>
    </row>
    <row r="550" spans="2:21" x14ac:dyDescent="0.3">
      <c r="C550" s="46"/>
      <c r="D550" s="46"/>
      <c r="E550" s="46"/>
      <c r="F550" s="46"/>
      <c r="G550" s="46"/>
      <c r="H550" s="46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</row>
    <row r="551" spans="2:21" s="6" customFormat="1" x14ac:dyDescent="0.3">
      <c r="C551" s="54"/>
      <c r="D551" s="54"/>
      <c r="E551" s="54"/>
      <c r="F551" s="54"/>
      <c r="G551" s="54"/>
      <c r="H551" s="54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</row>
    <row r="552" spans="2:21" x14ac:dyDescent="0.3">
      <c r="C552" s="46"/>
      <c r="D552" s="46"/>
      <c r="E552" s="46"/>
      <c r="F552" s="46"/>
      <c r="G552" s="46"/>
      <c r="H552" s="46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</row>
    <row r="553" spans="2:21" x14ac:dyDescent="0.3">
      <c r="B553" t="s">
        <v>49</v>
      </c>
      <c r="C553" s="22">
        <v>19508115</v>
      </c>
      <c r="D553" s="22">
        <v>24547513</v>
      </c>
      <c r="E553" s="22">
        <v>30775884</v>
      </c>
      <c r="F553" s="22">
        <v>33572283</v>
      </c>
      <c r="G553" s="22">
        <v>33253518</v>
      </c>
      <c r="H553" s="22">
        <v>40354877</v>
      </c>
      <c r="I553" s="12">
        <f>I501*I555</f>
        <v>53974747.437187493</v>
      </c>
      <c r="J553" s="12">
        <f>J501*J555</f>
        <v>59061458.483540632</v>
      </c>
      <c r="K553" s="12">
        <f>K501*K555</f>
        <v>67055445.698669523</v>
      </c>
      <c r="L553" s="12">
        <f>L501*L555</f>
        <v>74626221.825938657</v>
      </c>
      <c r="M553" s="12"/>
      <c r="N553" s="33">
        <v>48296812</v>
      </c>
      <c r="P553" s="22">
        <v>36253554</v>
      </c>
      <c r="Q553" s="22">
        <v>40354877</v>
      </c>
    </row>
    <row r="554" spans="2:21" x14ac:dyDescent="0.3">
      <c r="C554" s="22"/>
      <c r="D554" s="22"/>
      <c r="E554" s="22"/>
      <c r="F554" s="22"/>
      <c r="G554" s="22"/>
      <c r="H554" s="22"/>
      <c r="I554" s="12"/>
      <c r="J554" s="12"/>
      <c r="K554" s="12"/>
      <c r="L554" s="12"/>
      <c r="M554" s="12"/>
      <c r="N554" s="12"/>
      <c r="O554" s="22"/>
      <c r="P554" s="22"/>
    </row>
    <row r="555" spans="2:21" x14ac:dyDescent="0.3">
      <c r="B555" t="s">
        <v>322</v>
      </c>
      <c r="C555" s="61">
        <f t="shared" ref="C555:H555" si="68">C553/C501</f>
        <v>2.2756092517369975E-2</v>
      </c>
      <c r="D555" s="61">
        <f t="shared" si="68"/>
        <v>2.4686476260680906E-2</v>
      </c>
      <c r="E555" s="61">
        <f t="shared" si="68"/>
        <v>2.8789883365986018E-2</v>
      </c>
      <c r="F555" s="61">
        <f t="shared" si="68"/>
        <v>2.6093467350558775E-2</v>
      </c>
      <c r="G555" s="61">
        <f t="shared" si="68"/>
        <v>2.2580880393795185E-2</v>
      </c>
      <c r="H555" s="61">
        <f t="shared" si="68"/>
        <v>2.0404503270962576E-2</v>
      </c>
      <c r="I555" s="88">
        <v>2.5000000000000001E-2</v>
      </c>
      <c r="J555" s="88">
        <v>2.5000000000000001E-2</v>
      </c>
      <c r="K555" s="88">
        <v>2.5000000000000001E-2</v>
      </c>
      <c r="L555" s="88">
        <v>2.5000000000000001E-2</v>
      </c>
      <c r="M555" s="12"/>
      <c r="N555" s="12"/>
      <c r="O555" s="22"/>
      <c r="P555" s="22"/>
    </row>
    <row r="556" spans="2:21" x14ac:dyDescent="0.3">
      <c r="C556" s="22"/>
      <c r="D556" s="22"/>
      <c r="E556" s="22"/>
      <c r="F556" s="22"/>
      <c r="G556" s="22"/>
      <c r="H556" s="22"/>
      <c r="I556" s="12"/>
      <c r="J556" s="12"/>
      <c r="K556" s="12"/>
      <c r="L556" s="12"/>
      <c r="M556" s="12"/>
      <c r="N556" s="12"/>
      <c r="O556" s="22"/>
      <c r="P556" s="22"/>
    </row>
    <row r="557" spans="2:21" s="6" customFormat="1" x14ac:dyDescent="0.3">
      <c r="C557" s="54"/>
      <c r="D557" s="54"/>
      <c r="E557" s="54"/>
      <c r="F557" s="54"/>
      <c r="G557" s="54"/>
      <c r="H557" s="54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</row>
    <row r="558" spans="2:21" x14ac:dyDescent="0.3">
      <c r="C558" s="22"/>
      <c r="D558" s="22"/>
      <c r="E558" s="22"/>
      <c r="F558" s="22"/>
      <c r="G558" s="22"/>
      <c r="H558" s="22"/>
      <c r="I558" s="12"/>
      <c r="J558" s="12"/>
      <c r="K558" s="12"/>
      <c r="L558" s="12"/>
      <c r="M558" s="12"/>
      <c r="N558" s="12"/>
      <c r="O558" s="22"/>
      <c r="P558" s="22"/>
    </row>
    <row r="559" spans="2:21" x14ac:dyDescent="0.3">
      <c r="B559" t="s">
        <v>51</v>
      </c>
      <c r="C559" s="22">
        <v>25165924</v>
      </c>
      <c r="D559" s="22">
        <v>37992457</v>
      </c>
      <c r="E559" s="22">
        <v>37886789</v>
      </c>
      <c r="F559" s="22">
        <v>38247138</v>
      </c>
      <c r="G559" s="22">
        <v>38303466</v>
      </c>
      <c r="H559" s="22">
        <v>61400967</v>
      </c>
      <c r="I559" s="49">
        <f>I501*I564</f>
        <v>32384848.462312493</v>
      </c>
      <c r="J559" s="49">
        <f>J501*J564</f>
        <v>47249166.786832504</v>
      </c>
      <c r="K559" s="49">
        <f>K501*K564</f>
        <v>67055445.698669523</v>
      </c>
      <c r="L559" s="49">
        <f>L501*L564</f>
        <v>74626221.825938657</v>
      </c>
      <c r="M559" s="49"/>
      <c r="N559" s="33">
        <v>24869883</v>
      </c>
      <c r="O559" s="49"/>
      <c r="P559" s="22">
        <v>33262957</v>
      </c>
      <c r="Q559" s="22">
        <v>61400967</v>
      </c>
      <c r="R559" s="35"/>
      <c r="S559" s="35"/>
      <c r="T559" s="35"/>
      <c r="U559" s="35"/>
    </row>
    <row r="560" spans="2:21" x14ac:dyDescent="0.3">
      <c r="C560" s="46"/>
      <c r="D560" s="46"/>
      <c r="E560" s="46"/>
      <c r="F560" s="46"/>
      <c r="G560" s="46"/>
      <c r="H560" s="46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</row>
    <row r="561" spans="2:21" x14ac:dyDescent="0.3">
      <c r="B561" t="s">
        <v>281</v>
      </c>
      <c r="C561" s="46"/>
      <c r="D561" s="46"/>
      <c r="E561" s="22">
        <v>0</v>
      </c>
      <c r="F561" s="22">
        <v>9502140</v>
      </c>
      <c r="G561" s="22">
        <v>0</v>
      </c>
      <c r="H561" s="22">
        <v>35918840</v>
      </c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</row>
    <row r="562" spans="2:21" x14ac:dyDescent="0.3">
      <c r="B562" t="s">
        <v>280</v>
      </c>
      <c r="C562" s="22">
        <v>24699430</v>
      </c>
      <c r="D562" s="22">
        <v>36904430</v>
      </c>
      <c r="E562" s="22">
        <v>36810680</v>
      </c>
      <c r="F562" s="22">
        <v>27702290</v>
      </c>
      <c r="G562" s="22">
        <v>37272760</v>
      </c>
      <c r="H562" s="22">
        <v>23878920</v>
      </c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</row>
    <row r="563" spans="2:21" x14ac:dyDescent="0.3">
      <c r="C563" s="46"/>
      <c r="D563" s="46"/>
      <c r="E563" s="46"/>
      <c r="F563" s="46"/>
      <c r="G563" s="46"/>
      <c r="H563" s="46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</row>
    <row r="564" spans="2:21" x14ac:dyDescent="0.3">
      <c r="B564" t="s">
        <v>322</v>
      </c>
      <c r="C564" s="61">
        <f t="shared" ref="C564:H564" si="69">C559/C501</f>
        <v>2.9355890860244645E-2</v>
      </c>
      <c r="D564" s="61">
        <f t="shared" si="69"/>
        <v>3.8207531973419875E-2</v>
      </c>
      <c r="E564" s="61">
        <f t="shared" si="69"/>
        <v>3.5441914078624744E-2</v>
      </c>
      <c r="F564" s="61">
        <f t="shared" si="69"/>
        <v>2.9726916297450365E-2</v>
      </c>
      <c r="G564" s="61">
        <f t="shared" si="69"/>
        <v>2.6010059579675164E-2</v>
      </c>
      <c r="H564" s="61">
        <f t="shared" si="69"/>
        <v>3.1045968297506277E-2</v>
      </c>
      <c r="I564" s="86">
        <v>1.4999999999999999E-2</v>
      </c>
      <c r="J564" s="86">
        <v>0.02</v>
      </c>
      <c r="K564" s="86">
        <v>2.5000000000000001E-2</v>
      </c>
      <c r="L564" s="86">
        <v>2.5000000000000001E-2</v>
      </c>
      <c r="M564" s="35"/>
      <c r="N564" s="35"/>
      <c r="O564" s="35"/>
      <c r="P564" s="35"/>
      <c r="Q564" s="35"/>
      <c r="R564" s="35"/>
      <c r="S564" s="35"/>
      <c r="T564" s="35"/>
      <c r="U564" s="35"/>
    </row>
    <row r="565" spans="2:21" x14ac:dyDescent="0.3">
      <c r="C565" s="46"/>
      <c r="D565" s="46"/>
      <c r="E565" s="46"/>
      <c r="F565" s="46"/>
      <c r="G565" s="46"/>
      <c r="H565" s="46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</row>
    <row r="566" spans="2:21" x14ac:dyDescent="0.3">
      <c r="C566" s="46"/>
      <c r="D566" s="46"/>
      <c r="E566" s="46"/>
      <c r="F566" s="46"/>
      <c r="G566" s="46"/>
      <c r="H566" s="46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</row>
    <row r="567" spans="2:21" x14ac:dyDescent="0.3">
      <c r="C567" s="46"/>
      <c r="D567" s="46"/>
      <c r="E567" s="46"/>
      <c r="F567" s="46"/>
      <c r="G567" s="46"/>
      <c r="H567" s="46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</row>
    <row r="568" spans="2:21" s="6" customFormat="1" x14ac:dyDescent="0.3">
      <c r="C568" s="54"/>
      <c r="D568" s="54"/>
      <c r="E568" s="54"/>
      <c r="F568" s="54"/>
      <c r="G568" s="54"/>
      <c r="H568" s="54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</row>
    <row r="569" spans="2:21" x14ac:dyDescent="0.3">
      <c r="C569" s="46"/>
      <c r="D569" s="46"/>
      <c r="E569" s="46"/>
      <c r="F569" s="46"/>
      <c r="G569" s="46"/>
      <c r="H569" s="46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</row>
    <row r="570" spans="2:21" x14ac:dyDescent="0.3">
      <c r="B570" t="s">
        <v>286</v>
      </c>
      <c r="C570" s="31">
        <v>931971691</v>
      </c>
      <c r="D570" s="31">
        <v>945709403</v>
      </c>
      <c r="E570" s="31">
        <v>961252317</v>
      </c>
      <c r="F570" s="31">
        <v>1098934937</v>
      </c>
      <c r="G570" s="31">
        <v>1124480528</v>
      </c>
      <c r="H570" s="31">
        <v>1167236442</v>
      </c>
      <c r="I570" s="92">
        <v>1236525395</v>
      </c>
      <c r="J570" s="92">
        <v>1236525395</v>
      </c>
      <c r="K570" s="92">
        <v>1236525395</v>
      </c>
      <c r="L570" s="92">
        <v>1236525395</v>
      </c>
      <c r="M570" s="35"/>
      <c r="N570" s="92">
        <v>1236525395</v>
      </c>
      <c r="O570" s="35"/>
      <c r="P570" s="35"/>
      <c r="Q570" s="35"/>
      <c r="R570" s="35"/>
      <c r="S570" s="35"/>
      <c r="T570" s="35"/>
      <c r="U570" s="35"/>
    </row>
    <row r="571" spans="2:21" x14ac:dyDescent="0.3">
      <c r="B571" s="20" t="s">
        <v>282</v>
      </c>
      <c r="C571" s="22">
        <v>3278537</v>
      </c>
      <c r="D571" s="22">
        <v>1739324</v>
      </c>
      <c r="E571" s="22">
        <v>293385</v>
      </c>
      <c r="F571" s="46"/>
      <c r="G571" s="22">
        <v>474254</v>
      </c>
      <c r="H571" s="46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</row>
    <row r="572" spans="2:21" x14ac:dyDescent="0.3">
      <c r="B572" s="20" t="s">
        <v>283</v>
      </c>
      <c r="C572" s="22">
        <v>10521802</v>
      </c>
      <c r="D572" s="22">
        <v>11998388</v>
      </c>
      <c r="E572" s="22">
        <v>15249529</v>
      </c>
      <c r="F572" s="22">
        <v>22485434</v>
      </c>
      <c r="G572" s="22">
        <v>25071337</v>
      </c>
      <c r="H572" s="22">
        <v>42755914</v>
      </c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</row>
    <row r="573" spans="2:21" x14ac:dyDescent="0.3">
      <c r="B573" s="20" t="s">
        <v>284</v>
      </c>
      <c r="C573" s="22">
        <v>84649465</v>
      </c>
      <c r="D573" s="46"/>
      <c r="E573" s="46"/>
      <c r="F573" s="46"/>
      <c r="G573" s="46"/>
      <c r="H573" s="46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</row>
    <row r="574" spans="2:21" x14ac:dyDescent="0.3">
      <c r="B574" s="20" t="s">
        <v>285</v>
      </c>
      <c r="C574" s="46"/>
      <c r="D574" s="46"/>
      <c r="E574" s="46"/>
      <c r="F574" s="22">
        <v>115197186</v>
      </c>
      <c r="G574" s="46"/>
      <c r="H574" s="46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</row>
    <row r="575" spans="2:21" x14ac:dyDescent="0.3">
      <c r="C575" s="46"/>
      <c r="D575" s="46"/>
      <c r="E575" s="46"/>
      <c r="F575" s="46"/>
      <c r="G575" s="46"/>
      <c r="H575" s="46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</row>
    <row r="576" spans="2:21" s="28" customFormat="1" x14ac:dyDescent="0.3">
      <c r="B576" s="28" t="s">
        <v>145</v>
      </c>
      <c r="C576" s="46"/>
      <c r="D576" s="46">
        <f>C570+SUM(D571:D574)-D570</f>
        <v>0</v>
      </c>
      <c r="E576" s="46">
        <f>D570+SUM(E571:E574)-E570</f>
        <v>0</v>
      </c>
      <c r="F576" s="46">
        <f>E570+SUM(F571:F574)-F570</f>
        <v>0</v>
      </c>
      <c r="G576" s="46">
        <f>F570+SUM(G571:G574)-G570</f>
        <v>0</v>
      </c>
      <c r="H576" s="46">
        <f>G570+SUM(H571:H574)-H570</f>
        <v>0</v>
      </c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</row>
    <row r="577" spans="2:21" x14ac:dyDescent="0.3">
      <c r="C577" s="46"/>
      <c r="D577" s="46"/>
      <c r="E577" s="46"/>
      <c r="F577" s="46"/>
      <c r="G577" s="46"/>
      <c r="H577" s="46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</row>
    <row r="578" spans="2:21" x14ac:dyDescent="0.3">
      <c r="B578" t="s">
        <v>287</v>
      </c>
      <c r="C578" s="31">
        <v>63927611</v>
      </c>
      <c r="D578" s="31">
        <v>65013174</v>
      </c>
      <c r="E578" s="31">
        <v>66254269</v>
      </c>
      <c r="F578" s="31">
        <v>67970701</v>
      </c>
      <c r="G578" s="31">
        <v>69740771</v>
      </c>
      <c r="H578" s="31">
        <v>72541605</v>
      </c>
      <c r="I578" s="92">
        <v>77595733</v>
      </c>
      <c r="J578" s="92">
        <v>77595733</v>
      </c>
      <c r="K578" s="92">
        <v>77595733</v>
      </c>
      <c r="L578" s="92">
        <v>77595733</v>
      </c>
      <c r="M578" s="35"/>
      <c r="N578" s="92">
        <v>77595733</v>
      </c>
      <c r="O578" s="35"/>
      <c r="P578" s="35"/>
      <c r="Q578" s="35"/>
      <c r="R578" s="35"/>
      <c r="S578" s="35"/>
      <c r="T578" s="35"/>
      <c r="U578" s="35"/>
    </row>
    <row r="579" spans="2:21" x14ac:dyDescent="0.3">
      <c r="B579" s="20" t="s">
        <v>282</v>
      </c>
      <c r="C579" s="46"/>
      <c r="D579" s="46"/>
      <c r="E579" s="46"/>
      <c r="F579" s="46"/>
      <c r="G579" s="46"/>
      <c r="H579" s="46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</row>
    <row r="580" spans="2:21" x14ac:dyDescent="0.3">
      <c r="B580" s="20" t="s">
        <v>283</v>
      </c>
      <c r="C580" s="22">
        <v>903357</v>
      </c>
      <c r="D580" s="22">
        <v>1085563</v>
      </c>
      <c r="E580" s="22">
        <v>1241095</v>
      </c>
      <c r="F580" s="22">
        <v>1716432</v>
      </c>
      <c r="G580" s="22">
        <v>1770070</v>
      </c>
      <c r="H580" s="22">
        <v>2800834</v>
      </c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</row>
    <row r="581" spans="2:21" x14ac:dyDescent="0.3">
      <c r="B581" s="20" t="s">
        <v>284</v>
      </c>
      <c r="C581" s="22">
        <v>5811601</v>
      </c>
      <c r="D581" s="46"/>
      <c r="E581" s="46"/>
      <c r="F581" s="46"/>
      <c r="G581" s="46"/>
      <c r="H581" s="46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</row>
    <row r="582" spans="2:21" x14ac:dyDescent="0.3">
      <c r="B582" s="20" t="s">
        <v>285</v>
      </c>
      <c r="C582" s="46"/>
      <c r="D582" s="46"/>
      <c r="E582" s="46"/>
      <c r="F582" s="46"/>
      <c r="G582" s="46"/>
      <c r="H582" s="46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</row>
    <row r="583" spans="2:21" x14ac:dyDescent="0.3">
      <c r="C583" s="46"/>
      <c r="D583" s="46"/>
      <c r="E583" s="46"/>
      <c r="F583" s="46"/>
      <c r="G583" s="46"/>
      <c r="H583" s="46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</row>
    <row r="584" spans="2:21" s="28" customFormat="1" x14ac:dyDescent="0.3">
      <c r="B584" s="28" t="s">
        <v>145</v>
      </c>
      <c r="C584" s="46"/>
      <c r="D584" s="46">
        <f>C578+SUM(D579:D582)-D578</f>
        <v>0</v>
      </c>
      <c r="E584" s="46">
        <f>D578+SUM(E579:E582)-E578</f>
        <v>0</v>
      </c>
      <c r="F584" s="46">
        <f>E578+SUM(F579:F582)-F578</f>
        <v>0</v>
      </c>
      <c r="G584" s="46">
        <f>F578+SUM(G579:G582)-G578</f>
        <v>0</v>
      </c>
      <c r="H584" s="46">
        <f>G578+SUM(H579:H582)-H578</f>
        <v>0</v>
      </c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</row>
    <row r="585" spans="2:21" x14ac:dyDescent="0.3">
      <c r="C585" s="46"/>
      <c r="D585" s="46"/>
      <c r="E585" s="46"/>
      <c r="F585" s="46"/>
      <c r="G585" s="46"/>
      <c r="H585" s="46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</row>
    <row r="586" spans="2:21" x14ac:dyDescent="0.3">
      <c r="B586" t="s">
        <v>293</v>
      </c>
      <c r="C586" s="46">
        <f t="shared" ref="C586:L586" si="70">C570+C578</f>
        <v>995899302</v>
      </c>
      <c r="D586" s="46">
        <f t="shared" si="70"/>
        <v>1010722577</v>
      </c>
      <c r="E586" s="46">
        <f t="shared" si="70"/>
        <v>1027506586</v>
      </c>
      <c r="F586" s="46">
        <f t="shared" si="70"/>
        <v>1166905638</v>
      </c>
      <c r="G586" s="46">
        <f t="shared" si="70"/>
        <v>1194221299</v>
      </c>
      <c r="H586" s="46">
        <f t="shared" si="70"/>
        <v>1239778047</v>
      </c>
      <c r="I586" s="62">
        <f t="shared" si="70"/>
        <v>1314121128</v>
      </c>
      <c r="J586" s="62">
        <f t="shared" si="70"/>
        <v>1314121128</v>
      </c>
      <c r="K586" s="62">
        <f t="shared" si="70"/>
        <v>1314121128</v>
      </c>
      <c r="L586" s="62">
        <f t="shared" si="70"/>
        <v>1314121128</v>
      </c>
      <c r="M586" s="35"/>
      <c r="N586" s="35"/>
      <c r="O586" s="35"/>
      <c r="P586" s="35"/>
      <c r="Q586" s="35"/>
      <c r="R586" s="35"/>
      <c r="S586" s="35"/>
      <c r="T586" s="35"/>
      <c r="U586" s="35"/>
    </row>
    <row r="587" spans="2:21" x14ac:dyDescent="0.3">
      <c r="C587" s="46"/>
      <c r="D587" s="46"/>
      <c r="E587" s="46"/>
      <c r="F587" s="46"/>
      <c r="G587" s="46"/>
      <c r="H587" s="46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</row>
    <row r="588" spans="2:21" x14ac:dyDescent="0.3">
      <c r="B588" t="s">
        <v>294</v>
      </c>
      <c r="C588" s="53">
        <f t="shared" ref="C588:H588" si="71">C599/(C586/1000)</f>
        <v>37.296482611652635</v>
      </c>
      <c r="D588" s="53">
        <f t="shared" si="71"/>
        <v>38.732569045996485</v>
      </c>
      <c r="E588" s="53">
        <f t="shared" si="71"/>
        <v>39.821601688497594</v>
      </c>
      <c r="F588" s="53">
        <f t="shared" si="71"/>
        <v>44.723193804639067</v>
      </c>
      <c r="G588" s="53">
        <f t="shared" si="71"/>
        <v>45.692500247393426</v>
      </c>
      <c r="H588" s="53">
        <f t="shared" si="71"/>
        <v>46.903251062325026</v>
      </c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</row>
    <row r="589" spans="2:21" x14ac:dyDescent="0.3">
      <c r="C589" s="46"/>
      <c r="D589" s="46"/>
      <c r="E589" s="46"/>
      <c r="F589" s="46"/>
      <c r="G589" s="46"/>
      <c r="H589" s="46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</row>
    <row r="590" spans="2:21" x14ac:dyDescent="0.3">
      <c r="B590" t="s">
        <v>369</v>
      </c>
      <c r="C590" s="46"/>
      <c r="D590" s="46"/>
      <c r="E590" s="46"/>
      <c r="F590" s="46"/>
      <c r="G590" s="46"/>
      <c r="H590" s="46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</row>
    <row r="591" spans="2:21" x14ac:dyDescent="0.3">
      <c r="B591" t="s">
        <v>367</v>
      </c>
      <c r="C591" s="53">
        <f>FS!C80*1000/Drivers!C586</f>
        <v>108.43947754870501</v>
      </c>
      <c r="D591" s="53">
        <f>FS!D80*1000/Drivers!D586</f>
        <v>118.13117834410461</v>
      </c>
      <c r="E591" s="53">
        <f>FS!E80*1000/Drivers!E586</f>
        <v>130.82568115042719</v>
      </c>
      <c r="F591" s="53">
        <f>FS!G80*1000/Drivers!F586</f>
        <v>136.42303783264435</v>
      </c>
      <c r="G591" s="53">
        <f>FS!H80*1000/Drivers!G586</f>
        <v>140.23759008505172</v>
      </c>
      <c r="H591" s="53">
        <f>FS!I80*1000/Drivers!H586</f>
        <v>168.46980514408156</v>
      </c>
      <c r="I591" s="53">
        <f>FS!J80*1000/Drivers!I586</f>
        <v>174.6907210487785</v>
      </c>
      <c r="J591" s="53">
        <f>FS!K80*1000/Drivers!J586</f>
        <v>193.31150384045156</v>
      </c>
      <c r="K591" s="53">
        <f>FS!L80*1000/Drivers!K586</f>
        <v>211.22647952129455</v>
      </c>
      <c r="L591" s="53">
        <f>FS!M80*1000/Drivers!L586</f>
        <v>229.8881496437703</v>
      </c>
      <c r="M591" s="35"/>
      <c r="N591" s="35"/>
      <c r="O591" s="35"/>
      <c r="P591" s="35"/>
      <c r="Q591" s="35"/>
      <c r="R591" s="35"/>
      <c r="S591" s="35"/>
      <c r="T591" s="35"/>
      <c r="U591" s="35"/>
    </row>
    <row r="592" spans="2:21" x14ac:dyDescent="0.3">
      <c r="B592" t="s">
        <v>368</v>
      </c>
      <c r="C592" s="53">
        <f>FS!C31*1000/Drivers!C586</f>
        <v>16.674339430353371</v>
      </c>
      <c r="D592" s="53">
        <f>FS!D31*1000/Drivers!D586</f>
        <v>17.546561641711502</v>
      </c>
      <c r="E592" s="53">
        <f>FS!E31*1000/Drivers!E586</f>
        <v>16.801117613469</v>
      </c>
      <c r="F592" s="53">
        <f>FS!G31*1000/Drivers!F586</f>
        <v>14.516983591778652</v>
      </c>
      <c r="G592" s="53">
        <f>FS!H31*1000/Drivers!G586</f>
        <v>20.149087124931608</v>
      </c>
      <c r="H592" s="53">
        <f>FS!I31*1000/Drivers!H586</f>
        <v>19.206594323572499</v>
      </c>
      <c r="I592" s="53">
        <f>FS!J31*1000/Drivers!I586</f>
        <v>15.064716098859725</v>
      </c>
      <c r="J592" s="53">
        <f>FS!K31*1000/Drivers!J586</f>
        <v>19.610514804909627</v>
      </c>
      <c r="K592" s="53">
        <f>FS!L31*1000/Drivers!K586</f>
        <v>20.887890052851784</v>
      </c>
      <c r="L592" s="53">
        <f>FS!M31*1000/Drivers!L586</f>
        <v>21.972720431137031</v>
      </c>
      <c r="M592" s="35"/>
      <c r="N592" s="35"/>
      <c r="O592" s="35"/>
      <c r="P592" s="35"/>
      <c r="Q592" s="35"/>
      <c r="R592" s="35"/>
      <c r="S592" s="35"/>
      <c r="T592" s="35"/>
      <c r="U592" s="35"/>
    </row>
    <row r="593" spans="2:21" x14ac:dyDescent="0.3">
      <c r="C593" s="53"/>
      <c r="D593" s="53"/>
      <c r="E593" s="53"/>
      <c r="F593" s="53"/>
      <c r="G593" s="53"/>
      <c r="H593" s="53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</row>
    <row r="594" spans="2:21" x14ac:dyDescent="0.3">
      <c r="B594" t="s">
        <v>370</v>
      </c>
      <c r="C594" s="53"/>
      <c r="D594" s="53"/>
      <c r="E594" s="53"/>
      <c r="F594" s="53"/>
      <c r="G594" s="53"/>
      <c r="H594" s="53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</row>
    <row r="595" spans="2:21" x14ac:dyDescent="0.3">
      <c r="B595" t="s">
        <v>367</v>
      </c>
      <c r="C595" s="53"/>
      <c r="D595" s="53"/>
      <c r="E595" s="53"/>
      <c r="F595" s="53"/>
      <c r="G595" s="53"/>
      <c r="H595" s="101">
        <f>FS!I80*1000/Drivers!$I$586</f>
        <v>158.93905177362006</v>
      </c>
      <c r="I595" s="101">
        <f>FS!J80*1000/Drivers!$I$586</f>
        <v>174.6907210487785</v>
      </c>
      <c r="J595" s="101">
        <f>FS!K80*1000/Drivers!$I$586</f>
        <v>193.31150384045156</v>
      </c>
      <c r="K595" s="101">
        <f>FS!L80*1000/Drivers!$I$586</f>
        <v>211.22647952129455</v>
      </c>
      <c r="L595" s="101">
        <f>FS!M80*1000/Drivers!$I$586</f>
        <v>229.8881496437703</v>
      </c>
      <c r="M595" s="35"/>
      <c r="N595" s="35"/>
      <c r="O595" s="35"/>
      <c r="P595" s="35"/>
      <c r="Q595" s="35"/>
      <c r="R595" s="35"/>
      <c r="S595" s="35"/>
      <c r="T595" s="35"/>
      <c r="U595" s="35"/>
    </row>
    <row r="596" spans="2:21" x14ac:dyDescent="0.3">
      <c r="B596" t="s">
        <v>368</v>
      </c>
      <c r="C596" s="53"/>
      <c r="D596" s="53"/>
      <c r="E596" s="53"/>
      <c r="F596" s="53"/>
      <c r="G596" s="53"/>
      <c r="H596" s="53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</row>
    <row r="597" spans="2:21" s="6" customFormat="1" x14ac:dyDescent="0.3">
      <c r="C597" s="54"/>
      <c r="D597" s="54"/>
      <c r="E597" s="54"/>
      <c r="F597" s="54"/>
      <c r="G597" s="54"/>
      <c r="H597" s="54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</row>
    <row r="598" spans="2:21" x14ac:dyDescent="0.3">
      <c r="C598" s="46"/>
      <c r="D598" s="46"/>
      <c r="E598" s="46"/>
      <c r="F598" s="46"/>
      <c r="G598" s="46"/>
      <c r="H598" s="46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</row>
    <row r="599" spans="2:21" x14ac:dyDescent="0.3">
      <c r="B599" s="3" t="s">
        <v>103</v>
      </c>
      <c r="C599" s="22">
        <v>37143541</v>
      </c>
      <c r="D599" s="22">
        <v>39147882</v>
      </c>
      <c r="E599" s="22">
        <v>40916958</v>
      </c>
      <c r="F599" s="22">
        <v>52187747</v>
      </c>
      <c r="G599" s="22">
        <v>54566957</v>
      </c>
      <c r="H599" s="22">
        <v>58149621</v>
      </c>
      <c r="I599" s="49">
        <f>N599</f>
        <v>62948003</v>
      </c>
      <c r="J599" s="49">
        <f>I599*1.1</f>
        <v>69242803.300000012</v>
      </c>
      <c r="K599" s="49">
        <f>J599*1.05</f>
        <v>72704943.465000018</v>
      </c>
      <c r="L599" s="49">
        <f>K599*1.05</f>
        <v>76340190.638250023</v>
      </c>
      <c r="M599" s="49"/>
      <c r="N599" s="33">
        <v>62948003</v>
      </c>
      <c r="O599" s="49"/>
      <c r="P599" s="22">
        <v>62891772</v>
      </c>
      <c r="Q599" s="22">
        <v>58149621</v>
      </c>
      <c r="R599" s="35"/>
      <c r="S599" s="35"/>
      <c r="T599" s="35"/>
      <c r="U599" s="35"/>
    </row>
    <row r="600" spans="2:21" x14ac:dyDescent="0.3">
      <c r="C600" s="46"/>
      <c r="D600" s="46"/>
      <c r="E600" s="46"/>
      <c r="F600" s="46"/>
      <c r="G600" s="46"/>
      <c r="H600" s="46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</row>
    <row r="601" spans="2:21" x14ac:dyDescent="0.3">
      <c r="B601" t="s">
        <v>288</v>
      </c>
      <c r="C601" s="22">
        <v>1503566</v>
      </c>
      <c r="D601" s="22">
        <v>1679774</v>
      </c>
      <c r="E601" s="22">
        <v>1627125</v>
      </c>
      <c r="F601" s="22">
        <v>1922505</v>
      </c>
      <c r="G601" s="22">
        <v>2198757</v>
      </c>
      <c r="H601" s="22">
        <v>3373442</v>
      </c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</row>
    <row r="602" spans="2:21" x14ac:dyDescent="0.3">
      <c r="B602" t="s">
        <v>289</v>
      </c>
      <c r="C602" s="22">
        <v>102983</v>
      </c>
      <c r="D602" s="22">
        <v>115070</v>
      </c>
      <c r="E602" s="22">
        <v>111823</v>
      </c>
      <c r="F602" s="22">
        <v>132509</v>
      </c>
      <c r="G602" s="22">
        <v>135941</v>
      </c>
      <c r="H602" s="22">
        <v>209222</v>
      </c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</row>
    <row r="603" spans="2:21" x14ac:dyDescent="0.3">
      <c r="C603" s="46"/>
      <c r="D603" s="46"/>
      <c r="E603" s="46"/>
      <c r="F603" s="46"/>
      <c r="G603" s="46"/>
      <c r="H603" s="46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</row>
    <row r="604" spans="2:21" x14ac:dyDescent="0.3">
      <c r="B604" t="s">
        <v>290</v>
      </c>
      <c r="C604" s="46"/>
      <c r="D604" s="46"/>
      <c r="E604" s="46"/>
      <c r="F604" s="46"/>
      <c r="G604" s="46"/>
      <c r="H604" s="46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</row>
    <row r="605" spans="2:21" x14ac:dyDescent="0.3">
      <c r="B605" t="s">
        <v>291</v>
      </c>
      <c r="C605" s="46">
        <f t="shared" ref="C605:H605" si="72">C601/(C572/1000)</f>
        <v>142.90004696914085</v>
      </c>
      <c r="D605" s="46">
        <f t="shared" si="72"/>
        <v>139.99997332975062</v>
      </c>
      <c r="E605" s="46">
        <f t="shared" si="72"/>
        <v>106.70001676773099</v>
      </c>
      <c r="F605" s="46">
        <f t="shared" si="72"/>
        <v>85.500017477981515</v>
      </c>
      <c r="G605" s="46">
        <f t="shared" si="72"/>
        <v>87.700029719196863</v>
      </c>
      <c r="H605" s="46">
        <f t="shared" si="72"/>
        <v>78.9000090139577</v>
      </c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</row>
    <row r="606" spans="2:21" x14ac:dyDescent="0.3">
      <c r="B606" t="s">
        <v>292</v>
      </c>
      <c r="C606" s="46">
        <f t="shared" ref="C606:H606" si="73">C602/(C580/1000)</f>
        <v>114.00033430858454</v>
      </c>
      <c r="D606" s="46">
        <f t="shared" si="73"/>
        <v>106.00029662027906</v>
      </c>
      <c r="E606" s="46">
        <f t="shared" si="73"/>
        <v>90.100274354501465</v>
      </c>
      <c r="F606" s="46">
        <f t="shared" si="73"/>
        <v>77.200261938719393</v>
      </c>
      <c r="G606" s="46">
        <f t="shared" si="73"/>
        <v>76.799787579022308</v>
      </c>
      <c r="H606" s="46">
        <f t="shared" si="73"/>
        <v>74.699892960453923</v>
      </c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</row>
    <row r="607" spans="2:21" x14ac:dyDescent="0.3">
      <c r="C607" s="46"/>
      <c r="D607" s="46"/>
      <c r="E607" s="46"/>
      <c r="F607" s="46"/>
      <c r="G607" s="46"/>
      <c r="H607" s="46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</row>
    <row r="608" spans="2:21" x14ac:dyDescent="0.3">
      <c r="C608" s="46"/>
      <c r="D608" s="46"/>
      <c r="E608" s="46"/>
      <c r="F608" s="46"/>
      <c r="G608" s="46"/>
      <c r="H608" s="46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</row>
    <row r="609" spans="2:21" x14ac:dyDescent="0.3">
      <c r="B609" t="s">
        <v>53</v>
      </c>
      <c r="C609" s="22">
        <v>6492552</v>
      </c>
      <c r="D609" s="22">
        <v>7444178</v>
      </c>
      <c r="E609" s="22">
        <v>8387701</v>
      </c>
      <c r="F609" s="22">
        <v>9285233</v>
      </c>
      <c r="G609" s="22">
        <v>10590338</v>
      </c>
      <c r="H609" s="22">
        <v>12079670</v>
      </c>
      <c r="I609" s="12">
        <f>FS!J67*Drivers!I610</f>
        <v>15112929.282412499</v>
      </c>
      <c r="J609" s="12">
        <f>FS!K67*Drivers!J610</f>
        <v>16537208.375391377</v>
      </c>
      <c r="K609" s="12">
        <f>FS!L67*Drivers!K610</f>
        <v>18775524.795627464</v>
      </c>
      <c r="L609" s="12">
        <f>FS!M67*Drivers!L610</f>
        <v>20895342.111262824</v>
      </c>
      <c r="M609" s="12"/>
      <c r="N609" s="12"/>
      <c r="O609" s="12">
        <v>12079670</v>
      </c>
      <c r="P609" s="22">
        <v>12079670</v>
      </c>
      <c r="Q609" s="22">
        <v>12079670</v>
      </c>
    </row>
    <row r="610" spans="2:21" x14ac:dyDescent="0.3">
      <c r="B610" t="s">
        <v>322</v>
      </c>
      <c r="C610" s="61">
        <f>C609/FS!C67</f>
        <v>7.5735207622999691E-3</v>
      </c>
      <c r="D610" s="61">
        <f>D609/FS!D67</f>
        <v>7.4863194278492924E-3</v>
      </c>
      <c r="E610" s="61">
        <f>E609/FS!E67</f>
        <v>7.846433704349948E-3</v>
      </c>
      <c r="F610" s="61">
        <f>F609/FS!G67</f>
        <v>7.2167842779065966E-3</v>
      </c>
      <c r="G610" s="61">
        <f>G609/FS!H67</f>
        <v>7.1913941769368318E-3</v>
      </c>
      <c r="H610" s="61">
        <f>H609/FS!I67</f>
        <v>6.1078036745632631E-3</v>
      </c>
      <c r="I610" s="86">
        <v>7.0000000000000001E-3</v>
      </c>
      <c r="J610" s="86">
        <v>7.0000000000000001E-3</v>
      </c>
      <c r="K610" s="86">
        <v>7.0000000000000001E-3</v>
      </c>
      <c r="L610" s="86">
        <v>7.0000000000000001E-3</v>
      </c>
      <c r="M610" s="35"/>
      <c r="N610" s="35"/>
      <c r="O610" s="35"/>
      <c r="P610" s="35"/>
      <c r="Q610" s="35"/>
      <c r="R610" s="35"/>
      <c r="S610" s="35"/>
      <c r="T610" s="35"/>
      <c r="U610" s="35"/>
    </row>
    <row r="611" spans="2:21" x14ac:dyDescent="0.3">
      <c r="C611" s="46"/>
      <c r="D611" s="46"/>
      <c r="E611" s="46"/>
      <c r="F611" s="46"/>
      <c r="G611" s="46"/>
      <c r="H611" s="46"/>
      <c r="I611" s="49">
        <f>I599-H599</f>
        <v>4798382</v>
      </c>
      <c r="J611" s="49">
        <f>J599-I599</f>
        <v>6294800.3000000119</v>
      </c>
      <c r="K611" s="49">
        <f>K599-J599</f>
        <v>3462140.1650000066</v>
      </c>
      <c r="L611" s="49">
        <f>L599-K599</f>
        <v>3635247.1732500046</v>
      </c>
      <c r="M611" s="35"/>
      <c r="N611" s="35"/>
      <c r="O611" s="35"/>
      <c r="P611" s="35"/>
      <c r="Q611" s="35"/>
      <c r="R611" s="35"/>
      <c r="S611" s="35"/>
      <c r="T611" s="35"/>
      <c r="U611" s="35"/>
    </row>
    <row r="612" spans="2:21" x14ac:dyDescent="0.3">
      <c r="C612" s="46"/>
      <c r="D612" s="46"/>
      <c r="E612" s="46"/>
      <c r="F612" s="46"/>
      <c r="G612" s="46"/>
      <c r="H612" s="46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</row>
    <row r="613" spans="2:21" s="6" customFormat="1" x14ac:dyDescent="0.3">
      <c r="C613" s="54"/>
      <c r="D613" s="54"/>
      <c r="E613" s="54"/>
      <c r="F613" s="54"/>
      <c r="G613" s="54"/>
      <c r="H613" s="54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</row>
    <row r="614" spans="2:21" x14ac:dyDescent="0.3">
      <c r="C614" s="46"/>
      <c r="D614" s="46"/>
      <c r="E614" s="46"/>
      <c r="F614" s="46"/>
      <c r="G614" s="46"/>
      <c r="H614" s="46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</row>
    <row r="615" spans="2:21" x14ac:dyDescent="0.3">
      <c r="B615" t="s">
        <v>54</v>
      </c>
      <c r="C615" s="22">
        <v>5086609</v>
      </c>
      <c r="D615" s="22">
        <v>4949955</v>
      </c>
      <c r="E615" s="22">
        <v>5182185</v>
      </c>
      <c r="F615" s="22">
        <v>8124261</v>
      </c>
      <c r="G615" s="22">
        <v>9890762</v>
      </c>
      <c r="H615" s="22">
        <v>6790304</v>
      </c>
      <c r="I615" s="49">
        <f>H615+I617+I619+I620</f>
        <v>15698891.770774985</v>
      </c>
      <c r="J615" s="49">
        <f>I615+J617+J619+J620</f>
        <v>26007128.5052104</v>
      </c>
      <c r="K615" s="49">
        <f>J615+K617+K619+K620</f>
        <v>35614354.678438142</v>
      </c>
      <c r="L615" s="49">
        <f>K615+L617+L619+L620</f>
        <v>45720540.333806194</v>
      </c>
      <c r="M615" s="49"/>
      <c r="N615" s="33">
        <v>15470462</v>
      </c>
      <c r="O615" s="49"/>
      <c r="P615" s="22">
        <v>9216216</v>
      </c>
      <c r="Q615" s="22">
        <v>6790304</v>
      </c>
      <c r="R615" s="35"/>
      <c r="S615" s="35"/>
      <c r="T615" s="35"/>
      <c r="U615" s="35"/>
    </row>
    <row r="616" spans="2:21" x14ac:dyDescent="0.3">
      <c r="C616" s="46"/>
      <c r="D616" s="46"/>
      <c r="E616" s="46"/>
      <c r="F616" s="46"/>
      <c r="G616" s="46"/>
      <c r="H616" s="46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</row>
    <row r="617" spans="2:21" x14ac:dyDescent="0.3">
      <c r="B617" t="s">
        <v>22</v>
      </c>
      <c r="C617" s="22">
        <v>16605963</v>
      </c>
      <c r="D617" s="22">
        <v>17734706</v>
      </c>
      <c r="E617" s="22">
        <v>17263259</v>
      </c>
      <c r="F617" s="22">
        <v>16939950</v>
      </c>
      <c r="G617" s="46">
        <f>FS!H31</f>
        <v>24062469</v>
      </c>
      <c r="H617" s="46">
        <f>FS!I31</f>
        <v>23811914</v>
      </c>
      <c r="I617" s="46">
        <f>FS!J31</f>
        <v>19796861.7128333</v>
      </c>
      <c r="J617" s="46">
        <f>FS!K31</f>
        <v>25770591.836088538</v>
      </c>
      <c r="K617" s="46">
        <f>FS!L31</f>
        <v>27449217.637793563</v>
      </c>
      <c r="L617" s="46">
        <f>FS!M31</f>
        <v>28874816.158194441</v>
      </c>
      <c r="M617" s="35"/>
      <c r="N617" s="35"/>
      <c r="O617" s="35"/>
      <c r="P617" s="35"/>
      <c r="Q617" s="35"/>
      <c r="R617" s="35"/>
      <c r="S617" s="35"/>
      <c r="T617" s="35"/>
      <c r="U617" s="35"/>
    </row>
    <row r="618" spans="2:21" x14ac:dyDescent="0.3">
      <c r="B618" t="s">
        <v>295</v>
      </c>
      <c r="C618" s="22">
        <v>-532590</v>
      </c>
      <c r="D618" s="22">
        <v>99246</v>
      </c>
      <c r="E618" s="22">
        <v>-57400</v>
      </c>
      <c r="F618" s="22">
        <v>-225018</v>
      </c>
      <c r="G618" s="22">
        <v>8647</v>
      </c>
      <c r="H618" s="22">
        <v>-11362</v>
      </c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</row>
    <row r="619" spans="2:21" x14ac:dyDescent="0.3">
      <c r="B619" t="s">
        <v>296</v>
      </c>
      <c r="C619" s="22">
        <v>-5953572</v>
      </c>
      <c r="D619" s="22">
        <v>-6500351</v>
      </c>
      <c r="E619" s="22">
        <v>-6596161</v>
      </c>
      <c r="F619" s="22">
        <v>-5137534</v>
      </c>
      <c r="G619" s="22">
        <v>-7587768</v>
      </c>
      <c r="H619" s="22">
        <v>-8956660</v>
      </c>
      <c r="I619" s="46">
        <f>I625*I617</f>
        <v>-6928901.5994916549</v>
      </c>
      <c r="J619" s="46">
        <f>J625*J617</f>
        <v>-9019707.1426309869</v>
      </c>
      <c r="K619" s="46">
        <f>K625*K617</f>
        <v>-9607226.173227746</v>
      </c>
      <c r="L619" s="46">
        <f>L625*L617</f>
        <v>-10106185.655368054</v>
      </c>
      <c r="M619" s="35"/>
      <c r="N619" s="35"/>
      <c r="O619" s="35"/>
      <c r="P619" s="35"/>
      <c r="Q619" s="35"/>
      <c r="R619" s="35"/>
      <c r="S619" s="35"/>
      <c r="T619" s="35"/>
      <c r="U619" s="35"/>
    </row>
    <row r="620" spans="2:21" x14ac:dyDescent="0.3">
      <c r="B620" t="s">
        <v>305</v>
      </c>
      <c r="C620" s="22">
        <v>-9624559</v>
      </c>
      <c r="D620" s="22">
        <v>-6331626</v>
      </c>
      <c r="E620" s="22">
        <v>-10413523</v>
      </c>
      <c r="F620" s="22">
        <v>-8747532</v>
      </c>
      <c r="G620" s="22">
        <v>-15055105</v>
      </c>
      <c r="H620" s="22">
        <v>-12769332</v>
      </c>
      <c r="I620" s="46">
        <f>I617*I626</f>
        <v>-3959372.3425666601</v>
      </c>
      <c r="J620" s="46">
        <f>J617*J626</f>
        <v>-6442647.9590221345</v>
      </c>
      <c r="K620" s="46">
        <f>K617*K626</f>
        <v>-8234765.2913380684</v>
      </c>
      <c r="L620" s="46">
        <f>L617*L626</f>
        <v>-8662444.8474583328</v>
      </c>
      <c r="M620" s="35"/>
      <c r="N620" s="35"/>
      <c r="O620" s="35"/>
      <c r="P620" s="35"/>
      <c r="Q620" s="35"/>
      <c r="R620" s="35"/>
      <c r="S620" s="35"/>
      <c r="T620" s="35"/>
      <c r="U620" s="35"/>
    </row>
    <row r="621" spans="2:21" x14ac:dyDescent="0.3">
      <c r="B621" t="s">
        <v>298</v>
      </c>
      <c r="C621" s="46"/>
      <c r="D621" s="46"/>
      <c r="E621" s="46"/>
      <c r="F621" s="46"/>
      <c r="G621" s="46"/>
      <c r="H621" s="22">
        <v>-5205524</v>
      </c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</row>
    <row r="622" spans="2:21" x14ac:dyDescent="0.3">
      <c r="C622" s="46"/>
      <c r="D622" s="46"/>
      <c r="E622" s="46"/>
      <c r="F622" s="46"/>
      <c r="G622" s="46"/>
      <c r="H622" s="46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</row>
    <row r="623" spans="2:21" s="28" customFormat="1" x14ac:dyDescent="0.3">
      <c r="B623" s="28" t="s">
        <v>297</v>
      </c>
      <c r="C623" s="46"/>
      <c r="D623" s="46">
        <f>C615+SUM(D617:D621)-D615</f>
        <v>5138629</v>
      </c>
      <c r="E623" s="46">
        <f>D615+SUM(E617:E621)-E615</f>
        <v>-36055</v>
      </c>
      <c r="F623" s="46">
        <f>E615+SUM(F617:F621)-F615</f>
        <v>-112210</v>
      </c>
      <c r="G623" s="46">
        <f>F615+SUM(G617:G621)-G615</f>
        <v>-338258</v>
      </c>
      <c r="H623" s="46">
        <f>G615+SUM(H617:H621)-H615</f>
        <v>-30506</v>
      </c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</row>
    <row r="624" spans="2:21" x14ac:dyDescent="0.3">
      <c r="C624" s="46"/>
      <c r="D624" s="46"/>
      <c r="E624" s="46"/>
      <c r="F624" s="46"/>
      <c r="G624" s="46"/>
      <c r="H624" s="46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</row>
    <row r="625" spans="2:21" x14ac:dyDescent="0.3">
      <c r="B625" t="s">
        <v>362</v>
      </c>
      <c r="C625" s="60">
        <f t="shared" ref="C625:H625" si="74">C619/C617</f>
        <v>-0.35852012918491988</v>
      </c>
      <c r="D625" s="60">
        <f t="shared" si="74"/>
        <v>-0.36653277477506535</v>
      </c>
      <c r="E625" s="60">
        <f t="shared" si="74"/>
        <v>-0.38209245426949801</v>
      </c>
      <c r="F625" s="60">
        <f t="shared" si="74"/>
        <v>-0.30327917142612582</v>
      </c>
      <c r="G625" s="60">
        <f t="shared" si="74"/>
        <v>-0.31533621923834998</v>
      </c>
      <c r="H625" s="60">
        <f t="shared" si="74"/>
        <v>-0.37614195986093346</v>
      </c>
      <c r="I625" s="85">
        <v>-0.35</v>
      </c>
      <c r="J625" s="85">
        <v>-0.35</v>
      </c>
      <c r="K625" s="85">
        <v>-0.35</v>
      </c>
      <c r="L625" s="85">
        <v>-0.35</v>
      </c>
      <c r="M625" s="35"/>
      <c r="N625" s="35"/>
      <c r="O625" s="35"/>
      <c r="P625" s="35"/>
      <c r="Q625" s="35"/>
      <c r="R625" s="35"/>
      <c r="S625" s="35"/>
      <c r="T625" s="35"/>
      <c r="U625" s="35"/>
    </row>
    <row r="626" spans="2:21" x14ac:dyDescent="0.3">
      <c r="B626" t="s">
        <v>363</v>
      </c>
      <c r="C626" s="60">
        <f t="shared" ref="C626:H626" si="75">C620/C617</f>
        <v>-0.57958451430970914</v>
      </c>
      <c r="D626" s="60">
        <f t="shared" si="75"/>
        <v>-0.35701894353365654</v>
      </c>
      <c r="E626" s="60">
        <f t="shared" si="75"/>
        <v>-0.60321883602626825</v>
      </c>
      <c r="F626" s="60">
        <f t="shared" si="75"/>
        <v>-0.51638475910495607</v>
      </c>
      <c r="G626" s="60">
        <f t="shared" si="75"/>
        <v>-0.62566750735346399</v>
      </c>
      <c r="H626" s="60">
        <f t="shared" si="75"/>
        <v>-0.53625811012084124</v>
      </c>
      <c r="I626" s="85">
        <v>-0.2</v>
      </c>
      <c r="J626" s="85">
        <v>-0.25</v>
      </c>
      <c r="K626" s="85">
        <v>-0.3</v>
      </c>
      <c r="L626" s="85">
        <v>-0.3</v>
      </c>
      <c r="M626" s="35"/>
      <c r="N626" s="35"/>
      <c r="O626" s="35"/>
      <c r="P626" s="35"/>
      <c r="Q626" s="35"/>
      <c r="R626" s="35"/>
      <c r="S626" s="35"/>
      <c r="T626" s="35"/>
      <c r="U626" s="35"/>
    </row>
    <row r="627" spans="2:21" x14ac:dyDescent="0.3">
      <c r="C627" s="46"/>
      <c r="D627" s="46"/>
      <c r="E627" s="46"/>
      <c r="F627" s="46"/>
      <c r="G627" s="46"/>
      <c r="H627" s="46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</row>
    <row r="628" spans="2:21" x14ac:dyDescent="0.3">
      <c r="C628" s="46"/>
      <c r="D628" s="46"/>
      <c r="E628" s="46"/>
      <c r="F628" s="46"/>
      <c r="G628" s="46"/>
      <c r="H628" s="46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</row>
    <row r="629" spans="2:21" s="6" customFormat="1" x14ac:dyDescent="0.3">
      <c r="C629" s="54"/>
      <c r="D629" s="54"/>
      <c r="E629" s="54"/>
      <c r="F629" s="54"/>
      <c r="G629" s="54"/>
      <c r="H629" s="54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</row>
    <row r="630" spans="2:21" x14ac:dyDescent="0.3">
      <c r="C630" s="46"/>
      <c r="D630" s="46"/>
      <c r="E630" s="46"/>
      <c r="F630" s="46"/>
      <c r="G630" s="46"/>
      <c r="H630" s="46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</row>
    <row r="631" spans="2:21" x14ac:dyDescent="0.3">
      <c r="B631" t="s">
        <v>55</v>
      </c>
      <c r="C631" s="22">
        <v>59272098</v>
      </c>
      <c r="D631" s="22">
        <v>67855834</v>
      </c>
      <c r="E631" s="22">
        <v>79937405</v>
      </c>
      <c r="F631" s="22">
        <v>89595571</v>
      </c>
      <c r="G631" s="22">
        <v>92426660</v>
      </c>
      <c r="H631" s="22">
        <v>131845571</v>
      </c>
      <c r="I631" s="49">
        <f>SUM(I633:I638)</f>
        <v>135804943.34256667</v>
      </c>
      <c r="J631" s="49">
        <f>SUM(J633:J638)</f>
        <v>142247591.30158877</v>
      </c>
      <c r="K631" s="49">
        <f>SUM(K633:K638)</f>
        <v>150482356.59292686</v>
      </c>
      <c r="L631" s="49">
        <f>SUM(L633:L638)</f>
        <v>159144801.44038519</v>
      </c>
      <c r="M631" s="49"/>
      <c r="N631" s="33">
        <v>123309743</v>
      </c>
      <c r="O631" s="49"/>
      <c r="P631" s="22">
        <v>121617007</v>
      </c>
      <c r="Q631" s="22">
        <v>131845571</v>
      </c>
      <c r="R631" s="35"/>
      <c r="S631" s="35"/>
      <c r="T631" s="35"/>
      <c r="U631" s="35"/>
    </row>
    <row r="632" spans="2:21" x14ac:dyDescent="0.3">
      <c r="C632" s="46"/>
      <c r="D632" s="46"/>
      <c r="E632" s="46"/>
      <c r="F632" s="46"/>
      <c r="G632" s="46"/>
      <c r="H632" s="46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</row>
    <row r="633" spans="2:21" x14ac:dyDescent="0.3">
      <c r="B633" t="s">
        <v>299</v>
      </c>
      <c r="C633" s="22">
        <v>7834003</v>
      </c>
      <c r="D633" s="22">
        <v>7819131</v>
      </c>
      <c r="E633" s="22">
        <v>7837785</v>
      </c>
      <c r="F633" s="22">
        <v>10504768</v>
      </c>
      <c r="G633" s="22">
        <v>11084711</v>
      </c>
      <c r="H633" s="22">
        <v>10214244</v>
      </c>
      <c r="I633" s="49">
        <f>H633</f>
        <v>10214244</v>
      </c>
      <c r="J633" s="49">
        <f>I633</f>
        <v>10214244</v>
      </c>
      <c r="K633" s="49">
        <f>J633</f>
        <v>10214244</v>
      </c>
      <c r="L633" s="49">
        <f>K633</f>
        <v>10214244</v>
      </c>
      <c r="M633" s="35"/>
      <c r="N633" s="35"/>
      <c r="O633" s="35"/>
      <c r="P633" s="35"/>
      <c r="Q633" s="35"/>
      <c r="R633" s="35"/>
      <c r="S633" s="35"/>
      <c r="T633" s="35"/>
      <c r="U633" s="35"/>
    </row>
    <row r="634" spans="2:21" x14ac:dyDescent="0.3">
      <c r="B634" t="s">
        <v>300</v>
      </c>
      <c r="C634" s="22">
        <v>52270003</v>
      </c>
      <c r="D634" s="22">
        <v>57650003</v>
      </c>
      <c r="E634" s="22">
        <v>67120003</v>
      </c>
      <c r="F634" s="22">
        <v>74970003</v>
      </c>
      <c r="G634" s="22">
        <v>88720003</v>
      </c>
      <c r="H634" s="22">
        <v>100000003</v>
      </c>
      <c r="I634" s="49">
        <f>H634-I620</f>
        <v>103959375.34256665</v>
      </c>
      <c r="J634" s="49">
        <f>I634-J620</f>
        <v>110402023.30158879</v>
      </c>
      <c r="K634" s="49">
        <f>J634-K620</f>
        <v>118636788.59292686</v>
      </c>
      <c r="L634" s="49">
        <f>K634-L620</f>
        <v>127299233.44038519</v>
      </c>
      <c r="M634" s="35"/>
      <c r="N634" s="35"/>
      <c r="O634" s="35"/>
      <c r="P634" s="35"/>
      <c r="Q634" s="35"/>
      <c r="R634" s="35"/>
      <c r="S634" s="35"/>
      <c r="T634" s="35"/>
      <c r="U634" s="35"/>
    </row>
    <row r="635" spans="2:21" x14ac:dyDescent="0.3">
      <c r="B635" t="s">
        <v>301</v>
      </c>
      <c r="C635" s="22">
        <v>-1707486</v>
      </c>
      <c r="D635" s="22">
        <v>-1386355</v>
      </c>
      <c r="E635" s="22">
        <v>1783503</v>
      </c>
      <c r="F635" s="22">
        <v>463884</v>
      </c>
      <c r="G635" s="22">
        <v>-11979313</v>
      </c>
      <c r="H635" s="22">
        <v>72270</v>
      </c>
      <c r="I635" s="49">
        <f t="shared" ref="I635:L638" si="76">H635</f>
        <v>72270</v>
      </c>
      <c r="J635" s="49">
        <f t="shared" si="76"/>
        <v>72270</v>
      </c>
      <c r="K635" s="49">
        <f t="shared" si="76"/>
        <v>72270</v>
      </c>
      <c r="L635" s="49">
        <f t="shared" si="76"/>
        <v>72270</v>
      </c>
      <c r="M635" s="35"/>
      <c r="N635" s="35"/>
      <c r="O635" s="35"/>
      <c r="P635" s="35"/>
      <c r="Q635" s="35"/>
      <c r="R635" s="35"/>
      <c r="S635" s="35"/>
      <c r="T635" s="35"/>
      <c r="U635" s="35"/>
    </row>
    <row r="636" spans="2:21" x14ac:dyDescent="0.3">
      <c r="B636" t="s">
        <v>302</v>
      </c>
      <c r="C636" s="22">
        <v>348973</v>
      </c>
      <c r="D636" s="22">
        <v>3157052</v>
      </c>
      <c r="E636" s="22">
        <v>2765992</v>
      </c>
      <c r="F636" s="22">
        <v>3325924</v>
      </c>
      <c r="G636" s="22">
        <v>4507072</v>
      </c>
      <c r="H636" s="22">
        <v>21371971</v>
      </c>
      <c r="I636" s="49">
        <f t="shared" si="76"/>
        <v>21371971</v>
      </c>
      <c r="J636" s="49">
        <f t="shared" si="76"/>
        <v>21371971</v>
      </c>
      <c r="K636" s="49">
        <f t="shared" si="76"/>
        <v>21371971</v>
      </c>
      <c r="L636" s="49">
        <f t="shared" si="76"/>
        <v>21371971</v>
      </c>
      <c r="M636" s="35"/>
      <c r="N636" s="35"/>
      <c r="O636" s="35"/>
      <c r="P636" s="35"/>
      <c r="Q636" s="35"/>
      <c r="R636" s="35"/>
      <c r="S636" s="35"/>
      <c r="T636" s="35"/>
      <c r="U636" s="35"/>
    </row>
    <row r="637" spans="2:21" x14ac:dyDescent="0.3">
      <c r="B637" t="s">
        <v>303</v>
      </c>
      <c r="C637" s="22">
        <v>529817</v>
      </c>
      <c r="D637" s="22">
        <v>591984</v>
      </c>
      <c r="E637" s="22">
        <v>468494</v>
      </c>
      <c r="F637" s="22">
        <v>433503</v>
      </c>
      <c r="G637" s="22">
        <v>150529</v>
      </c>
      <c r="H637" s="22">
        <v>150529</v>
      </c>
      <c r="I637" s="49">
        <f t="shared" si="76"/>
        <v>150529</v>
      </c>
      <c r="J637" s="49">
        <f t="shared" si="76"/>
        <v>150529</v>
      </c>
      <c r="K637" s="49">
        <f t="shared" si="76"/>
        <v>150529</v>
      </c>
      <c r="L637" s="49">
        <f t="shared" si="76"/>
        <v>150529</v>
      </c>
      <c r="M637" s="35"/>
      <c r="N637" s="35"/>
      <c r="O637" s="35"/>
      <c r="P637" s="35"/>
      <c r="Q637" s="35"/>
      <c r="R637" s="35"/>
      <c r="S637" s="35"/>
      <c r="T637" s="35"/>
      <c r="U637" s="35"/>
    </row>
    <row r="638" spans="2:21" x14ac:dyDescent="0.3">
      <c r="B638" t="s">
        <v>304</v>
      </c>
      <c r="C638" s="22">
        <v>-3212</v>
      </c>
      <c r="D638" s="22">
        <v>24019</v>
      </c>
      <c r="E638" s="22">
        <v>-38372</v>
      </c>
      <c r="F638" s="22">
        <v>-102511</v>
      </c>
      <c r="G638" s="22">
        <v>-56342</v>
      </c>
      <c r="H638" s="22">
        <v>36554</v>
      </c>
      <c r="I638" s="49">
        <f t="shared" si="76"/>
        <v>36554</v>
      </c>
      <c r="J638" s="49">
        <f t="shared" si="76"/>
        <v>36554</v>
      </c>
      <c r="K638" s="49">
        <f t="shared" si="76"/>
        <v>36554</v>
      </c>
      <c r="L638" s="49">
        <f t="shared" si="76"/>
        <v>36554</v>
      </c>
      <c r="M638" s="35"/>
      <c r="N638" s="35"/>
      <c r="O638" s="35"/>
      <c r="P638" s="35"/>
      <c r="Q638" s="35"/>
      <c r="R638" s="35"/>
      <c r="S638" s="35"/>
      <c r="T638" s="35"/>
      <c r="U638" s="35"/>
    </row>
    <row r="639" spans="2:21" x14ac:dyDescent="0.3">
      <c r="C639" s="46"/>
      <c r="D639" s="46"/>
      <c r="E639" s="46"/>
      <c r="F639" s="46"/>
      <c r="G639" s="46"/>
      <c r="H639" s="46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</row>
    <row r="640" spans="2:21" s="28" customFormat="1" x14ac:dyDescent="0.3">
      <c r="B640" s="28" t="s">
        <v>145</v>
      </c>
      <c r="C640" s="46">
        <f t="shared" ref="C640:H640" si="77">SUM(C633:C638)-C631</f>
        <v>0</v>
      </c>
      <c r="D640" s="46">
        <f t="shared" si="77"/>
        <v>0</v>
      </c>
      <c r="E640" s="46">
        <f t="shared" si="77"/>
        <v>0</v>
      </c>
      <c r="F640" s="46">
        <f t="shared" si="77"/>
        <v>0</v>
      </c>
      <c r="G640" s="46">
        <f t="shared" si="77"/>
        <v>0</v>
      </c>
      <c r="H640" s="46">
        <f t="shared" si="77"/>
        <v>0</v>
      </c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</row>
    <row r="641" spans="3:21" x14ac:dyDescent="0.3">
      <c r="C641" s="46"/>
      <c r="D641" s="46"/>
      <c r="E641" s="46"/>
      <c r="F641" s="46"/>
      <c r="G641" s="46"/>
      <c r="H641" s="46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</row>
    <row r="642" spans="3:21" x14ac:dyDescent="0.3">
      <c r="C642" s="46"/>
      <c r="D642" s="46"/>
      <c r="E642" s="46"/>
      <c r="F642" s="46"/>
      <c r="G642" s="46"/>
      <c r="H642" s="46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</row>
    <row r="643" spans="3:21" x14ac:dyDescent="0.3">
      <c r="C643" s="46"/>
      <c r="D643" s="46"/>
      <c r="E643" s="46"/>
      <c r="F643" s="46"/>
      <c r="G643" s="46"/>
      <c r="H643" s="46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</row>
    <row r="644" spans="3:21" x14ac:dyDescent="0.3">
      <c r="C644" s="46"/>
      <c r="D644" s="46"/>
      <c r="E644" s="46"/>
      <c r="F644" s="46"/>
      <c r="G644" s="46"/>
      <c r="H644" s="46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</row>
    <row r="645" spans="3:21" x14ac:dyDescent="0.3">
      <c r="C645" s="46"/>
      <c r="D645" s="46"/>
      <c r="E645" s="46"/>
      <c r="F645" s="46"/>
      <c r="G645" s="46"/>
      <c r="H645" s="46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</row>
    <row r="646" spans="3:21" x14ac:dyDescent="0.3">
      <c r="C646" s="46"/>
      <c r="D646" s="46"/>
      <c r="E646" s="46"/>
      <c r="F646" s="46"/>
      <c r="G646" s="46"/>
      <c r="H646" s="46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</row>
    <row r="647" spans="3:21" x14ac:dyDescent="0.3">
      <c r="C647" s="46"/>
      <c r="D647" s="46"/>
      <c r="E647" s="46"/>
      <c r="F647" s="46"/>
      <c r="G647" s="46"/>
      <c r="H647" s="46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</row>
    <row r="648" spans="3:21" x14ac:dyDescent="0.3">
      <c r="C648" s="46"/>
      <c r="D648" s="46"/>
      <c r="E648" s="46"/>
      <c r="F648" s="46"/>
      <c r="G648" s="46"/>
      <c r="H648" s="46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</row>
    <row r="649" spans="3:21" x14ac:dyDescent="0.3">
      <c r="C649" s="46"/>
      <c r="D649" s="46"/>
      <c r="E649" s="46"/>
      <c r="F649" s="46"/>
      <c r="G649" s="46"/>
      <c r="H649" s="46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</row>
    <row r="650" spans="3:21" x14ac:dyDescent="0.3">
      <c r="C650" s="46"/>
      <c r="D650" s="46"/>
      <c r="E650" s="46"/>
      <c r="F650" s="46"/>
      <c r="G650" s="46"/>
      <c r="H650" s="46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</row>
    <row r="651" spans="3:21" x14ac:dyDescent="0.3">
      <c r="C651" s="46"/>
      <c r="D651" s="46"/>
      <c r="E651" s="46"/>
      <c r="F651" s="46"/>
      <c r="G651" s="46"/>
      <c r="H651" s="46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</row>
    <row r="652" spans="3:21" x14ac:dyDescent="0.3">
      <c r="C652" s="46"/>
      <c r="D652" s="46"/>
      <c r="E652" s="46"/>
      <c r="F652" s="46"/>
      <c r="G652" s="46"/>
      <c r="H652" s="46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</row>
    <row r="653" spans="3:21" x14ac:dyDescent="0.3">
      <c r="C653" s="46"/>
      <c r="D653" s="46"/>
      <c r="E653" s="46"/>
      <c r="F653" s="46"/>
      <c r="G653" s="46"/>
      <c r="H653" s="46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</row>
    <row r="654" spans="3:21" x14ac:dyDescent="0.3">
      <c r="C654" s="46"/>
      <c r="D654" s="46"/>
      <c r="E654" s="46"/>
      <c r="F654" s="46"/>
      <c r="G654" s="46"/>
      <c r="H654" s="46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</row>
    <row r="655" spans="3:21" x14ac:dyDescent="0.3">
      <c r="C655" s="46"/>
      <c r="D655" s="46"/>
      <c r="E655" s="46"/>
      <c r="F655" s="46"/>
      <c r="G655" s="46"/>
      <c r="H655" s="46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</row>
    <row r="656" spans="3:21" x14ac:dyDescent="0.3">
      <c r="C656" s="46"/>
      <c r="D656" s="46"/>
      <c r="E656" s="46"/>
      <c r="F656" s="46"/>
      <c r="G656" s="46"/>
      <c r="H656" s="46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</row>
    <row r="657" spans="3:21" x14ac:dyDescent="0.3">
      <c r="C657" s="46"/>
      <c r="D657" s="46"/>
      <c r="E657" s="46"/>
      <c r="F657" s="46"/>
      <c r="G657" s="46"/>
      <c r="H657" s="46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</row>
    <row r="658" spans="3:21" x14ac:dyDescent="0.3">
      <c r="C658" s="46"/>
      <c r="D658" s="46"/>
      <c r="E658" s="46"/>
      <c r="F658" s="46"/>
      <c r="G658" s="46"/>
      <c r="H658" s="46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</row>
    <row r="659" spans="3:21" x14ac:dyDescent="0.3">
      <c r="C659" s="46"/>
      <c r="D659" s="46"/>
      <c r="E659" s="46"/>
      <c r="F659" s="46"/>
      <c r="G659" s="46"/>
      <c r="H659" s="46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</row>
    <row r="660" spans="3:21" x14ac:dyDescent="0.3">
      <c r="C660" s="46"/>
      <c r="D660" s="46"/>
      <c r="E660" s="46"/>
      <c r="F660" s="46"/>
      <c r="G660" s="46"/>
      <c r="H660" s="46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</row>
    <row r="661" spans="3:21" x14ac:dyDescent="0.3">
      <c r="C661" s="46"/>
      <c r="D661" s="46"/>
      <c r="E661" s="46"/>
      <c r="F661" s="46"/>
      <c r="G661" s="46"/>
      <c r="H661" s="46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</row>
    <row r="662" spans="3:21" x14ac:dyDescent="0.3">
      <c r="C662" s="46"/>
      <c r="D662" s="46"/>
      <c r="E662" s="46"/>
      <c r="F662" s="46"/>
      <c r="G662" s="46"/>
      <c r="H662" s="46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</row>
    <row r="663" spans="3:21" x14ac:dyDescent="0.3">
      <c r="C663" s="46"/>
      <c r="D663" s="46"/>
      <c r="E663" s="46"/>
      <c r="F663" s="46"/>
      <c r="G663" s="46"/>
      <c r="H663" s="46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</row>
    <row r="664" spans="3:21" x14ac:dyDescent="0.3">
      <c r="C664" s="46"/>
      <c r="D664" s="46"/>
      <c r="E664" s="46"/>
      <c r="F664" s="46"/>
      <c r="G664" s="46"/>
      <c r="H664" s="46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</row>
    <row r="665" spans="3:21" x14ac:dyDescent="0.3">
      <c r="C665" s="46"/>
      <c r="D665" s="46"/>
      <c r="E665" s="46"/>
      <c r="F665" s="46"/>
      <c r="G665" s="46"/>
      <c r="H665" s="46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</row>
    <row r="666" spans="3:21" x14ac:dyDescent="0.3">
      <c r="C666" s="46"/>
      <c r="D666" s="46"/>
      <c r="E666" s="46"/>
      <c r="F666" s="46"/>
      <c r="G666" s="46"/>
      <c r="H666" s="46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</row>
    <row r="667" spans="3:21" x14ac:dyDescent="0.3">
      <c r="C667" s="46"/>
      <c r="D667" s="46"/>
      <c r="E667" s="46"/>
      <c r="F667" s="46"/>
      <c r="G667" s="46"/>
      <c r="H667" s="46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</row>
    <row r="668" spans="3:21" x14ac:dyDescent="0.3">
      <c r="C668" s="46"/>
      <c r="D668" s="46"/>
      <c r="E668" s="46"/>
      <c r="F668" s="46"/>
      <c r="G668" s="46"/>
      <c r="H668" s="46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</row>
    <row r="669" spans="3:21" x14ac:dyDescent="0.3">
      <c r="C669" s="46"/>
      <c r="D669" s="46"/>
      <c r="E669" s="46"/>
      <c r="F669" s="46"/>
      <c r="G669" s="46"/>
      <c r="H669" s="46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</row>
    <row r="670" spans="3:21" x14ac:dyDescent="0.3">
      <c r="C670" s="46"/>
      <c r="D670" s="46"/>
      <c r="E670" s="46"/>
      <c r="F670" s="46"/>
      <c r="G670" s="46"/>
      <c r="H670" s="46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</row>
    <row r="671" spans="3:21" x14ac:dyDescent="0.3">
      <c r="C671" s="46"/>
      <c r="D671" s="46"/>
      <c r="E671" s="46"/>
      <c r="F671" s="46"/>
      <c r="G671" s="46"/>
      <c r="H671" s="46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</row>
    <row r="672" spans="3:21" x14ac:dyDescent="0.3">
      <c r="C672" s="46"/>
      <c r="D672" s="46"/>
      <c r="E672" s="46"/>
      <c r="F672" s="46"/>
      <c r="G672" s="46"/>
      <c r="H672" s="46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</row>
    <row r="673" spans="3:21" x14ac:dyDescent="0.3">
      <c r="C673" s="46"/>
      <c r="D673" s="46"/>
      <c r="E673" s="46"/>
      <c r="F673" s="46"/>
      <c r="G673" s="46"/>
      <c r="H673" s="46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</row>
    <row r="674" spans="3:21" x14ac:dyDescent="0.3">
      <c r="C674" s="46"/>
      <c r="D674" s="46"/>
      <c r="E674" s="46"/>
      <c r="F674" s="46"/>
      <c r="G674" s="46"/>
      <c r="H674" s="46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</row>
    <row r="675" spans="3:21" x14ac:dyDescent="0.3">
      <c r="C675" s="46"/>
      <c r="D675" s="46"/>
      <c r="E675" s="46"/>
      <c r="F675" s="46"/>
      <c r="G675" s="46"/>
      <c r="H675" s="46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</row>
    <row r="676" spans="3:21" x14ac:dyDescent="0.3">
      <c r="C676" s="46"/>
      <c r="D676" s="46"/>
      <c r="E676" s="46"/>
      <c r="F676" s="46"/>
      <c r="G676" s="46"/>
      <c r="H676" s="46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</row>
    <row r="677" spans="3:21" x14ac:dyDescent="0.3">
      <c r="C677" s="46"/>
      <c r="D677" s="46"/>
      <c r="E677" s="46"/>
      <c r="F677" s="46"/>
      <c r="G677" s="46"/>
      <c r="H677" s="46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</row>
    <row r="678" spans="3:21" x14ac:dyDescent="0.3">
      <c r="C678" s="46"/>
      <c r="D678" s="46"/>
      <c r="E678" s="46"/>
      <c r="F678" s="46"/>
      <c r="G678" s="46"/>
      <c r="H678" s="46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</row>
    <row r="679" spans="3:21" x14ac:dyDescent="0.3">
      <c r="C679" s="46"/>
      <c r="D679" s="46"/>
      <c r="E679" s="46"/>
      <c r="F679" s="46"/>
      <c r="G679" s="46"/>
      <c r="H679" s="46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</row>
    <row r="680" spans="3:21" x14ac:dyDescent="0.3">
      <c r="C680" s="46"/>
      <c r="D680" s="46"/>
      <c r="E680" s="46"/>
      <c r="F680" s="46"/>
      <c r="G680" s="46"/>
      <c r="H680" s="46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</row>
    <row r="681" spans="3:21" x14ac:dyDescent="0.3">
      <c r="C681" s="46"/>
      <c r="D681" s="46"/>
      <c r="E681" s="46"/>
      <c r="F681" s="46"/>
      <c r="G681" s="46"/>
      <c r="H681" s="46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</row>
  </sheetData>
  <pageMargins left="0.7" right="0.7" top="0.75" bottom="0.75" header="0.3" footer="0.3"/>
  <pageSetup scale="70" orientation="landscape" r:id="rId1"/>
  <rowBreaks count="2" manualBreakCount="2">
    <brk id="339" max="7" man="1"/>
    <brk id="472" max="7" man="1"/>
  </rowBreaks>
  <colBreaks count="1" manualBreakCount="1">
    <brk id="8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6846-238B-4EFD-B124-626A716C41B9}">
  <dimension ref="A2:Q22"/>
  <sheetViews>
    <sheetView showGridLines="0" workbookViewId="0">
      <selection activeCell="O19" sqref="O19"/>
    </sheetView>
  </sheetViews>
  <sheetFormatPr defaultRowHeight="14.4" x14ac:dyDescent="0.3"/>
  <cols>
    <col min="2" max="2" width="30.33203125" bestFit="1" customWidth="1"/>
    <col min="3" max="3" width="12" hidden="1" customWidth="1"/>
    <col min="4" max="5" width="10.109375" hidden="1" customWidth="1"/>
    <col min="6" max="8" width="10.109375" bestFit="1" customWidth="1"/>
    <col min="9" max="12" width="10.109375" style="108" bestFit="1" customWidth="1"/>
  </cols>
  <sheetData>
    <row r="2" spans="1:17" x14ac:dyDescent="0.3">
      <c r="B2" s="110"/>
      <c r="C2" s="109">
        <f>FS!C4</f>
        <v>2017</v>
      </c>
      <c r="D2" s="109">
        <f>FS!D4</f>
        <v>2018</v>
      </c>
      <c r="E2" s="109">
        <f>FS!E4</f>
        <v>2019</v>
      </c>
      <c r="F2" s="109">
        <f>FS!G4</f>
        <v>2020</v>
      </c>
      <c r="G2" s="109">
        <f>FS!H4</f>
        <v>2021</v>
      </c>
      <c r="H2" s="109">
        <f>FS!I4</f>
        <v>2022</v>
      </c>
      <c r="I2" s="104" t="str">
        <f>FS!J4</f>
        <v>2023F</v>
      </c>
      <c r="J2" s="104" t="str">
        <f>FS!K4</f>
        <v>2024F</v>
      </c>
      <c r="K2" s="104" t="str">
        <f>FS!L4</f>
        <v>2025F</v>
      </c>
      <c r="L2" s="104" t="str">
        <f>FS!M4</f>
        <v>2026F</v>
      </c>
      <c r="M2" s="99"/>
      <c r="N2" s="99"/>
      <c r="O2" s="99"/>
      <c r="P2" s="99"/>
      <c r="Q2" s="99"/>
    </row>
    <row r="3" spans="1:17" x14ac:dyDescent="0.3">
      <c r="A3" s="114"/>
      <c r="B3" t="s">
        <v>383</v>
      </c>
      <c r="C3" s="88">
        <f>FS!C7/(FS!C49+FS!C50+FS!C51+FS!C52+FS!C53+FS!C54)</f>
        <v>0.10172747681210187</v>
      </c>
      <c r="D3" s="88">
        <f>FS!D7/(FS!D49+FS!D50+FS!D51+FS!D52+FS!D53+FS!D54)</f>
        <v>0.10328200623236056</v>
      </c>
      <c r="E3" s="88">
        <f>FS!E7/(FS!E49+FS!E50+FS!E51+FS!E52+FS!E53+FS!E54)</f>
        <v>0.105725702738116</v>
      </c>
      <c r="F3" s="88">
        <f>FS!G7/(FS!G49+FS!G50+FS!G51+FS!G52+FS!G53+FS!G54)</f>
        <v>8.1144905128054154E-2</v>
      </c>
      <c r="G3" s="88">
        <f>FS!H7/(FS!H49+FS!H50+FS!H51+FS!H52+FS!H53+FS!H54)</f>
        <v>7.4717288421124614E-2</v>
      </c>
      <c r="H3" s="88">
        <f>FS!I7/(FS!I49+FS!I50+FS!I51+FS!I52+FS!I53+FS!I54)</f>
        <v>0.10748751272083495</v>
      </c>
      <c r="I3" s="105">
        <f>FS!J7/(FS!J49+FS!J50+FS!J51+FS!J52+FS!J53+FS!J54)</f>
        <v>0.13149674260041844</v>
      </c>
      <c r="J3" s="105">
        <f>FS!K7/(FS!K49+FS!K50+FS!K51+FS!K52+FS!K53+FS!K54)</f>
        <v>0.11424210250612445</v>
      </c>
      <c r="K3" s="105">
        <f>FS!L7/(FS!L49+FS!L50+FS!L51+FS!L52+FS!L53+FS!L54)</f>
        <v>0.11545382012140545</v>
      </c>
      <c r="L3" s="105">
        <f>FS!M7/(FS!M49+FS!M50+FS!M51+FS!M52+FS!M53+FS!M54)</f>
        <v>0.11603703956740753</v>
      </c>
    </row>
    <row r="4" spans="1:17" x14ac:dyDescent="0.3">
      <c r="A4" s="114"/>
      <c r="B4" t="s">
        <v>384</v>
      </c>
      <c r="C4" s="88">
        <f>FS!C8/(FS!C64+FS!C65+FS!C66+FS!C67+FS!C68)</f>
        <v>6.4837642969614265E-2</v>
      </c>
      <c r="D4" s="88">
        <f>FS!D8/(FS!D64+FS!D65+FS!D66+FS!D67+FS!D68)</f>
        <v>6.4595780738155278E-2</v>
      </c>
      <c r="E4" s="88">
        <f>FS!E8/(FS!E64+FS!E65+FS!E66+FS!E67+FS!E68)</f>
        <v>6.751866383081781E-2</v>
      </c>
      <c r="F4" s="88">
        <f>FS!G8/(FS!G64+FS!G65+FS!G66+FS!G67+FS!G68)</f>
        <v>4.8096508928992844E-2</v>
      </c>
      <c r="G4" s="88">
        <f>FS!H8/(FS!H64+FS!H65+FS!H66+FS!H67+FS!H68)</f>
        <v>3.8326171673501441E-2</v>
      </c>
      <c r="H4" s="88">
        <f>FS!I8/(FS!I64+FS!I65+FS!I66+FS!I67+FS!I68)</f>
        <v>6.3778483614521625E-2</v>
      </c>
      <c r="I4" s="105">
        <f>FS!J8/(FS!J64+FS!J65+FS!J66+FS!J67+FS!J68)</f>
        <v>9.5531497776697658E-2</v>
      </c>
      <c r="J4" s="105">
        <f>FS!K8/(FS!K64+FS!K65+FS!K66+FS!K67+FS!K68)</f>
        <v>9.0014943430267849E-2</v>
      </c>
      <c r="K4" s="105">
        <f>FS!L8/(FS!L64+FS!L65+FS!L66+FS!L67+FS!L68)</f>
        <v>9.0526291760072902E-2</v>
      </c>
      <c r="L4" s="105">
        <f>FS!M8/(FS!M64+FS!M65+FS!M66+FS!M67+FS!M68)</f>
        <v>9.1290321308533123E-2</v>
      </c>
    </row>
    <row r="5" spans="1:17" x14ac:dyDescent="0.3">
      <c r="A5" s="113"/>
      <c r="B5" t="s">
        <v>365</v>
      </c>
      <c r="C5" s="88">
        <f>FS!C9/(FS!C49+FS!C50+FS!C51+FS!C52+FS!C53+FS!C54)</f>
        <v>3.8684441407409023E-2</v>
      </c>
      <c r="D5" s="88">
        <f>FS!D9/(FS!D49+FS!D50+FS!D51+FS!D52+FS!D53+FS!D54)</f>
        <v>3.9742647870994637E-2</v>
      </c>
      <c r="E5" s="88">
        <f>FS!E9/(FS!E49+FS!E50+FS!E51+FS!E52+FS!E53+FS!E54)</f>
        <v>3.9543682190771236E-2</v>
      </c>
      <c r="F5" s="88">
        <f>FS!G9/(FS!G49+FS!G50+FS!G51+FS!G52+FS!G53+FS!G54)</f>
        <v>3.3264728734808506E-2</v>
      </c>
      <c r="G5" s="88">
        <f>FS!H9/(FS!H49+FS!H50+FS!H51+FS!H52+FS!H53+FS!H54)</f>
        <v>3.7362718783246436E-2</v>
      </c>
      <c r="H5" s="88">
        <f>FS!I9/(FS!I49+FS!I50+FS!I51+FS!I52+FS!I53+FS!I54)</f>
        <v>4.092057623958107E-2</v>
      </c>
      <c r="I5" s="105">
        <f>FS!J9/(FS!J49+FS!J50+FS!J51+FS!J52+FS!J53+FS!J54)</f>
        <v>3.5753876054765286E-2</v>
      </c>
      <c r="J5" s="105">
        <f>FS!K9/(FS!K49+FS!K50+FS!K51+FS!K52+FS!K53+FS!K54)</f>
        <v>2.4431959080380431E-2</v>
      </c>
      <c r="K5" s="105">
        <f>FS!L9/(FS!L49+FS!L50+FS!L51+FS!L52+FS!L53+FS!L54)</f>
        <v>2.4499098573363041E-2</v>
      </c>
      <c r="L5" s="105">
        <f>FS!M9/(FS!M49+FS!M50+FS!M51+FS!M52+FS!M53+FS!M54)</f>
        <v>2.4604392048487734E-2</v>
      </c>
    </row>
    <row r="6" spans="1:17" x14ac:dyDescent="0.3">
      <c r="A6" s="114"/>
      <c r="B6" t="s">
        <v>366</v>
      </c>
      <c r="C6" s="100">
        <f>C3-C4</f>
        <v>3.6889833842487604E-2</v>
      </c>
      <c r="D6" s="100">
        <f t="shared" ref="D6:L6" si="0">D3-D4</f>
        <v>3.8686225494205279E-2</v>
      </c>
      <c r="E6" s="100">
        <f t="shared" si="0"/>
        <v>3.8207038907298194E-2</v>
      </c>
      <c r="F6" s="100">
        <f t="shared" si="0"/>
        <v>3.304839619906131E-2</v>
      </c>
      <c r="G6" s="100">
        <f t="shared" si="0"/>
        <v>3.6391116747623173E-2</v>
      </c>
      <c r="H6" s="100">
        <f t="shared" si="0"/>
        <v>4.370902910631333E-2</v>
      </c>
      <c r="I6" s="106">
        <f t="shared" si="0"/>
        <v>3.5965244823720779E-2</v>
      </c>
      <c r="J6" s="106">
        <f t="shared" si="0"/>
        <v>2.4227159075856597E-2</v>
      </c>
      <c r="K6" s="106">
        <f t="shared" si="0"/>
        <v>2.4927528361332552E-2</v>
      </c>
      <c r="L6" s="106">
        <f t="shared" si="0"/>
        <v>2.4746718258874409E-2</v>
      </c>
    </row>
    <row r="7" spans="1:17" x14ac:dyDescent="0.3">
      <c r="A7" s="113"/>
      <c r="B7" t="s">
        <v>378</v>
      </c>
      <c r="C7" s="88">
        <f>FS!C23/FS!C16</f>
        <v>0.41129720404243952</v>
      </c>
      <c r="D7" s="88">
        <f>FS!D23/FS!D16</f>
        <v>0.36825622879164333</v>
      </c>
      <c r="E7" s="88">
        <f>FS!E23/FS!E16</f>
        <v>0.38597706321670616</v>
      </c>
      <c r="F7" s="88">
        <f>FS!G23/FS!G16</f>
        <v>0.34227535833420392</v>
      </c>
      <c r="G7" s="88">
        <f>FS!H23/FS!H16</f>
        <v>0.31686186300581476</v>
      </c>
      <c r="H7" s="88">
        <f>FS!I23/FS!I16</f>
        <v>0.26553813926654685</v>
      </c>
      <c r="I7" s="105">
        <f>FS!J23/FS!J16</f>
        <v>0.36014337347044312</v>
      </c>
      <c r="J7" s="105">
        <f>FS!K23/FS!K16</f>
        <v>0.39383609834227895</v>
      </c>
      <c r="K7" s="105">
        <f>FS!L23/FS!L16</f>
        <v>0.40024182169241973</v>
      </c>
      <c r="L7" s="105">
        <f>FS!M23/FS!M16</f>
        <v>0.40865194797821169</v>
      </c>
    </row>
    <row r="8" spans="1:17" x14ac:dyDescent="0.3">
      <c r="A8" s="113"/>
      <c r="B8" t="s">
        <v>381</v>
      </c>
      <c r="C8" s="88">
        <f>(FS!C23+FS!C17)/FS!C6</f>
        <v>0.1847993008201122</v>
      </c>
      <c r="D8" s="88">
        <f>(FS!D23+FS!D17)/FS!D6</f>
        <v>0.23428872389997521</v>
      </c>
      <c r="E8" s="88">
        <f>(FS!E23+FS!E17)/FS!E6</f>
        <v>0.24848571354404544</v>
      </c>
      <c r="F8" s="88">
        <f>(FS!G23+FS!G17)/FS!G6</f>
        <v>0.31376765469880508</v>
      </c>
      <c r="G8" s="88">
        <f>(FS!H23+FS!H17)/FS!H6</f>
        <v>0.33479493229864749</v>
      </c>
      <c r="H8" s="88">
        <f>(FS!I23+FS!I17)/FS!I6</f>
        <v>0.38591847200988072</v>
      </c>
      <c r="I8" s="105">
        <f>(FS!J23/FS!J6)</f>
        <v>0.12230363910337447</v>
      </c>
      <c r="J8" s="105">
        <f>(FS!K23/FS!K6)</f>
        <v>0.13311062921696901</v>
      </c>
      <c r="K8" s="105">
        <f>(FS!L23/FS!L6)</f>
        <v>0.13292398398573127</v>
      </c>
      <c r="L8" s="105">
        <f>(FS!M23/FS!M6)</f>
        <v>0.1344463681182414</v>
      </c>
    </row>
    <row r="9" spans="1:17" x14ac:dyDescent="0.3">
      <c r="A9" s="113"/>
      <c r="B9" t="s">
        <v>374</v>
      </c>
      <c r="C9" s="88">
        <f>Drivers!C315/Drivers!C311</f>
        <v>2.3682968979092812E-2</v>
      </c>
      <c r="D9" s="88">
        <f>Drivers!D315/Drivers!D311</f>
        <v>3.379210884897501E-2</v>
      </c>
      <c r="E9" s="88">
        <f>Drivers!E315/Drivers!E311</f>
        <v>3.9557968075658839E-2</v>
      </c>
      <c r="F9" s="88">
        <f>Drivers!F315/Drivers!F311</f>
        <v>5.4093104724303294E-2</v>
      </c>
      <c r="G9" s="88">
        <f>Drivers!G315/Drivers!G311</f>
        <v>5.9681216480658182E-2</v>
      </c>
      <c r="H9" s="88">
        <f>Drivers!H315/Drivers!H311</f>
        <v>7.276509012053381E-2</v>
      </c>
      <c r="I9" s="105">
        <f>Drivers!I315/Drivers!I311</f>
        <v>7.1480000000000002E-2</v>
      </c>
      <c r="J9" s="105">
        <f>Drivers!J315/Drivers!J311</f>
        <v>5.2099999999999994E-2</v>
      </c>
      <c r="K9" s="105">
        <f>Drivers!K315/Drivers!K311</f>
        <v>4.5800000000000007E-2</v>
      </c>
      <c r="L9" s="105">
        <f>Drivers!L315/Drivers!L311</f>
        <v>4.1200000000000001E-2</v>
      </c>
    </row>
    <row r="10" spans="1:17" x14ac:dyDescent="0.3">
      <c r="A10" s="114"/>
      <c r="B10" t="s">
        <v>376</v>
      </c>
      <c r="C10" s="88">
        <f>FS!C30/FS!C6</f>
        <v>0.14382150048740042</v>
      </c>
      <c r="D10" s="88">
        <f>FS!D30/FS!D6</f>
        <v>0.12790483870165084</v>
      </c>
      <c r="E10" s="88">
        <f>FS!E30/FS!E6</f>
        <v>0.11556498293176509</v>
      </c>
      <c r="F10" s="88">
        <f>FS!G30/FS!G6</f>
        <v>0.1124379832535759</v>
      </c>
      <c r="G10" s="88">
        <f>FS!H30/FS!H6</f>
        <v>0.14840532578303561</v>
      </c>
      <c r="H10" s="88">
        <f>FS!I30/FS!I6</f>
        <v>8.7020713774746947E-2</v>
      </c>
      <c r="I10" s="105">
        <f>FS!J30/FS!J6</f>
        <v>5.9137383421147029E-2</v>
      </c>
      <c r="J10" s="105">
        <f>FS!K30/FS!K6</f>
        <v>7.3978971055076184E-2</v>
      </c>
      <c r="K10" s="105">
        <f>FS!L30/FS!L6</f>
        <v>6.9279016882718411E-2</v>
      </c>
      <c r="L10" s="105">
        <f>FS!M30/FS!M6</f>
        <v>6.4732691378483281E-2</v>
      </c>
    </row>
    <row r="11" spans="1:17" x14ac:dyDescent="0.3">
      <c r="A11" s="113"/>
      <c r="B11" t="s">
        <v>372</v>
      </c>
      <c r="C11" s="88">
        <f>FS!C30/FS!C82</f>
        <v>0.15272352412316029</v>
      </c>
      <c r="D11" s="88">
        <f>FS!D30/FS!D82</f>
        <v>0.14812023665962032</v>
      </c>
      <c r="E11" s="88">
        <f>FS!E30/FS!E82</f>
        <v>0.12807844939902024</v>
      </c>
      <c r="F11" s="88">
        <f>FS!G30/FS!G82</f>
        <v>0.10616299506944166</v>
      </c>
      <c r="G11" s="88">
        <f>FS!H30/FS!H82</f>
        <v>0.14326113733910237</v>
      </c>
      <c r="H11" s="88">
        <f>FS!I30/FS!I82</f>
        <v>0.114566263353703</v>
      </c>
      <c r="I11" s="105">
        <f>FS!J30/FS!J82</f>
        <v>8.7940259473515844E-2</v>
      </c>
      <c r="J11" s="105">
        <f>FS!K30/FS!K82</f>
        <v>0.10323137066039065</v>
      </c>
      <c r="K11" s="105">
        <f>FS!L30/FS!L82</f>
        <v>0.10042229987964921</v>
      </c>
      <c r="L11" s="105">
        <f>FS!M30/FS!M82</f>
        <v>9.6883778716147839E-2</v>
      </c>
    </row>
    <row r="12" spans="1:17" x14ac:dyDescent="0.3">
      <c r="A12" s="113"/>
      <c r="B12" t="s">
        <v>375</v>
      </c>
      <c r="C12" s="88">
        <f>FS!C30/FS!C62</f>
        <v>1.4385023241875685E-2</v>
      </c>
      <c r="D12" s="88">
        <f>FS!D30/FS!D62</f>
        <v>1.3533347520589734E-2</v>
      </c>
      <c r="E12" s="88">
        <f>FS!E30/FS!E62</f>
        <v>1.2364173854485298E-2</v>
      </c>
      <c r="F12" s="88">
        <f>FS!G30/FS!G62</f>
        <v>9.6946577562260355E-3</v>
      </c>
      <c r="G12" s="88">
        <f>FS!H30/FS!H62</f>
        <v>1.2246229620675331E-2</v>
      </c>
      <c r="H12" s="88">
        <f>FS!I30/FS!I62</f>
        <v>9.7615306319075081E-3</v>
      </c>
      <c r="I12" s="105">
        <f>FS!J30/FS!J62</f>
        <v>7.7457677464481288E-3</v>
      </c>
      <c r="J12" s="105">
        <f>FS!K30/FS!K62</f>
        <v>9.090325979661586E-3</v>
      </c>
      <c r="K12" s="105">
        <f>FS!L30/FS!L62</f>
        <v>8.4873125897604405E-3</v>
      </c>
      <c r="L12" s="105">
        <f>FS!M30/FS!M62</f>
        <v>7.9878194219674681E-3</v>
      </c>
    </row>
    <row r="13" spans="1:17" x14ac:dyDescent="0.3">
      <c r="A13" s="113"/>
      <c r="B13" t="s">
        <v>377</v>
      </c>
      <c r="C13" s="88">
        <f>FS!C82/FS!C62</f>
        <v>9.418996401808552E-2</v>
      </c>
      <c r="D13" s="88">
        <f>FS!D82/FS!D62</f>
        <v>9.1367309597872912E-2</v>
      </c>
      <c r="E13" s="88">
        <f>FS!E82/FS!E62</f>
        <v>9.6535942717150658E-2</v>
      </c>
      <c r="F13" s="88">
        <f>FS!G82/FS!G62</f>
        <v>9.1318615774590009E-2</v>
      </c>
      <c r="G13" s="88">
        <f>FS!H82/FS!H62</f>
        <v>8.5481867924084867E-2</v>
      </c>
      <c r="H13" s="88">
        <f>FS!I82/FS!I62</f>
        <v>8.5204233307064545E-2</v>
      </c>
      <c r="I13" s="105">
        <f>FS!J82/FS!J62</f>
        <v>8.8079882784299138E-2</v>
      </c>
      <c r="J13" s="105">
        <f>FS!K82/FS!K62</f>
        <v>8.8057786325116558E-2</v>
      </c>
      <c r="K13" s="105">
        <f>FS!L82/FS!L62</f>
        <v>8.4516214027482287E-2</v>
      </c>
      <c r="L13" s="105">
        <f>FS!M82/FS!M62</f>
        <v>8.2447438857338046E-2</v>
      </c>
    </row>
    <row r="14" spans="1:17" x14ac:dyDescent="0.3">
      <c r="A14" s="113"/>
      <c r="B14" t="s">
        <v>380</v>
      </c>
      <c r="C14" s="88">
        <f>FS!C67/FS!C62</f>
        <v>0.74169809697534939</v>
      </c>
      <c r="D14" s="88">
        <f>FS!D67/FS!D62</f>
        <v>0.7533613577673044</v>
      </c>
      <c r="E14" s="88">
        <f>FS!E67/FS!E62</f>
        <v>0.75871332391556745</v>
      </c>
      <c r="F14" s="88">
        <f>FS!G67/FS!G62</f>
        <v>0.72999671336020211</v>
      </c>
      <c r="G14" s="88">
        <f>FS!H67/FS!H62</f>
        <v>0.74244871748214869</v>
      </c>
      <c r="H14" s="88">
        <f>FS!I67/FS!I62</f>
        <v>0.79123865175903807</v>
      </c>
      <c r="I14" s="105">
        <f>FS!J67/FS!J62</f>
        <v>0.81094231869813582</v>
      </c>
      <c r="J14" s="105">
        <f>FS!K67/FS!K62</f>
        <v>0.80000086503232981</v>
      </c>
      <c r="K14" s="105">
        <f>FS!L67/FS!L62</f>
        <v>0.79616944214606788</v>
      </c>
      <c r="L14" s="105">
        <f>FS!M67/FS!M62</f>
        <v>0.7927416743927036</v>
      </c>
    </row>
    <row r="15" spans="1:17" x14ac:dyDescent="0.3">
      <c r="A15" s="114"/>
      <c r="B15" t="s">
        <v>364</v>
      </c>
      <c r="C15" s="88">
        <f>FS!C45/FS!C62</f>
        <v>2.9998965514248431E-2</v>
      </c>
      <c r="D15" s="88">
        <f>FS!D45/FS!D62</f>
        <v>3.3605235830539544E-2</v>
      </c>
      <c r="E15" s="88">
        <f>FS!E45/FS!E62</f>
        <v>3.8100320776585109E-2</v>
      </c>
      <c r="F15" s="88">
        <f>FS!G45/FS!G62</f>
        <v>2.9080931559911326E-2</v>
      </c>
      <c r="G15" s="88">
        <f>FS!H45/FS!H62</f>
        <v>3.4956233210184678E-2</v>
      </c>
      <c r="H15" s="88">
        <f>FS!I45/FS!I62</f>
        <v>6.0454583419137981E-2</v>
      </c>
      <c r="I15" s="105">
        <f>FS!J45/FS!J62</f>
        <v>3.9783431257939733E-2</v>
      </c>
      <c r="J15" s="105">
        <f>FS!K45/FS!K62</f>
        <v>3.7144427211926144E-2</v>
      </c>
      <c r="K15" s="105">
        <f>FS!L45/FS!L62</f>
        <v>4.7221240655585597E-2</v>
      </c>
      <c r="L15" s="105">
        <f>FS!M45/FS!M62</f>
        <v>4.4651352667251863E-2</v>
      </c>
    </row>
    <row r="16" spans="1:17" x14ac:dyDescent="0.3">
      <c r="A16" s="113"/>
      <c r="B16" t="s">
        <v>379</v>
      </c>
      <c r="C16" s="1">
        <f>FS!C6/FS!C87</f>
        <v>23204.567643516661</v>
      </c>
      <c r="D16" s="1">
        <f>FS!D6/FS!D87</f>
        <v>27781.419335587827</v>
      </c>
      <c r="E16" s="1">
        <f>FS!E6/FS!E87</f>
        <v>29778.966613986566</v>
      </c>
      <c r="F16" s="1">
        <f>FS!G6/FS!G87</f>
        <v>30050.704567925648</v>
      </c>
      <c r="G16" s="1">
        <f>FS!H6/FS!H87</f>
        <v>32270.369085173501</v>
      </c>
      <c r="H16" s="1">
        <f>FS!I6/FS!I87</f>
        <v>54752.381175551651</v>
      </c>
      <c r="I16" s="107">
        <f>FS!J6/FS!J87</f>
        <v>67419.707162705119</v>
      </c>
      <c r="J16" s="107">
        <f>FS!K6/FS!K87</f>
        <v>69462.010521074015</v>
      </c>
      <c r="K16" s="107">
        <f>FS!L6/FS!L87</f>
        <v>78223.658565389414</v>
      </c>
      <c r="L16" s="107">
        <f>FS!M6/FS!M87</f>
        <v>87193.489757931326</v>
      </c>
    </row>
    <row r="17" spans="1:12" x14ac:dyDescent="0.3">
      <c r="A17" s="113"/>
      <c r="B17" t="s">
        <v>362</v>
      </c>
      <c r="C17" s="1"/>
      <c r="D17" s="1"/>
      <c r="E17" s="1"/>
      <c r="F17" s="88">
        <f>FS!G36/FS!G34</f>
        <v>0.4140127388535032</v>
      </c>
      <c r="G17" s="88">
        <f>FS!H36/FS!H34</f>
        <v>0.38639876352395675</v>
      </c>
      <c r="H17" s="88">
        <f>FS!I36/FS!I34</f>
        <v>0.2342529932326913</v>
      </c>
      <c r="I17" s="105" t="e">
        <f>FS!J36/FS!J34</f>
        <v>#REF!</v>
      </c>
      <c r="J17" s="105">
        <f>FS!K36/FS!K34</f>
        <v>0.34999999999999992</v>
      </c>
      <c r="K17" s="105">
        <f>FS!L36/FS!L34</f>
        <v>0.35</v>
      </c>
      <c r="L17" s="105">
        <f>FS!M36/FS!M34</f>
        <v>0.35</v>
      </c>
    </row>
    <row r="18" spans="1:12" x14ac:dyDescent="0.3">
      <c r="C18" s="1"/>
      <c r="D18" s="1"/>
      <c r="E18" s="1"/>
      <c r="F18" s="1"/>
      <c r="G18" s="1"/>
      <c r="H18" s="1"/>
      <c r="I18" s="107"/>
      <c r="J18" s="107"/>
      <c r="K18" s="107"/>
      <c r="L18" s="107"/>
    </row>
    <row r="19" spans="1:12" x14ac:dyDescent="0.3">
      <c r="C19" s="1"/>
      <c r="D19" s="1"/>
      <c r="E19" s="1"/>
      <c r="F19" s="1"/>
      <c r="G19" s="1"/>
      <c r="H19" s="1"/>
      <c r="I19" s="107"/>
      <c r="J19" s="107"/>
      <c r="K19" s="107"/>
      <c r="L19" s="107"/>
    </row>
    <row r="20" spans="1:12" x14ac:dyDescent="0.3">
      <c r="A20" s="114"/>
      <c r="B20" t="s">
        <v>382</v>
      </c>
      <c r="C20" s="1">
        <f>FS!C6/FS!C88</f>
        <v>412875.55714285717</v>
      </c>
      <c r="D20" s="1">
        <f>FS!D6/FS!D88</f>
        <v>490025.24561403511</v>
      </c>
      <c r="E20" s="1">
        <f>FS!E6/FS!E88</f>
        <v>525230.41463414638</v>
      </c>
      <c r="F20" s="1">
        <f>FS!G6/FS!G88</f>
        <v>529499.69686411147</v>
      </c>
      <c r="G20" s="1">
        <f>FS!H6/FS!H88</f>
        <v>570297.25435540068</v>
      </c>
      <c r="H20" s="1">
        <f>FS!I6/FS!I88</f>
        <v>970197.03806228377</v>
      </c>
      <c r="I20" s="107">
        <f>FS!J6/FS!J88</f>
        <v>1200602.1228942315</v>
      </c>
      <c r="J20" s="107">
        <f>FS!K6/FS!K88</f>
        <v>1243125.3037488668</v>
      </c>
      <c r="K20" s="107">
        <f>FS!L6/FS!L88</f>
        <v>1406892.7558739504</v>
      </c>
      <c r="L20" s="107">
        <f>FS!M6/FS!M88</f>
        <v>1576021.8745421772</v>
      </c>
    </row>
    <row r="22" spans="1:12" x14ac:dyDescent="0.3">
      <c r="A22" s="114"/>
      <c r="B22" t="s">
        <v>385</v>
      </c>
      <c r="C22" s="88"/>
      <c r="D22" s="88"/>
      <c r="E22" s="88"/>
      <c r="F22" s="88">
        <f t="shared" ref="F22:L22" si="1">F3-F4</f>
        <v>3.304839619906131E-2</v>
      </c>
      <c r="G22" s="88">
        <f t="shared" si="1"/>
        <v>3.6391116747623173E-2</v>
      </c>
      <c r="H22" s="88">
        <f t="shared" si="1"/>
        <v>4.370902910631333E-2</v>
      </c>
      <c r="I22" s="105">
        <f t="shared" si="1"/>
        <v>3.5965244823720779E-2</v>
      </c>
      <c r="J22" s="105">
        <f t="shared" si="1"/>
        <v>2.4227159075856597E-2</v>
      </c>
      <c r="K22" s="105">
        <f t="shared" si="1"/>
        <v>2.4927528361332552E-2</v>
      </c>
      <c r="L22" s="105">
        <f t="shared" si="1"/>
        <v>2.4746718258874409E-2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9F2F-37EB-4F45-B5CE-D0359FA0014B}">
  <dimension ref="B1:L32"/>
  <sheetViews>
    <sheetView zoomScale="85" zoomScaleNormal="85" workbookViewId="0">
      <selection activeCell="N12" sqref="N12"/>
    </sheetView>
  </sheetViews>
  <sheetFormatPr defaultRowHeight="14.4" x14ac:dyDescent="0.3"/>
  <cols>
    <col min="2" max="2" width="47.44140625" bestFit="1" customWidth="1"/>
    <col min="3" max="3" width="7.33203125" customWidth="1"/>
    <col min="4" max="4" width="5.5546875" customWidth="1"/>
    <col min="5" max="5" width="5.44140625" customWidth="1"/>
    <col min="6" max="6" width="17" customWidth="1"/>
    <col min="7" max="7" width="13.77734375" customWidth="1"/>
    <col min="8" max="8" width="13.88671875" customWidth="1"/>
    <col min="9" max="9" width="13.21875" customWidth="1"/>
    <col min="10" max="10" width="5.109375" customWidth="1"/>
    <col min="11" max="11" width="10.88671875" bestFit="1" customWidth="1"/>
  </cols>
  <sheetData>
    <row r="1" spans="2:12" x14ac:dyDescent="0.3">
      <c r="C1" t="s">
        <v>349</v>
      </c>
    </row>
    <row r="2" spans="2:12" x14ac:dyDescent="0.3">
      <c r="C2" s="89">
        <v>45192</v>
      </c>
      <c r="D2" s="90">
        <v>45078</v>
      </c>
      <c r="E2" s="90">
        <v>44986</v>
      </c>
      <c r="F2" s="90">
        <v>44896</v>
      </c>
      <c r="G2" s="90">
        <v>44805</v>
      </c>
      <c r="H2" s="90">
        <v>44713</v>
      </c>
      <c r="I2" s="90">
        <v>44621</v>
      </c>
      <c r="J2" s="90">
        <v>44531</v>
      </c>
    </row>
    <row r="3" spans="2:12" x14ac:dyDescent="0.3">
      <c r="B3" t="s">
        <v>0</v>
      </c>
      <c r="C3" s="33">
        <v>88294597</v>
      </c>
      <c r="D3" s="33">
        <v>83519041</v>
      </c>
      <c r="E3" s="33">
        <v>84149226</v>
      </c>
      <c r="F3" s="33">
        <v>84813856</v>
      </c>
      <c r="G3" s="33">
        <v>76055638</v>
      </c>
      <c r="H3" s="33">
        <v>64944217</v>
      </c>
      <c r="I3" s="33">
        <v>54573233</v>
      </c>
      <c r="J3" s="33">
        <v>43625180</v>
      </c>
      <c r="K3" s="33">
        <f>E3+D3+C3+C3</f>
        <v>344257461</v>
      </c>
      <c r="L3" s="113"/>
    </row>
    <row r="4" spans="2:12" x14ac:dyDescent="0.3">
      <c r="B4" t="s">
        <v>1</v>
      </c>
      <c r="C4" s="33">
        <v>73758370</v>
      </c>
      <c r="D4" s="33">
        <v>74872632</v>
      </c>
      <c r="E4" s="33">
        <v>75939012</v>
      </c>
      <c r="F4" s="33">
        <v>72136429</v>
      </c>
      <c r="G4" s="33">
        <v>62139977</v>
      </c>
      <c r="H4" s="33">
        <v>50269825</v>
      </c>
      <c r="I4" s="33">
        <v>37846848</v>
      </c>
      <c r="J4" s="33">
        <v>36591673</v>
      </c>
      <c r="K4" s="33">
        <f>E4+D4+C4+C4</f>
        <v>298328384</v>
      </c>
      <c r="L4" s="113"/>
    </row>
    <row r="5" spans="2:12" x14ac:dyDescent="0.3">
      <c r="B5" t="s">
        <v>337</v>
      </c>
      <c r="C5" s="33">
        <v>50326278</v>
      </c>
      <c r="D5" s="33">
        <v>56398189</v>
      </c>
      <c r="E5" s="33">
        <v>56963785</v>
      </c>
      <c r="F5" s="33">
        <v>50285038</v>
      </c>
      <c r="G5" s="33">
        <v>40038742</v>
      </c>
      <c r="H5" s="33">
        <v>28380265</v>
      </c>
      <c r="I5" s="33">
        <v>19023823</v>
      </c>
      <c r="J5" s="33">
        <v>17708621</v>
      </c>
      <c r="K5" s="33">
        <f>E5+D5+C5+C5</f>
        <v>214014530</v>
      </c>
      <c r="L5" s="113"/>
    </row>
    <row r="6" spans="2:12" x14ac:dyDescent="0.3">
      <c r="B6" t="s">
        <v>3</v>
      </c>
      <c r="C6" s="33">
        <v>23432092</v>
      </c>
      <c r="D6" s="33">
        <v>18474443</v>
      </c>
      <c r="E6" s="33">
        <v>18975227</v>
      </c>
      <c r="F6" s="33">
        <v>21851391</v>
      </c>
      <c r="G6" s="33">
        <v>22101235</v>
      </c>
      <c r="H6" s="33">
        <v>21889560</v>
      </c>
      <c r="I6" s="33">
        <v>18823025</v>
      </c>
      <c r="J6" s="33">
        <v>18883052</v>
      </c>
      <c r="K6" s="33">
        <f>E6+D6+C6+C6</f>
        <v>84313854</v>
      </c>
      <c r="L6" s="113"/>
    </row>
    <row r="7" spans="2:12" x14ac:dyDescent="0.3">
      <c r="B7" t="s">
        <v>4</v>
      </c>
      <c r="C7" s="33">
        <v>7657034</v>
      </c>
      <c r="D7" s="33">
        <v>7076778</v>
      </c>
      <c r="E7" s="33">
        <v>7300668</v>
      </c>
      <c r="F7" s="33">
        <v>7985635</v>
      </c>
      <c r="G7" s="33">
        <v>6447150</v>
      </c>
      <c r="H7" s="33">
        <v>6365740</v>
      </c>
      <c r="I7" s="33">
        <v>5393005</v>
      </c>
      <c r="J7" s="33">
        <v>4915199</v>
      </c>
      <c r="K7" s="33">
        <f>E7+D7+C7+C7</f>
        <v>29691514</v>
      </c>
      <c r="L7" s="113"/>
    </row>
    <row r="8" spans="2:12" x14ac:dyDescent="0.3">
      <c r="B8" t="s">
        <v>5</v>
      </c>
      <c r="C8" s="33">
        <v>2038079</v>
      </c>
      <c r="D8" s="33">
        <v>1887996</v>
      </c>
      <c r="E8" s="33">
        <v>1898492</v>
      </c>
      <c r="F8" s="33">
        <v>1729591</v>
      </c>
      <c r="G8" s="33">
        <v>1411595</v>
      </c>
      <c r="H8" s="33">
        <v>1575925</v>
      </c>
      <c r="I8" s="33">
        <v>1305318</v>
      </c>
      <c r="J8" s="33">
        <v>1269724</v>
      </c>
      <c r="L8" s="113"/>
    </row>
    <row r="9" spans="2:12" x14ac:dyDescent="0.3">
      <c r="B9" t="s">
        <v>6</v>
      </c>
      <c r="C9" s="33">
        <v>5618955</v>
      </c>
      <c r="D9" s="33">
        <v>5188782</v>
      </c>
      <c r="E9" s="33">
        <v>5402176</v>
      </c>
      <c r="F9" s="33">
        <v>6256044</v>
      </c>
      <c r="G9" s="33">
        <v>5035555</v>
      </c>
      <c r="H9" s="33">
        <v>4789815</v>
      </c>
      <c r="I9" s="33">
        <v>4087687</v>
      </c>
      <c r="J9" s="33">
        <v>3645475</v>
      </c>
      <c r="L9" s="113"/>
    </row>
    <row r="10" spans="2:12" x14ac:dyDescent="0.3">
      <c r="B10" t="s">
        <v>7</v>
      </c>
      <c r="C10" s="33">
        <v>3381671</v>
      </c>
      <c r="D10" s="33">
        <v>-6555889</v>
      </c>
      <c r="E10" s="33">
        <v>-8975464</v>
      </c>
      <c r="F10" s="33">
        <v>1173354</v>
      </c>
      <c r="G10" s="33">
        <v>2022197</v>
      </c>
      <c r="H10" s="33">
        <v>8560357</v>
      </c>
      <c r="I10" s="33">
        <v>23541542</v>
      </c>
      <c r="J10" s="33">
        <v>-101050</v>
      </c>
      <c r="L10" s="113"/>
    </row>
    <row r="11" spans="2:12" x14ac:dyDescent="0.3">
      <c r="B11" t="s">
        <v>8</v>
      </c>
      <c r="C11" s="33">
        <v>1713760</v>
      </c>
      <c r="D11" s="33">
        <v>587244</v>
      </c>
      <c r="E11" s="33">
        <v>337266</v>
      </c>
      <c r="F11" s="33">
        <v>105790</v>
      </c>
      <c r="G11" s="33">
        <v>106832</v>
      </c>
      <c r="H11" s="33">
        <v>49119</v>
      </c>
      <c r="I11" s="33">
        <v>15143</v>
      </c>
      <c r="J11" s="33">
        <v>25076</v>
      </c>
      <c r="L11" s="113"/>
    </row>
    <row r="12" spans="2:12" x14ac:dyDescent="0.3">
      <c r="B12" t="s">
        <v>9</v>
      </c>
      <c r="C12" s="33">
        <v>1783762</v>
      </c>
      <c r="D12" s="33">
        <v>7538276</v>
      </c>
      <c r="E12" s="33">
        <v>9547744</v>
      </c>
      <c r="F12" s="33">
        <v>3412648</v>
      </c>
      <c r="G12" s="33">
        <v>5339482</v>
      </c>
      <c r="H12" s="33">
        <v>-300824</v>
      </c>
      <c r="I12" s="33">
        <v>-12223305</v>
      </c>
      <c r="J12" s="33">
        <v>2194282</v>
      </c>
      <c r="L12" s="113"/>
    </row>
    <row r="13" spans="2:12" x14ac:dyDescent="0.3">
      <c r="B13" t="s">
        <v>10</v>
      </c>
      <c r="C13" s="33">
        <v>35930240</v>
      </c>
      <c r="D13" s="33">
        <v>25232856</v>
      </c>
      <c r="E13" s="33">
        <v>25286949</v>
      </c>
      <c r="F13" s="33">
        <v>32799227</v>
      </c>
      <c r="G13" s="33">
        <v>34605301</v>
      </c>
      <c r="H13" s="33">
        <v>34988027</v>
      </c>
      <c r="I13" s="33">
        <v>34244092</v>
      </c>
      <c r="J13" s="33">
        <v>24646835</v>
      </c>
      <c r="L13" s="113"/>
    </row>
    <row r="14" spans="2:12" x14ac:dyDescent="0.3">
      <c r="B14" t="s">
        <v>338</v>
      </c>
      <c r="C14" s="33">
        <v>12571147</v>
      </c>
      <c r="D14" s="33">
        <v>6413788</v>
      </c>
      <c r="E14" s="33">
        <v>6797175</v>
      </c>
      <c r="F14" s="33">
        <v>19652653</v>
      </c>
      <c r="G14" s="33">
        <v>17052988</v>
      </c>
      <c r="H14" s="33">
        <v>29258063</v>
      </c>
      <c r="I14" s="33">
        <v>5960556</v>
      </c>
      <c r="J14" s="33">
        <v>7142508</v>
      </c>
      <c r="L14" s="113"/>
    </row>
    <row r="15" spans="2:12" x14ac:dyDescent="0.3">
      <c r="B15" t="s">
        <v>12</v>
      </c>
      <c r="C15" s="33">
        <v>23359093</v>
      </c>
      <c r="D15" s="33">
        <v>18819068</v>
      </c>
      <c r="E15" s="33">
        <v>18489774</v>
      </c>
      <c r="F15" s="33">
        <v>13146574</v>
      </c>
      <c r="G15" s="33">
        <v>17552313</v>
      </c>
      <c r="H15" s="33">
        <v>5729964</v>
      </c>
      <c r="I15" s="33">
        <v>28283536</v>
      </c>
      <c r="J15" s="33">
        <v>17504327</v>
      </c>
      <c r="L15" s="113"/>
    </row>
    <row r="16" spans="2:12" x14ac:dyDescent="0.3">
      <c r="B16" t="s">
        <v>98</v>
      </c>
      <c r="C16" s="33">
        <v>10691452</v>
      </c>
      <c r="D16" s="33">
        <v>10607104</v>
      </c>
      <c r="E16" s="33">
        <v>10677690</v>
      </c>
      <c r="F16" s="33">
        <v>10265566</v>
      </c>
      <c r="G16" s="33">
        <v>7985228</v>
      </c>
      <c r="H16" s="115">
        <v>9310867</v>
      </c>
      <c r="I16" s="33">
        <v>8720580</v>
      </c>
      <c r="J16" s="33">
        <v>8378026</v>
      </c>
      <c r="L16" s="113"/>
    </row>
    <row r="17" spans="2:12" x14ac:dyDescent="0.3">
      <c r="B17" t="s">
        <v>99</v>
      </c>
      <c r="C17" s="33">
        <v>5512768</v>
      </c>
      <c r="D17" s="33">
        <v>5684029</v>
      </c>
      <c r="E17" s="33">
        <v>5612486</v>
      </c>
      <c r="F17" s="33">
        <v>5148402</v>
      </c>
      <c r="G17" s="33">
        <v>5055534</v>
      </c>
      <c r="H17" s="33">
        <v>4972094</v>
      </c>
      <c r="I17" s="33">
        <v>4612253</v>
      </c>
      <c r="J17" s="33">
        <v>4639350</v>
      </c>
      <c r="L17" s="113"/>
    </row>
    <row r="18" spans="2:12" x14ac:dyDescent="0.3">
      <c r="B18" t="s">
        <v>13</v>
      </c>
      <c r="C18" s="33">
        <v>995181</v>
      </c>
      <c r="D18" s="33">
        <v>1020578</v>
      </c>
      <c r="E18" s="33">
        <v>1063760</v>
      </c>
      <c r="F18" s="33">
        <v>968895</v>
      </c>
      <c r="G18" s="33">
        <v>905454</v>
      </c>
      <c r="H18" s="33">
        <v>906117</v>
      </c>
      <c r="I18" s="33">
        <v>817905</v>
      </c>
      <c r="J18" s="33">
        <v>798333</v>
      </c>
      <c r="L18" s="113"/>
    </row>
    <row r="19" spans="2:12" x14ac:dyDescent="0.3">
      <c r="B19" t="s">
        <v>14</v>
      </c>
      <c r="C19" s="33">
        <v>4183503</v>
      </c>
      <c r="D19" s="33">
        <v>3902497</v>
      </c>
      <c r="E19" s="33">
        <v>4001444</v>
      </c>
      <c r="F19" s="33">
        <v>4148269</v>
      </c>
      <c r="G19" s="33">
        <v>2024240</v>
      </c>
      <c r="H19" s="115">
        <v>3432656</v>
      </c>
      <c r="I19" s="33">
        <v>3290422</v>
      </c>
      <c r="J19" s="33">
        <v>2940343</v>
      </c>
      <c r="L19" s="113"/>
    </row>
    <row r="20" spans="2:12" x14ac:dyDescent="0.3">
      <c r="B20" t="s">
        <v>339</v>
      </c>
      <c r="C20" s="33">
        <v>12667641</v>
      </c>
      <c r="D20" s="33">
        <v>8211964</v>
      </c>
      <c r="E20" s="33">
        <v>7812084</v>
      </c>
      <c r="F20" s="33">
        <v>2881008</v>
      </c>
      <c r="G20" s="33">
        <v>9567085</v>
      </c>
      <c r="H20" s="115">
        <v>-3580903</v>
      </c>
      <c r="I20" s="33">
        <v>19562956</v>
      </c>
      <c r="J20" s="33">
        <v>9126301</v>
      </c>
      <c r="L20" s="113"/>
    </row>
    <row r="21" spans="2:12" x14ac:dyDescent="0.3">
      <c r="B21" t="s">
        <v>17</v>
      </c>
      <c r="C21" s="33">
        <v>1730659</v>
      </c>
      <c r="D21" s="33">
        <v>862074</v>
      </c>
      <c r="E21" s="33">
        <v>1071894</v>
      </c>
      <c r="F21" s="33">
        <v>410754</v>
      </c>
      <c r="G21" s="33">
        <v>907846</v>
      </c>
      <c r="H21" s="33">
        <v>-552444</v>
      </c>
      <c r="I21" s="33">
        <v>3155225</v>
      </c>
      <c r="J21" s="33">
        <v>1237602</v>
      </c>
      <c r="L21" s="113"/>
    </row>
    <row r="22" spans="2:12" x14ac:dyDescent="0.3">
      <c r="B22" t="s">
        <v>340</v>
      </c>
      <c r="C22" s="33">
        <v>10936982</v>
      </c>
      <c r="D22" s="33">
        <v>7349890</v>
      </c>
      <c r="E22" s="33">
        <v>6740190</v>
      </c>
      <c r="F22" s="33">
        <v>2470254</v>
      </c>
      <c r="G22" s="33">
        <v>8659239</v>
      </c>
      <c r="H22" s="33">
        <v>-3028459</v>
      </c>
      <c r="I22" s="33">
        <v>16407731</v>
      </c>
      <c r="J22" s="33">
        <v>7888699</v>
      </c>
      <c r="L22" s="113"/>
    </row>
    <row r="23" spans="2:12" x14ac:dyDescent="0.3">
      <c r="B23" t="s">
        <v>341</v>
      </c>
      <c r="C23" s="33">
        <v>1546</v>
      </c>
      <c r="D23" s="33">
        <v>1107</v>
      </c>
      <c r="E23" s="33">
        <v>1245</v>
      </c>
      <c r="F23" s="33">
        <v>-1471</v>
      </c>
      <c r="G23" s="33">
        <v>1220</v>
      </c>
      <c r="H23" s="33">
        <v>-1607</v>
      </c>
      <c r="I23" s="33">
        <v>-1869</v>
      </c>
      <c r="J23" s="33">
        <v>1813</v>
      </c>
      <c r="L23" s="113"/>
    </row>
    <row r="24" spans="2:12" x14ac:dyDescent="0.3">
      <c r="B24" t="s">
        <v>342</v>
      </c>
      <c r="C24" s="33">
        <v>10938528</v>
      </c>
      <c r="D24" s="33">
        <v>7350997</v>
      </c>
      <c r="E24" s="33">
        <v>6741435</v>
      </c>
      <c r="F24" s="33">
        <v>2468783</v>
      </c>
      <c r="G24" s="33">
        <v>8660459</v>
      </c>
      <c r="H24" s="33">
        <v>-3030066</v>
      </c>
      <c r="I24" s="33">
        <v>16405862</v>
      </c>
      <c r="J24" s="33">
        <v>7890512</v>
      </c>
      <c r="L24" s="113"/>
    </row>
    <row r="25" spans="2:12" x14ac:dyDescent="0.3">
      <c r="B25" t="s">
        <v>347</v>
      </c>
      <c r="C25" s="33">
        <v>4465397</v>
      </c>
      <c r="D25" s="33">
        <v>3419553</v>
      </c>
      <c r="E25" s="33">
        <v>2382405</v>
      </c>
      <c r="F25" s="33">
        <v>-6470284</v>
      </c>
      <c r="G25" s="33">
        <v>2377804</v>
      </c>
      <c r="H25" s="33">
        <v>-433112</v>
      </c>
      <c r="I25" s="33">
        <v>4631158</v>
      </c>
      <c r="J25" s="33">
        <v>2617567</v>
      </c>
      <c r="L25" s="113"/>
    </row>
    <row r="26" spans="2:12" x14ac:dyDescent="0.3">
      <c r="B26" t="s">
        <v>343</v>
      </c>
      <c r="C26" s="33">
        <v>6473131</v>
      </c>
      <c r="D26" s="33">
        <v>3931444</v>
      </c>
      <c r="E26" s="33">
        <v>4359030</v>
      </c>
      <c r="F26" s="33">
        <v>8939067</v>
      </c>
      <c r="G26" s="33">
        <v>6282655</v>
      </c>
      <c r="H26" s="33">
        <v>-2596954</v>
      </c>
      <c r="I26" s="33">
        <v>11774704</v>
      </c>
      <c r="J26" s="33">
        <v>5272945</v>
      </c>
      <c r="L26" s="113"/>
    </row>
    <row r="27" spans="2:12" x14ac:dyDescent="0.3">
      <c r="B27" t="s">
        <v>344</v>
      </c>
    </row>
    <row r="28" spans="2:12" x14ac:dyDescent="0.3">
      <c r="B28" t="s">
        <v>345</v>
      </c>
      <c r="C28" s="33">
        <v>6233402</v>
      </c>
      <c r="D28" s="33">
        <v>3750123</v>
      </c>
      <c r="E28" s="33">
        <v>4216403</v>
      </c>
      <c r="F28" s="33">
        <v>8775188</v>
      </c>
      <c r="G28" s="33">
        <v>6095730</v>
      </c>
      <c r="H28" s="33">
        <v>-2743585</v>
      </c>
      <c r="I28" s="33">
        <v>11684581</v>
      </c>
      <c r="J28" s="33">
        <v>5217687</v>
      </c>
      <c r="L28" s="113"/>
    </row>
    <row r="29" spans="2:12" x14ac:dyDescent="0.3">
      <c r="B29" t="s">
        <v>24</v>
      </c>
      <c r="C29" s="33">
        <v>239729</v>
      </c>
      <c r="D29" s="33">
        <v>181321</v>
      </c>
      <c r="E29" s="33">
        <v>142627</v>
      </c>
      <c r="F29" s="33">
        <v>163879</v>
      </c>
      <c r="G29" s="33">
        <v>186925</v>
      </c>
      <c r="H29" s="33">
        <v>146631</v>
      </c>
      <c r="I29" s="33">
        <v>90123</v>
      </c>
      <c r="J29" s="33">
        <v>55258</v>
      </c>
      <c r="L29" s="113"/>
    </row>
    <row r="30" spans="2:12" x14ac:dyDescent="0.3">
      <c r="B30" t="s">
        <v>343</v>
      </c>
      <c r="C30" s="33">
        <v>6473131</v>
      </c>
      <c r="D30" s="33">
        <v>3931444</v>
      </c>
      <c r="E30" s="33">
        <v>4359030</v>
      </c>
      <c r="F30" s="33">
        <v>8939067</v>
      </c>
      <c r="G30" s="33">
        <v>6282655</v>
      </c>
      <c r="H30" s="33">
        <v>-2596954</v>
      </c>
      <c r="I30" s="33">
        <v>11774704</v>
      </c>
      <c r="J30" s="33">
        <v>5272945</v>
      </c>
      <c r="L30" s="113"/>
    </row>
    <row r="32" spans="2:12" x14ac:dyDescent="0.3">
      <c r="B32" t="s">
        <v>346</v>
      </c>
      <c r="C32">
        <v>4.75</v>
      </c>
      <c r="D32">
        <v>2.86</v>
      </c>
      <c r="E32">
        <v>3.21</v>
      </c>
      <c r="F32">
        <v>7.08</v>
      </c>
      <c r="G32">
        <v>4.92</v>
      </c>
      <c r="H32">
        <v>-2.21</v>
      </c>
      <c r="I32">
        <v>9.42</v>
      </c>
      <c r="J32">
        <v>4.37</v>
      </c>
      <c r="L32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AFDF-7BC1-464A-9D4D-722094B97CAA}">
  <dimension ref="A1:E132"/>
  <sheetViews>
    <sheetView topLeftCell="A7" workbookViewId="0">
      <selection activeCell="J20" sqref="J20"/>
    </sheetView>
  </sheetViews>
  <sheetFormatPr defaultRowHeight="14.4" x14ac:dyDescent="0.3"/>
  <cols>
    <col min="5" max="5" width="18.88671875" customWidth="1"/>
  </cols>
  <sheetData>
    <row r="1" spans="1:5" x14ac:dyDescent="0.3">
      <c r="C1" s="1"/>
      <c r="D1" s="1"/>
      <c r="E1" s="1"/>
    </row>
    <row r="2" spans="1:5" x14ac:dyDescent="0.3">
      <c r="C2" s="12"/>
      <c r="D2" s="12"/>
      <c r="E2" s="12"/>
    </row>
    <row r="3" spans="1:5" x14ac:dyDescent="0.3">
      <c r="B3" t="s">
        <v>62</v>
      </c>
      <c r="C3" s="1"/>
      <c r="D3" s="1"/>
      <c r="E3" s="1"/>
    </row>
    <row r="4" spans="1:5" x14ac:dyDescent="0.3">
      <c r="B4" t="s">
        <v>110</v>
      </c>
      <c r="C4" s="4">
        <v>2017</v>
      </c>
      <c r="D4" s="4">
        <v>2018</v>
      </c>
      <c r="E4" s="4">
        <v>2019</v>
      </c>
    </row>
    <row r="5" spans="1:5" x14ac:dyDescent="0.3">
      <c r="A5" s="7"/>
      <c r="B5" s="10" t="s">
        <v>115</v>
      </c>
      <c r="C5" s="11"/>
      <c r="D5" s="11"/>
      <c r="E5" s="11"/>
    </row>
    <row r="6" spans="1:5" x14ac:dyDescent="0.3">
      <c r="B6" t="s">
        <v>0</v>
      </c>
      <c r="C6" s="21" t="s">
        <v>387</v>
      </c>
      <c r="D6" s="21" t="s">
        <v>387</v>
      </c>
      <c r="E6" s="21">
        <v>150741129</v>
      </c>
    </row>
    <row r="7" spans="1:5" x14ac:dyDescent="0.3">
      <c r="B7" t="s">
        <v>1</v>
      </c>
      <c r="C7" s="22" t="s">
        <v>387</v>
      </c>
      <c r="D7" s="22" t="s">
        <v>387</v>
      </c>
      <c r="E7" s="22">
        <v>129287743</v>
      </c>
    </row>
    <row r="8" spans="1:5" x14ac:dyDescent="0.3">
      <c r="B8" t="s">
        <v>2</v>
      </c>
      <c r="C8" s="22" t="s">
        <v>387</v>
      </c>
      <c r="D8" s="22" t="s">
        <v>387</v>
      </c>
      <c r="E8" s="22">
        <v>80931352</v>
      </c>
    </row>
    <row r="9" spans="1:5" x14ac:dyDescent="0.3">
      <c r="B9" s="2" t="s">
        <v>3</v>
      </c>
      <c r="C9" s="21" t="s">
        <v>387</v>
      </c>
      <c r="D9" s="21" t="s">
        <v>387</v>
      </c>
      <c r="E9" s="21">
        <v>48356391</v>
      </c>
    </row>
    <row r="10" spans="1:5" x14ac:dyDescent="0.3">
      <c r="B10" t="s">
        <v>4</v>
      </c>
      <c r="C10" s="22" t="s">
        <v>387</v>
      </c>
      <c r="D10" s="22" t="s">
        <v>387</v>
      </c>
      <c r="E10" s="22">
        <v>12874966</v>
      </c>
    </row>
    <row r="11" spans="1:5" x14ac:dyDescent="0.3">
      <c r="B11" t="s">
        <v>5</v>
      </c>
      <c r="C11" s="22" t="s">
        <v>387</v>
      </c>
      <c r="D11" s="22" t="s">
        <v>387</v>
      </c>
      <c r="E11" s="22">
        <v>2123128</v>
      </c>
    </row>
    <row r="12" spans="1:5" x14ac:dyDescent="0.3">
      <c r="B12" s="2" t="s">
        <v>6</v>
      </c>
      <c r="C12" s="21" t="s">
        <v>387</v>
      </c>
      <c r="D12" s="21" t="s">
        <v>387</v>
      </c>
      <c r="E12" s="21">
        <v>10751838</v>
      </c>
    </row>
    <row r="13" spans="1:5" x14ac:dyDescent="0.3">
      <c r="B13" t="s">
        <v>7</v>
      </c>
      <c r="C13" s="22" t="s">
        <v>387</v>
      </c>
      <c r="D13" s="22" t="s">
        <v>387</v>
      </c>
      <c r="E13" s="22">
        <v>1360833</v>
      </c>
    </row>
    <row r="14" spans="1:5" x14ac:dyDescent="0.3">
      <c r="B14" t="s">
        <v>8</v>
      </c>
      <c r="C14" s="22" t="s">
        <v>387</v>
      </c>
      <c r="D14" s="22" t="s">
        <v>387</v>
      </c>
      <c r="E14" s="22">
        <v>1135711</v>
      </c>
    </row>
    <row r="15" spans="1:5" x14ac:dyDescent="0.3">
      <c r="B15" t="s">
        <v>9</v>
      </c>
      <c r="C15" s="22" t="s">
        <v>387</v>
      </c>
      <c r="D15" s="22" t="s">
        <v>387</v>
      </c>
      <c r="E15" s="22">
        <v>6081876</v>
      </c>
    </row>
    <row r="16" spans="1:5" x14ac:dyDescent="0.3">
      <c r="B16" t="s">
        <v>10</v>
      </c>
      <c r="C16" s="21" t="s">
        <v>387</v>
      </c>
      <c r="D16" s="21" t="s">
        <v>387</v>
      </c>
      <c r="E16" s="21">
        <v>67686649</v>
      </c>
    </row>
    <row r="17" spans="2:5" x14ac:dyDescent="0.3">
      <c r="B17" t="s">
        <v>11</v>
      </c>
      <c r="C17" s="22" t="s">
        <v>387</v>
      </c>
      <c r="D17" s="22" t="s">
        <v>387</v>
      </c>
      <c r="E17" s="22">
        <v>11331525</v>
      </c>
    </row>
    <row r="18" spans="2:5" x14ac:dyDescent="0.3">
      <c r="B18" s="2" t="s">
        <v>12</v>
      </c>
      <c r="C18" s="21" t="s">
        <v>387</v>
      </c>
      <c r="D18" s="21" t="s">
        <v>387</v>
      </c>
      <c r="E18" s="21">
        <v>56355126</v>
      </c>
    </row>
    <row r="19" spans="2:5" x14ac:dyDescent="0.3">
      <c r="B19" t="s">
        <v>98</v>
      </c>
      <c r="C19" s="1"/>
      <c r="D19" s="1"/>
      <c r="E19" s="1"/>
    </row>
    <row r="20" spans="2:5" ht="43.2" x14ac:dyDescent="0.3">
      <c r="B20" s="3" t="s">
        <v>99</v>
      </c>
      <c r="C20" s="22" t="s">
        <v>387</v>
      </c>
      <c r="D20" s="22" t="s">
        <v>387</v>
      </c>
      <c r="E20" s="22">
        <v>14408914</v>
      </c>
    </row>
    <row r="21" spans="2:5" x14ac:dyDescent="0.3">
      <c r="B21" t="s">
        <v>13</v>
      </c>
      <c r="C21" s="22" t="s">
        <v>387</v>
      </c>
      <c r="D21" s="22" t="s">
        <v>387</v>
      </c>
      <c r="E21" s="22">
        <v>2841264</v>
      </c>
    </row>
    <row r="22" spans="2:5" x14ac:dyDescent="0.3">
      <c r="B22" t="s">
        <v>14</v>
      </c>
      <c r="C22" s="22" t="s">
        <v>387</v>
      </c>
      <c r="D22" s="22" t="s">
        <v>387</v>
      </c>
      <c r="E22" s="22">
        <v>8875316</v>
      </c>
    </row>
    <row r="23" spans="2:5" x14ac:dyDescent="0.3">
      <c r="B23" s="2" t="s">
        <v>15</v>
      </c>
      <c r="C23" s="21" t="s">
        <v>387</v>
      </c>
      <c r="D23" s="21" t="s">
        <v>387</v>
      </c>
      <c r="E23" s="21">
        <v>26125494</v>
      </c>
    </row>
    <row r="24" spans="2:5" x14ac:dyDescent="0.3">
      <c r="B24" t="s">
        <v>16</v>
      </c>
      <c r="C24" s="22" t="s">
        <v>387</v>
      </c>
      <c r="D24" s="22" t="s">
        <v>387</v>
      </c>
      <c r="E24" s="22">
        <v>30229632</v>
      </c>
    </row>
    <row r="25" spans="2:5" x14ac:dyDescent="0.3">
      <c r="B25" t="s">
        <v>17</v>
      </c>
      <c r="C25" s="22" t="s">
        <v>387</v>
      </c>
      <c r="D25" s="22" t="s">
        <v>387</v>
      </c>
      <c r="E25" s="22">
        <v>7255728</v>
      </c>
    </row>
    <row r="26" spans="2:5" x14ac:dyDescent="0.3">
      <c r="B26" s="2" t="s">
        <v>18</v>
      </c>
      <c r="C26" s="21" t="s">
        <v>387</v>
      </c>
      <c r="D26" s="21" t="s">
        <v>387</v>
      </c>
      <c r="E26" s="21">
        <v>22973904</v>
      </c>
    </row>
    <row r="27" spans="2:5" x14ac:dyDescent="0.3">
      <c r="B27" t="s">
        <v>19</v>
      </c>
      <c r="C27" s="22" t="s">
        <v>387</v>
      </c>
      <c r="D27" s="22" t="s">
        <v>387</v>
      </c>
      <c r="E27" s="22">
        <v>9992</v>
      </c>
    </row>
    <row r="28" spans="2:5" x14ac:dyDescent="0.3">
      <c r="B28" s="2" t="s">
        <v>20</v>
      </c>
      <c r="C28" s="22" t="s">
        <v>387</v>
      </c>
      <c r="D28" s="22" t="s">
        <v>387</v>
      </c>
      <c r="E28" s="22">
        <v>22983896</v>
      </c>
    </row>
    <row r="29" spans="2:5" x14ac:dyDescent="0.3">
      <c r="B29" t="s">
        <v>21</v>
      </c>
      <c r="C29" s="22" t="s">
        <v>387</v>
      </c>
      <c r="D29" s="22" t="s">
        <v>387</v>
      </c>
      <c r="E29" s="22">
        <v>5563500</v>
      </c>
    </row>
    <row r="30" spans="2:5" ht="15" thickBot="1" x14ac:dyDescent="0.35">
      <c r="B30" s="2" t="s">
        <v>22</v>
      </c>
      <c r="C30" s="24" t="s">
        <v>387</v>
      </c>
      <c r="D30" s="24" t="s">
        <v>387</v>
      </c>
      <c r="E30" s="24">
        <v>17420396</v>
      </c>
    </row>
    <row r="31" spans="2:5" ht="15" thickTop="1" x14ac:dyDescent="0.3">
      <c r="B31" t="s">
        <v>23</v>
      </c>
      <c r="C31" s="22" t="s">
        <v>387</v>
      </c>
      <c r="D31" s="22" t="s">
        <v>387</v>
      </c>
      <c r="E31" s="22">
        <v>17263259</v>
      </c>
    </row>
    <row r="32" spans="2:5" x14ac:dyDescent="0.3">
      <c r="B32" t="s">
        <v>24</v>
      </c>
      <c r="C32" s="22" t="s">
        <v>387</v>
      </c>
      <c r="D32" s="22" t="s">
        <v>387</v>
      </c>
      <c r="E32" s="22">
        <v>1589234</v>
      </c>
    </row>
    <row r="33" spans="1:5" x14ac:dyDescent="0.3">
      <c r="B33" t="s">
        <v>22</v>
      </c>
      <c r="C33" s="22" t="s">
        <v>387</v>
      </c>
      <c r="D33" s="22" t="s">
        <v>387</v>
      </c>
      <c r="E33" s="22">
        <v>17420396</v>
      </c>
    </row>
    <row r="34" spans="1:5" x14ac:dyDescent="0.3">
      <c r="B34" t="s">
        <v>25</v>
      </c>
      <c r="C34" s="25" t="s">
        <v>387</v>
      </c>
      <c r="D34" s="25" t="s">
        <v>387</v>
      </c>
      <c r="E34" s="25">
        <v>16.8</v>
      </c>
    </row>
    <row r="35" spans="1:5" x14ac:dyDescent="0.3">
      <c r="B35" t="s">
        <v>26</v>
      </c>
      <c r="C35" s="25" t="s">
        <v>387</v>
      </c>
      <c r="D35" s="25" t="s">
        <v>387</v>
      </c>
      <c r="E35" s="25">
        <v>16.8</v>
      </c>
    </row>
    <row r="36" spans="1:5" x14ac:dyDescent="0.3">
      <c r="B36" t="s">
        <v>371</v>
      </c>
      <c r="C36" s="25" t="s">
        <v>387</v>
      </c>
      <c r="D36" s="25" t="s">
        <v>387</v>
      </c>
      <c r="E36" s="25">
        <v>5</v>
      </c>
    </row>
    <row r="37" spans="1:5" x14ac:dyDescent="0.3">
      <c r="C37" s="1"/>
      <c r="D37" s="1"/>
      <c r="E37" s="1"/>
    </row>
    <row r="38" spans="1:5" x14ac:dyDescent="0.3">
      <c r="B38" t="s">
        <v>94</v>
      </c>
      <c r="C38" s="1"/>
      <c r="D38" s="1"/>
      <c r="E38" s="1"/>
    </row>
    <row r="39" spans="1:5" x14ac:dyDescent="0.3">
      <c r="B39" t="s">
        <v>95</v>
      </c>
      <c r="C39" t="s">
        <v>387</v>
      </c>
      <c r="D39" t="s">
        <v>387</v>
      </c>
      <c r="E39" t="s">
        <v>387</v>
      </c>
    </row>
    <row r="40" spans="1:5" x14ac:dyDescent="0.3">
      <c r="C40" s="1"/>
      <c r="D40" s="1"/>
      <c r="E40" s="1"/>
    </row>
    <row r="41" spans="1:5" x14ac:dyDescent="0.3">
      <c r="A41" s="28"/>
      <c r="B41" s="28" t="s">
        <v>143</v>
      </c>
      <c r="C41" s="30" t="e">
        <f t="shared" ref="C41:E41" si="0">IF(C18-C23-C25+C27-C29-C30+C31+C32-C33=0,"OK","FLAG")</f>
        <v>#VALUE!</v>
      </c>
      <c r="D41" s="30" t="e">
        <f t="shared" si="0"/>
        <v>#VALUE!</v>
      </c>
      <c r="E41" s="30" t="str">
        <f t="shared" si="0"/>
        <v>FLAG</v>
      </c>
    </row>
    <row r="42" spans="1:5" x14ac:dyDescent="0.3">
      <c r="C42" s="1"/>
      <c r="D42" s="1"/>
      <c r="E42" s="1"/>
    </row>
    <row r="43" spans="1:5" x14ac:dyDescent="0.3">
      <c r="A43" s="7"/>
      <c r="B43" s="10" t="s">
        <v>114</v>
      </c>
      <c r="C43" s="11"/>
      <c r="D43" s="11"/>
      <c r="E43" s="11"/>
    </row>
    <row r="44" spans="1:5" x14ac:dyDescent="0.3">
      <c r="B44" s="2" t="s">
        <v>92</v>
      </c>
      <c r="C44" s="1"/>
      <c r="D44" s="1"/>
      <c r="E44" s="1"/>
    </row>
    <row r="45" spans="1:5" ht="57.6" x14ac:dyDescent="0.3">
      <c r="B45" s="3" t="s">
        <v>93</v>
      </c>
      <c r="C45" s="22" t="s">
        <v>387</v>
      </c>
      <c r="D45" s="22" t="s">
        <v>387</v>
      </c>
      <c r="E45" s="22">
        <v>53681118</v>
      </c>
    </row>
    <row r="46" spans="1:5" x14ac:dyDescent="0.3">
      <c r="B46" t="s">
        <v>27</v>
      </c>
      <c r="C46" s="22" t="s">
        <v>387</v>
      </c>
      <c r="D46" s="22" t="s">
        <v>387</v>
      </c>
      <c r="E46" s="22">
        <v>46101232</v>
      </c>
    </row>
    <row r="47" spans="1:5" x14ac:dyDescent="0.3">
      <c r="B47" t="s">
        <v>28</v>
      </c>
      <c r="C47" s="22" t="s">
        <v>387</v>
      </c>
      <c r="D47" s="22" t="s">
        <v>387</v>
      </c>
      <c r="E47" s="22">
        <v>24903809</v>
      </c>
    </row>
    <row r="48" spans="1:5" x14ac:dyDescent="0.3">
      <c r="B48" t="s">
        <v>29</v>
      </c>
      <c r="C48" s="22" t="s">
        <v>387</v>
      </c>
      <c r="D48" s="22" t="s">
        <v>387</v>
      </c>
      <c r="E48" s="22">
        <v>13147534</v>
      </c>
    </row>
    <row r="49" spans="2:5" x14ac:dyDescent="0.3">
      <c r="B49" t="s">
        <v>30</v>
      </c>
      <c r="C49" s="22" t="s">
        <v>387</v>
      </c>
      <c r="D49" s="22" t="s">
        <v>387</v>
      </c>
      <c r="E49" s="22">
        <v>1830927</v>
      </c>
    </row>
    <row r="50" spans="2:5" x14ac:dyDescent="0.3">
      <c r="B50" t="s">
        <v>31</v>
      </c>
      <c r="C50" s="22" t="s">
        <v>387</v>
      </c>
      <c r="D50" s="22" t="s">
        <v>387</v>
      </c>
      <c r="E50" s="22">
        <v>21468033</v>
      </c>
    </row>
    <row r="51" spans="2:5" x14ac:dyDescent="0.3">
      <c r="B51" t="s">
        <v>96</v>
      </c>
      <c r="C51" s="22" t="s">
        <v>387</v>
      </c>
      <c r="D51" s="22" t="s">
        <v>387</v>
      </c>
      <c r="E51" s="22">
        <v>884646</v>
      </c>
    </row>
    <row r="52" spans="2:5" x14ac:dyDescent="0.3">
      <c r="B52" t="s">
        <v>32</v>
      </c>
      <c r="C52" s="22" t="s">
        <v>387</v>
      </c>
      <c r="D52" s="22" t="s">
        <v>387</v>
      </c>
      <c r="E52" s="22">
        <v>893919311</v>
      </c>
    </row>
    <row r="53" spans="2:5" x14ac:dyDescent="0.3">
      <c r="B53" t="s">
        <v>33</v>
      </c>
      <c r="C53" s="22" t="s">
        <v>387</v>
      </c>
      <c r="D53" s="22" t="s">
        <v>387</v>
      </c>
      <c r="E53" s="22">
        <v>107059021</v>
      </c>
    </row>
    <row r="54" spans="2:5" x14ac:dyDescent="0.3">
      <c r="B54" t="s">
        <v>34</v>
      </c>
      <c r="C54" s="22" t="s">
        <v>387</v>
      </c>
      <c r="D54" s="22" t="s">
        <v>387</v>
      </c>
      <c r="E54" s="22">
        <v>197825017</v>
      </c>
    </row>
    <row r="55" spans="2:5" x14ac:dyDescent="0.3">
      <c r="B55" t="s">
        <v>35</v>
      </c>
      <c r="C55" s="22" t="s">
        <v>387</v>
      </c>
      <c r="D55" s="22" t="s">
        <v>387</v>
      </c>
      <c r="E55" s="22">
        <v>5011284</v>
      </c>
    </row>
    <row r="56" spans="2:5" x14ac:dyDescent="0.3">
      <c r="B56" t="s">
        <v>36</v>
      </c>
      <c r="C56" s="22" t="s">
        <v>387</v>
      </c>
      <c r="D56" s="22" t="s">
        <v>387</v>
      </c>
      <c r="E56" s="22">
        <v>56821</v>
      </c>
    </row>
    <row r="57" spans="2:5" x14ac:dyDescent="0.3">
      <c r="B57" t="s">
        <v>37</v>
      </c>
      <c r="C57" s="22" t="s">
        <v>387</v>
      </c>
      <c r="D57" s="22" t="s">
        <v>387</v>
      </c>
      <c r="E57" s="22">
        <v>22423046</v>
      </c>
    </row>
    <row r="58" spans="2:5" x14ac:dyDescent="0.3">
      <c r="B58" t="s">
        <v>38</v>
      </c>
      <c r="C58" s="22" t="s">
        <v>387</v>
      </c>
      <c r="D58" s="22" t="s">
        <v>387</v>
      </c>
      <c r="E58" s="22">
        <v>46350</v>
      </c>
    </row>
    <row r="59" spans="2:5" x14ac:dyDescent="0.3">
      <c r="B59" t="s">
        <v>39</v>
      </c>
      <c r="C59" s="22" t="s">
        <v>387</v>
      </c>
      <c r="D59" s="22" t="s">
        <v>387</v>
      </c>
      <c r="E59" s="22">
        <v>1645714</v>
      </c>
    </row>
    <row r="60" spans="2:5" x14ac:dyDescent="0.3">
      <c r="B60" t="s">
        <v>40</v>
      </c>
      <c r="C60" s="22" t="s">
        <v>387</v>
      </c>
      <c r="D60" s="22" t="s">
        <v>387</v>
      </c>
      <c r="E60" s="22">
        <v>530165</v>
      </c>
    </row>
    <row r="61" spans="2:5" x14ac:dyDescent="0.3">
      <c r="B61" t="s">
        <v>41</v>
      </c>
      <c r="C61" s="22" t="s">
        <v>387</v>
      </c>
      <c r="D61" s="22" t="s">
        <v>387</v>
      </c>
      <c r="E61" s="22">
        <v>23443869</v>
      </c>
    </row>
    <row r="62" spans="2:5" ht="15" thickBot="1" x14ac:dyDescent="0.35">
      <c r="B62" s="2" t="s">
        <v>42</v>
      </c>
      <c r="C62" s="24" t="s">
        <v>387</v>
      </c>
      <c r="D62" s="24" t="s">
        <v>387</v>
      </c>
      <c r="E62" s="24">
        <v>1408941366</v>
      </c>
    </row>
    <row r="63" spans="2:5" ht="15" thickTop="1" x14ac:dyDescent="0.3">
      <c r="B63" s="2" t="s">
        <v>100</v>
      </c>
      <c r="C63" s="1"/>
      <c r="D63" s="1"/>
      <c r="E63" s="1"/>
    </row>
    <row r="64" spans="2:5" ht="28.8" x14ac:dyDescent="0.3">
      <c r="B64" s="3" t="s">
        <v>101</v>
      </c>
      <c r="C64" s="22" t="s">
        <v>387</v>
      </c>
      <c r="D64" s="22" t="s">
        <v>387</v>
      </c>
      <c r="E64" s="22">
        <v>53807425</v>
      </c>
    </row>
    <row r="65" spans="2:5" x14ac:dyDescent="0.3">
      <c r="B65" t="s">
        <v>43</v>
      </c>
      <c r="C65" s="22" t="s">
        <v>387</v>
      </c>
      <c r="D65" s="22" t="s">
        <v>387</v>
      </c>
      <c r="E65" s="22">
        <v>1495317</v>
      </c>
    </row>
    <row r="66" spans="2:5" x14ac:dyDescent="0.3">
      <c r="B66" t="s">
        <v>44</v>
      </c>
      <c r="C66" s="22" t="s">
        <v>387</v>
      </c>
      <c r="D66" s="22" t="s">
        <v>387</v>
      </c>
      <c r="E66" s="22">
        <v>51117342</v>
      </c>
    </row>
    <row r="67" spans="2:5" x14ac:dyDescent="0.3">
      <c r="B67" t="s">
        <v>45</v>
      </c>
      <c r="C67" s="22" t="s">
        <v>387</v>
      </c>
      <c r="D67" s="22" t="s">
        <v>387</v>
      </c>
      <c r="E67" s="22">
        <v>1068982587</v>
      </c>
    </row>
    <row r="68" spans="2:5" x14ac:dyDescent="0.3">
      <c r="B68" t="s">
        <v>46</v>
      </c>
      <c r="C68" s="22" t="s">
        <v>387</v>
      </c>
      <c r="D68" s="22" t="s">
        <v>387</v>
      </c>
      <c r="E68" s="22">
        <v>23248893</v>
      </c>
    </row>
    <row r="69" spans="2:5" x14ac:dyDescent="0.3">
      <c r="B69" t="s">
        <v>47</v>
      </c>
      <c r="C69" s="22" t="s">
        <v>387</v>
      </c>
      <c r="D69" s="22" t="s">
        <v>387</v>
      </c>
      <c r="E69" s="22">
        <v>5197188</v>
      </c>
    </row>
    <row r="70" spans="2:5" x14ac:dyDescent="0.3">
      <c r="B70" t="s">
        <v>48</v>
      </c>
      <c r="C70" s="22" t="s">
        <v>387</v>
      </c>
      <c r="D70" s="22" t="s">
        <v>387</v>
      </c>
      <c r="E70" s="22">
        <v>416458</v>
      </c>
    </row>
    <row r="71" spans="2:5" x14ac:dyDescent="0.3">
      <c r="B71" t="s">
        <v>49</v>
      </c>
      <c r="C71" s="22" t="s">
        <v>387</v>
      </c>
      <c r="D71" s="22" t="s">
        <v>387</v>
      </c>
      <c r="E71" s="22">
        <v>30775884</v>
      </c>
    </row>
    <row r="72" spans="2:5" x14ac:dyDescent="0.3">
      <c r="B72" t="s">
        <v>50</v>
      </c>
      <c r="C72" s="22" t="s">
        <v>387</v>
      </c>
      <c r="D72" s="22" t="s">
        <v>387</v>
      </c>
      <c r="E72" s="22">
        <v>54292</v>
      </c>
    </row>
    <row r="73" spans="2:5" x14ac:dyDescent="0.3">
      <c r="B73" t="s">
        <v>51</v>
      </c>
      <c r="C73" s="22" t="s">
        <v>387</v>
      </c>
      <c r="D73" s="22" t="s">
        <v>387</v>
      </c>
      <c r="E73" s="22">
        <v>37886789</v>
      </c>
    </row>
    <row r="74" spans="2:5" x14ac:dyDescent="0.3">
      <c r="B74" s="2" t="s">
        <v>52</v>
      </c>
      <c r="C74" s="31" t="s">
        <v>387</v>
      </c>
      <c r="D74" s="31" t="s">
        <v>387</v>
      </c>
      <c r="E74" s="31">
        <v>1272927883</v>
      </c>
    </row>
    <row r="75" spans="2:5" x14ac:dyDescent="0.3">
      <c r="B75" s="2" t="s">
        <v>102</v>
      </c>
      <c r="C75" s="1"/>
      <c r="D75" s="1"/>
      <c r="E75" s="1"/>
    </row>
    <row r="76" spans="2:5" ht="28.8" x14ac:dyDescent="0.3">
      <c r="B76" s="3" t="s">
        <v>103</v>
      </c>
      <c r="C76" s="22" t="s">
        <v>387</v>
      </c>
      <c r="D76" s="22" t="s">
        <v>387</v>
      </c>
      <c r="E76" s="22">
        <v>40916958</v>
      </c>
    </row>
    <row r="77" spans="2:5" x14ac:dyDescent="0.3">
      <c r="B77" t="s">
        <v>53</v>
      </c>
      <c r="C77" s="22" t="s">
        <v>387</v>
      </c>
      <c r="D77" s="22" t="s">
        <v>387</v>
      </c>
      <c r="E77" s="22">
        <v>8387701</v>
      </c>
    </row>
    <row r="78" spans="2:5" x14ac:dyDescent="0.3">
      <c r="B78" t="s">
        <v>54</v>
      </c>
      <c r="C78" s="22" t="s">
        <v>387</v>
      </c>
      <c r="D78" s="22" t="s">
        <v>387</v>
      </c>
      <c r="E78" s="22">
        <v>5182185</v>
      </c>
    </row>
    <row r="79" spans="2:5" x14ac:dyDescent="0.3">
      <c r="B79" t="s">
        <v>55</v>
      </c>
      <c r="C79" s="22" t="s">
        <v>387</v>
      </c>
      <c r="D79" s="22" t="s">
        <v>387</v>
      </c>
      <c r="E79" s="22">
        <v>79937405</v>
      </c>
    </row>
    <row r="80" spans="2:5" x14ac:dyDescent="0.3">
      <c r="B80" s="2" t="s">
        <v>56</v>
      </c>
      <c r="C80" s="31" t="s">
        <v>387</v>
      </c>
      <c r="D80" s="31" t="s">
        <v>387</v>
      </c>
      <c r="E80" s="31">
        <v>134424249</v>
      </c>
    </row>
    <row r="81" spans="1:5" x14ac:dyDescent="0.3">
      <c r="B81" t="s">
        <v>24</v>
      </c>
      <c r="C81" s="22" t="s">
        <v>387</v>
      </c>
      <c r="D81" s="22" t="s">
        <v>387</v>
      </c>
      <c r="E81" s="22">
        <v>1589234</v>
      </c>
    </row>
    <row r="82" spans="1:5" x14ac:dyDescent="0.3">
      <c r="B82" s="2" t="s">
        <v>57</v>
      </c>
      <c r="C82" s="21" t="s">
        <v>387</v>
      </c>
      <c r="D82" s="31" t="s">
        <v>387</v>
      </c>
      <c r="E82" s="31">
        <v>136013483</v>
      </c>
    </row>
    <row r="83" spans="1:5" ht="15" thickBot="1" x14ac:dyDescent="0.35">
      <c r="B83" s="2" t="s">
        <v>58</v>
      </c>
      <c r="C83" s="24" t="s">
        <v>387</v>
      </c>
      <c r="D83" s="24" t="s">
        <v>387</v>
      </c>
      <c r="E83" s="24">
        <v>1408941366</v>
      </c>
    </row>
    <row r="84" spans="1:5" ht="15" thickTop="1" x14ac:dyDescent="0.3">
      <c r="B84" t="s">
        <v>59</v>
      </c>
      <c r="C84" s="22" t="s">
        <v>387</v>
      </c>
      <c r="D84" s="22" t="s">
        <v>387</v>
      </c>
      <c r="E84" s="22">
        <v>580961807</v>
      </c>
    </row>
    <row r="85" spans="1:5" x14ac:dyDescent="0.3">
      <c r="B85" s="2" t="s">
        <v>60</v>
      </c>
      <c r="C85" s="25" t="s">
        <v>387</v>
      </c>
      <c r="D85" s="25" t="s">
        <v>387</v>
      </c>
      <c r="E85" s="25">
        <v>130.83000000000001</v>
      </c>
    </row>
    <row r="86" spans="1:5" x14ac:dyDescent="0.3">
      <c r="A86" s="18"/>
      <c r="B86" s="18" t="s">
        <v>122</v>
      </c>
      <c r="C86" s="19"/>
      <c r="D86" s="19"/>
      <c r="E86" s="19"/>
    </row>
    <row r="87" spans="1:5" x14ac:dyDescent="0.3">
      <c r="A87" s="18"/>
      <c r="B87" s="18" t="s">
        <v>121</v>
      </c>
      <c r="C87" s="27" t="s">
        <v>387</v>
      </c>
      <c r="D87" s="27" t="s">
        <v>387</v>
      </c>
      <c r="E87" s="27">
        <v>5062</v>
      </c>
    </row>
    <row r="88" spans="1:5" x14ac:dyDescent="0.3">
      <c r="A88" s="18"/>
      <c r="B88" s="18" t="s">
        <v>61</v>
      </c>
      <c r="C88" s="27" t="s">
        <v>387</v>
      </c>
      <c r="D88" s="27" t="s">
        <v>387</v>
      </c>
      <c r="E88" s="27">
        <v>287</v>
      </c>
    </row>
    <row r="89" spans="1:5" x14ac:dyDescent="0.3">
      <c r="C89" s="1"/>
      <c r="D89" s="12"/>
      <c r="E89" s="12"/>
    </row>
    <row r="90" spans="1:5" x14ac:dyDescent="0.3">
      <c r="A90" s="28"/>
      <c r="B90" s="28" t="s">
        <v>144</v>
      </c>
      <c r="C90" s="29" t="e">
        <f t="shared" ref="C90:E90" si="1">SUM(C45:C61)-SUM(C64:C73)-SUM(C76:C79)-C81</f>
        <v>#VALUE!</v>
      </c>
      <c r="D90" s="29" t="e">
        <f t="shared" si="1"/>
        <v>#VALUE!</v>
      </c>
      <c r="E90" s="29">
        <f t="shared" si="1"/>
        <v>4982239</v>
      </c>
    </row>
    <row r="91" spans="1:5" x14ac:dyDescent="0.3">
      <c r="C91" s="1"/>
      <c r="D91" s="1"/>
      <c r="E91" s="1"/>
    </row>
    <row r="92" spans="1:5" x14ac:dyDescent="0.3">
      <c r="B92" t="s">
        <v>364</v>
      </c>
      <c r="C92" s="88" t="s">
        <v>387</v>
      </c>
      <c r="D92" s="88" t="s">
        <v>387</v>
      </c>
      <c r="E92" s="88">
        <v>1408941366</v>
      </c>
    </row>
    <row r="93" spans="1:5" x14ac:dyDescent="0.3">
      <c r="C93" s="1"/>
      <c r="D93" s="1"/>
      <c r="E93" s="1"/>
    </row>
    <row r="94" spans="1:5" x14ac:dyDescent="0.3">
      <c r="A94" s="7"/>
      <c r="B94" s="10" t="s">
        <v>116</v>
      </c>
      <c r="C94" s="11"/>
      <c r="D94" s="11"/>
      <c r="E94" s="11"/>
    </row>
    <row r="95" spans="1:5" x14ac:dyDescent="0.3">
      <c r="C95" s="1"/>
      <c r="D95" s="1"/>
      <c r="E95" s="1"/>
    </row>
    <row r="96" spans="1:5" x14ac:dyDescent="0.3">
      <c r="B96" t="s">
        <v>63</v>
      </c>
      <c r="C96" s="22" t="s">
        <v>387</v>
      </c>
      <c r="D96" s="22" t="s">
        <v>387</v>
      </c>
      <c r="E96" s="22">
        <v>22339105</v>
      </c>
    </row>
    <row r="97" spans="2:5" x14ac:dyDescent="0.3">
      <c r="B97" t="s">
        <v>105</v>
      </c>
      <c r="C97" s="1"/>
      <c r="D97" s="1"/>
      <c r="E97" s="1"/>
    </row>
    <row r="98" spans="2:5" x14ac:dyDescent="0.3">
      <c r="B98" t="s">
        <v>104</v>
      </c>
      <c r="C98" s="22" t="s">
        <v>387</v>
      </c>
      <c r="D98" s="22" t="s">
        <v>387</v>
      </c>
      <c r="E98" s="22">
        <v>13702213</v>
      </c>
    </row>
    <row r="99" spans="2:5" x14ac:dyDescent="0.3">
      <c r="B99" t="s">
        <v>64</v>
      </c>
      <c r="C99" s="22" t="s">
        <v>387</v>
      </c>
      <c r="D99" s="22" t="s">
        <v>387</v>
      </c>
      <c r="E99" s="22">
        <v>-74749286</v>
      </c>
    </row>
    <row r="100" spans="2:5" x14ac:dyDescent="0.3">
      <c r="B100" t="s">
        <v>65</v>
      </c>
      <c r="C100" s="22" t="s">
        <v>387</v>
      </c>
      <c r="D100" s="22" t="s">
        <v>387</v>
      </c>
      <c r="E100" s="22">
        <v>65515273</v>
      </c>
    </row>
    <row r="101" spans="2:5" x14ac:dyDescent="0.3">
      <c r="B101" t="s">
        <v>66</v>
      </c>
      <c r="C101" s="22" t="s">
        <v>387</v>
      </c>
      <c r="D101" s="22" t="s">
        <v>387</v>
      </c>
      <c r="E101" s="22">
        <v>-7958</v>
      </c>
    </row>
    <row r="102" spans="2:5" x14ac:dyDescent="0.3">
      <c r="B102" t="s">
        <v>67</v>
      </c>
      <c r="C102" s="22" t="s">
        <v>387</v>
      </c>
      <c r="D102" s="22" t="s">
        <v>387</v>
      </c>
      <c r="E102" s="22" t="s">
        <v>387</v>
      </c>
    </row>
    <row r="103" spans="2:5" x14ac:dyDescent="0.3">
      <c r="B103" t="s">
        <v>68</v>
      </c>
      <c r="C103" s="22" t="s">
        <v>387</v>
      </c>
      <c r="D103" s="22" t="s">
        <v>387</v>
      </c>
      <c r="E103" s="22">
        <v>85397</v>
      </c>
    </row>
    <row r="104" spans="2:5" x14ac:dyDescent="0.3">
      <c r="B104" t="s">
        <v>69</v>
      </c>
      <c r="C104" s="22" t="s">
        <v>387</v>
      </c>
      <c r="D104" s="22" t="s">
        <v>387</v>
      </c>
      <c r="E104" s="22">
        <v>3848979</v>
      </c>
    </row>
    <row r="105" spans="2:5" x14ac:dyDescent="0.3">
      <c r="B105" t="s">
        <v>70</v>
      </c>
      <c r="C105" s="22" t="s">
        <v>387</v>
      </c>
      <c r="D105" s="22" t="s">
        <v>387</v>
      </c>
      <c r="E105" s="22">
        <v>-399787</v>
      </c>
    </row>
    <row r="106" spans="2:5" x14ac:dyDescent="0.3">
      <c r="B106" t="s">
        <v>71</v>
      </c>
      <c r="C106" s="22" t="s">
        <v>387</v>
      </c>
      <c r="D106" s="22" t="s">
        <v>387</v>
      </c>
      <c r="E106" s="22">
        <v>-194728</v>
      </c>
    </row>
    <row r="107" spans="2:5" x14ac:dyDescent="0.3">
      <c r="B107" t="s">
        <v>72</v>
      </c>
      <c r="C107" s="22" t="s">
        <v>387</v>
      </c>
      <c r="D107" s="22" t="s">
        <v>387</v>
      </c>
      <c r="E107" s="22">
        <v>-8087930</v>
      </c>
    </row>
    <row r="108" spans="2:5" x14ac:dyDescent="0.3">
      <c r="B108" t="s">
        <v>73</v>
      </c>
      <c r="C108" s="22" t="s">
        <v>387</v>
      </c>
      <c r="D108" s="22" t="s">
        <v>387</v>
      </c>
      <c r="E108" s="22" t="s">
        <v>387</v>
      </c>
    </row>
    <row r="109" spans="2:5" x14ac:dyDescent="0.3">
      <c r="B109" s="2" t="s">
        <v>74</v>
      </c>
      <c r="C109" s="22" t="s">
        <v>387</v>
      </c>
      <c r="D109" s="22" t="s">
        <v>387</v>
      </c>
      <c r="E109" s="22">
        <v>21865986</v>
      </c>
    </row>
    <row r="110" spans="2:5" x14ac:dyDescent="0.3">
      <c r="B110" s="2" t="s">
        <v>107</v>
      </c>
      <c r="C110" s="1"/>
      <c r="D110" s="1"/>
      <c r="E110" s="1"/>
    </row>
    <row r="111" spans="2:5" x14ac:dyDescent="0.3">
      <c r="B111" t="s">
        <v>106</v>
      </c>
      <c r="C111" s="22" t="s">
        <v>387</v>
      </c>
      <c r="D111" s="22" t="s">
        <v>387</v>
      </c>
      <c r="E111" s="22">
        <v>-1307244</v>
      </c>
    </row>
    <row r="112" spans="2:5" x14ac:dyDescent="0.3">
      <c r="B112" t="s">
        <v>75</v>
      </c>
      <c r="C112" s="22" t="s">
        <v>387</v>
      </c>
      <c r="D112" s="22" t="s">
        <v>387</v>
      </c>
      <c r="E112" s="22">
        <v>11025</v>
      </c>
    </row>
    <row r="113" spans="2:5" x14ac:dyDescent="0.3">
      <c r="B113" t="s">
        <v>76</v>
      </c>
      <c r="C113" s="22" t="s">
        <v>387</v>
      </c>
      <c r="D113" s="22" t="s">
        <v>387</v>
      </c>
      <c r="E113" s="22">
        <v>-95031</v>
      </c>
    </row>
    <row r="114" spans="2:5" x14ac:dyDescent="0.3">
      <c r="B114" t="s">
        <v>77</v>
      </c>
      <c r="C114" s="22" t="s">
        <v>387</v>
      </c>
      <c r="D114" s="22" t="s">
        <v>387</v>
      </c>
      <c r="E114" s="22">
        <v>3428080</v>
      </c>
    </row>
    <row r="115" spans="2:5" x14ac:dyDescent="0.3">
      <c r="B115" t="s">
        <v>78</v>
      </c>
      <c r="C115" s="22" t="s">
        <v>387</v>
      </c>
      <c r="D115" s="22" t="s">
        <v>387</v>
      </c>
      <c r="E115" s="22">
        <v>-387432</v>
      </c>
    </row>
    <row r="116" spans="2:5" x14ac:dyDescent="0.3">
      <c r="B116" t="s">
        <v>68</v>
      </c>
      <c r="C116" s="22" t="s">
        <v>387</v>
      </c>
      <c r="D116" t="s">
        <v>387</v>
      </c>
      <c r="E116" s="22">
        <v>85397</v>
      </c>
    </row>
    <row r="117" spans="2:5" x14ac:dyDescent="0.3">
      <c r="B117" t="s">
        <v>97</v>
      </c>
      <c r="C117" s="22" t="s">
        <v>387</v>
      </c>
      <c r="D117" s="22" t="s">
        <v>387</v>
      </c>
      <c r="E117" s="22">
        <v>21503</v>
      </c>
    </row>
    <row r="118" spans="2:5" x14ac:dyDescent="0.3">
      <c r="B118" s="2" t="s">
        <v>79</v>
      </c>
      <c r="C118" s="22" t="s">
        <v>387</v>
      </c>
      <c r="D118" s="22" t="s">
        <v>387</v>
      </c>
      <c r="E118" s="22">
        <v>1001641</v>
      </c>
    </row>
    <row r="119" spans="2:5" x14ac:dyDescent="0.3">
      <c r="B119" s="2" t="s">
        <v>109</v>
      </c>
      <c r="C119" s="1"/>
      <c r="D119" s="1"/>
      <c r="E119" s="1"/>
    </row>
    <row r="120" spans="2:5" x14ac:dyDescent="0.3">
      <c r="B120" t="s">
        <v>108</v>
      </c>
      <c r="C120" s="1" t="s">
        <v>387</v>
      </c>
      <c r="D120" s="22" t="s">
        <v>387</v>
      </c>
      <c r="E120" s="22" t="s">
        <v>387</v>
      </c>
    </row>
    <row r="121" spans="2:5" x14ac:dyDescent="0.3">
      <c r="B121" t="s">
        <v>80</v>
      </c>
      <c r="C121" s="22" t="s">
        <v>387</v>
      </c>
      <c r="D121" s="22" t="s">
        <v>387</v>
      </c>
      <c r="E121" s="22">
        <v>10000000</v>
      </c>
    </row>
    <row r="122" spans="2:5" x14ac:dyDescent="0.3">
      <c r="B122" t="s">
        <v>81</v>
      </c>
      <c r="C122" s="22" t="s">
        <v>387</v>
      </c>
      <c r="D122" s="22" t="s">
        <v>387</v>
      </c>
      <c r="E122" s="22" t="s">
        <v>387</v>
      </c>
    </row>
    <row r="123" spans="2:5" x14ac:dyDescent="0.3">
      <c r="B123" t="s">
        <v>82</v>
      </c>
      <c r="C123" s="22" t="s">
        <v>387</v>
      </c>
      <c r="D123" s="22" t="s">
        <v>387</v>
      </c>
      <c r="E123" s="22">
        <v>-3873107</v>
      </c>
    </row>
    <row r="124" spans="2:5" x14ac:dyDescent="0.3">
      <c r="B124" t="s">
        <v>83</v>
      </c>
      <c r="C124" t="s">
        <v>387</v>
      </c>
      <c r="D124" t="s">
        <v>387</v>
      </c>
      <c r="E124" s="22" t="s">
        <v>387</v>
      </c>
    </row>
    <row r="125" spans="2:5" x14ac:dyDescent="0.3">
      <c r="B125" t="s">
        <v>84</v>
      </c>
      <c r="C125" s="22" t="s">
        <v>387</v>
      </c>
      <c r="D125" s="22" t="s">
        <v>387</v>
      </c>
      <c r="E125" s="22">
        <v>157137</v>
      </c>
    </row>
    <row r="126" spans="2:5" x14ac:dyDescent="0.3">
      <c r="B126" t="s">
        <v>85</v>
      </c>
      <c r="C126" s="22" t="s">
        <v>387</v>
      </c>
      <c r="D126" s="22" t="s">
        <v>387</v>
      </c>
      <c r="E126" s="22">
        <v>-4857760</v>
      </c>
    </row>
    <row r="127" spans="2:5" x14ac:dyDescent="0.3">
      <c r="B127" s="2" t="s">
        <v>86</v>
      </c>
      <c r="C127" s="22" t="s">
        <v>387</v>
      </c>
      <c r="D127" s="22" t="s">
        <v>387</v>
      </c>
      <c r="E127" s="22">
        <v>-9866079</v>
      </c>
    </row>
    <row r="128" spans="2:5" x14ac:dyDescent="0.3">
      <c r="B128" t="s">
        <v>87</v>
      </c>
      <c r="C128" s="22" t="s">
        <v>387</v>
      </c>
      <c r="D128" s="22" t="s">
        <v>387</v>
      </c>
      <c r="E128" s="22">
        <v>13001548</v>
      </c>
    </row>
    <row r="129" spans="2:5" x14ac:dyDescent="0.3">
      <c r="B129" t="s">
        <v>88</v>
      </c>
      <c r="C129" s="22" t="s">
        <v>387</v>
      </c>
      <c r="D129" s="22" t="s">
        <v>387</v>
      </c>
      <c r="E129" s="22">
        <v>39538889</v>
      </c>
    </row>
    <row r="130" spans="2:5" x14ac:dyDescent="0.3">
      <c r="B130" t="s">
        <v>89</v>
      </c>
      <c r="C130" s="22" t="s">
        <v>387</v>
      </c>
      <c r="D130" s="22" t="s">
        <v>387</v>
      </c>
      <c r="E130" s="22">
        <v>52540437</v>
      </c>
    </row>
    <row r="131" spans="2:5" x14ac:dyDescent="0.3">
      <c r="B131" t="s">
        <v>90</v>
      </c>
      <c r="C131" s="22" t="s">
        <v>387</v>
      </c>
      <c r="D131" s="22" t="s">
        <v>387</v>
      </c>
      <c r="E131" s="22">
        <v>-5707</v>
      </c>
    </row>
    <row r="132" spans="2:5" x14ac:dyDescent="0.3">
      <c r="B132" s="2" t="s">
        <v>91</v>
      </c>
      <c r="C132" s="22" t="s">
        <v>387</v>
      </c>
      <c r="D132" s="22" t="s">
        <v>387</v>
      </c>
      <c r="E132" s="22">
        <v>52534730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FS (2)</vt:lpstr>
      <vt:lpstr>Cover</vt:lpstr>
      <vt:lpstr>FS</vt:lpstr>
      <vt:lpstr>Drivers</vt:lpstr>
      <vt:lpstr>Ratios</vt:lpstr>
      <vt:lpstr>Quarterly</vt:lpstr>
      <vt:lpstr>Sheet1</vt:lpstr>
      <vt:lpstr>Drivers!Print_Area</vt:lpstr>
      <vt:lpstr>FS!Print_Area</vt:lpstr>
      <vt:lpstr>Drivers!Print_Titles</vt:lpstr>
      <vt:lpstr>FS!Print_Titles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Hansinee Beddage</dc:creator>
  <cp:lastModifiedBy>Kavithra Methnula</cp:lastModifiedBy>
  <cp:lastPrinted>2023-10-03T02:55:37Z</cp:lastPrinted>
  <dcterms:created xsi:type="dcterms:W3CDTF">2023-09-14T04:39:27Z</dcterms:created>
  <dcterms:modified xsi:type="dcterms:W3CDTF">2026-07-20T10:17:45Z</dcterms:modified>
</cp:coreProperties>
</file>