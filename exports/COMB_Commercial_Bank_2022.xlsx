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2" autoFilterDateGrouping="1"/>
  </bookViews>
  <sheets>
    <sheet name="Cover" sheetId="1" state="visible" r:id="rId1"/>
    <sheet name="FS" sheetId="2" state="visible" r:id="rId2"/>
    <sheet name="Drivers" sheetId="3" state="visible" r:id="rId3"/>
    <sheet name="Ratios" sheetId="4" state="visible" r:id="rId4"/>
    <sheet name="Quarterly" sheetId="5" state="visible" r:id="rId5"/>
  </sheets>
  <definedNames>
    <definedName name="_xlnm.Print_Titles" localSheetId="1">'FS'!$4:$4</definedName>
    <definedName name="_xlnm.Print_Area" localSheetId="1">'FS'!$A$1:$R$133</definedName>
    <definedName name="_xlnm.Print_Titles" localSheetId="2">'Drivers'!$4:$4</definedName>
    <definedName name="_xlnm.Print_Area" localSheetId="2">'Drivers'!$A$107:$H$520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_(* #,##0.000_);_(* \(#,##0.000\);_(* &quot;-&quot;??_);_(@_)"/>
    <numFmt numFmtId="166" formatCode="0.000"/>
    <numFmt numFmtId="167" formatCode="0.0000"/>
    <numFmt numFmtId="168" formatCode="0.0%"/>
    <numFmt numFmtId="169" formatCode="0.0000%"/>
    <numFmt numFmtId="170" formatCode="0.00\x"/>
  </numFmts>
  <fonts count="3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8" tint="-0.249977111117893"/>
      <sz val="11"/>
      <scheme val="minor"/>
    </font>
    <font>
      <name val="Calibri"/>
      <family val="2"/>
      <i val="1"/>
      <color theme="8" tint="-0.249977111117893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color rgb="FF0070C0"/>
      <sz val="11"/>
      <scheme val="minor"/>
    </font>
    <font>
      <name val="Book Antiqua"/>
      <family val="1"/>
      <sz val="9"/>
    </font>
    <font>
      <name val="Calibri"/>
      <family val="2"/>
      <sz val="8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rgb="FF6C757D"/>
      <sz val="9"/>
    </font>
    <font>
      <name val="Arial"/>
      <family val="2"/>
      <b val="1"/>
      <color rgb="FF333333"/>
      <sz val="8"/>
    </font>
    <font>
      <name val="Arial"/>
      <family val="2"/>
      <color rgb="FF333333"/>
      <sz val="8"/>
    </font>
    <font>
      <name val="Calibri"/>
      <family val="2"/>
      <b val="1"/>
      <color theme="0"/>
      <sz val="10"/>
      <scheme val="minor"/>
    </font>
    <font>
      <name val="Times New Roman"/>
      <family val="1"/>
      <b val="1"/>
      <color indexed="8"/>
      <sz val="14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Times New Roman"/>
      <family val="1"/>
      <color indexed="8"/>
      <sz val="12"/>
      <vertAlign val="superscript"/>
    </font>
    <font>
      <name val="Calibri"/>
      <family val="2"/>
      <color indexed="8"/>
      <sz val="11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b val="1"/>
      <sz val="12"/>
      <vertAlign val="superscript"/>
    </font>
    <font>
      <name val="Times New Roman"/>
      <family val="1"/>
      <b val="1"/>
      <sz val="14"/>
    </font>
    <font>
      <name val="Times New Roman"/>
      <family val="1"/>
      <i val="1"/>
      <color indexed="8"/>
      <sz val="12"/>
    </font>
    <font>
      <name val="Times New Roman"/>
      <family val="1"/>
      <i val="1"/>
      <sz val="12"/>
    </font>
  </fonts>
  <fills count="1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rgb="FFE4E4E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1" fillId="0" borderId="0"/>
    <xf numFmtId="43" fontId="1" fillId="0" borderId="0"/>
    <xf numFmtId="9" fontId="1" fillId="0" borderId="0"/>
    <xf numFmtId="43" fontId="27" fillId="0" borderId="0"/>
  </cellStyleXfs>
  <cellXfs count="241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1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1" fontId="0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2" fillId="2" borderId="0" pivotButton="0" quotePrefix="0" xfId="0"/>
    <xf numFmtId="1" fontId="5" fillId="2" borderId="0" pivotButton="0" quotePrefix="0" xfId="1"/>
    <xf numFmtId="164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2" pivotButton="0" quotePrefix="0" xfId="0"/>
    <xf numFmtId="0" fontId="0" fillId="0" borderId="0" applyAlignment="1" pivotButton="0" quotePrefix="0" xfId="0">
      <alignment horizontal="right"/>
    </xf>
    <xf numFmtId="0" fontId="0" fillId="0" borderId="2" pivotButton="0" quotePrefix="0" xfId="0"/>
    <xf numFmtId="0" fontId="8" fillId="0" borderId="0" pivotButton="0" quotePrefix="0" xfId="0"/>
    <xf numFmtId="43" fontId="8" fillId="0" borderId="0" pivotButton="0" quotePrefix="0" xfId="1"/>
    <xf numFmtId="164" fontId="0" fillId="3" borderId="0" pivotButton="0" quotePrefix="0" xfId="1"/>
    <xf numFmtId="0" fontId="0" fillId="0" borderId="0" applyAlignment="1" pivotButton="0" quotePrefix="0" xfId="0">
      <alignment horizontal="left" indent="2"/>
    </xf>
    <xf numFmtId="164" fontId="0" fillId="0" borderId="3" pivotButton="0" quotePrefix="0" xfId="1"/>
    <xf numFmtId="164" fontId="9" fillId="0" borderId="1" pivotButton="0" quotePrefix="0" xfId="1"/>
    <xf numFmtId="164" fontId="9" fillId="0" borderId="0" pivotButton="0" quotePrefix="0" xfId="1"/>
    <xf numFmtId="164" fontId="9" fillId="0" borderId="0" pivotButton="0" quotePrefix="0" xfId="1"/>
    <xf numFmtId="164" fontId="9" fillId="0" borderId="2" pivotButton="0" quotePrefix="0" xfId="1"/>
    <xf numFmtId="43" fontId="9" fillId="0" borderId="0" pivotButton="0" quotePrefix="0" xfId="1"/>
    <xf numFmtId="164" fontId="9" fillId="0" borderId="0" pivotButton="0" quotePrefix="0" xfId="1"/>
    <xf numFmtId="164" fontId="10" fillId="0" borderId="0" pivotButton="0" quotePrefix="0" xfId="1"/>
    <xf numFmtId="0" fontId="3" fillId="0" borderId="0" pivotButton="0" quotePrefix="0" xfId="0"/>
    <xf numFmtId="164" fontId="3" fillId="0" borderId="0" pivotButton="0" quotePrefix="0" xfId="1"/>
    <xf numFmtId="164" fontId="3" fillId="0" borderId="0" applyAlignment="1" pivotButton="0" quotePrefix="0" xfId="1">
      <alignment horizontal="right"/>
    </xf>
    <xf numFmtId="164" fontId="9" fillId="0" borderId="3" pivotButton="0" quotePrefix="0" xfId="1"/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1" fillId="0" borderId="0" pivotButton="0" quotePrefix="0" xfId="0"/>
    <xf numFmtId="0" fontId="11" fillId="0" borderId="0" applyAlignment="1" pivotButton="0" quotePrefix="0" xfId="0">
      <alignment horizontal="left" indent="1"/>
    </xf>
    <xf numFmtId="0" fontId="0" fillId="4" borderId="0" pivotButton="0" quotePrefix="0" xfId="0"/>
    <xf numFmtId="164" fontId="0" fillId="4" borderId="0" pivotButton="0" quotePrefix="0" xfId="1"/>
    <xf numFmtId="165" fontId="0" fillId="0" borderId="0" pivotButton="0" quotePrefix="0" xfId="1"/>
    <xf numFmtId="0" fontId="2" fillId="5" borderId="0" pivotButton="0" quotePrefix="0" xfId="0"/>
    <xf numFmtId="164" fontId="3" fillId="0" borderId="0" pivotButton="0" quotePrefix="0" xfId="0"/>
    <xf numFmtId="164" fontId="11" fillId="0" borderId="3" pivotButton="0" quotePrefix="0" xfId="1"/>
    <xf numFmtId="164" fontId="5" fillId="2" borderId="0" pivotButton="0" quotePrefix="0" xfId="0"/>
    <xf numFmtId="164" fontId="0" fillId="0" borderId="3" pivotButton="0" quotePrefix="0" xfId="0"/>
    <xf numFmtId="164" fontId="8" fillId="0" borderId="0" pivotButton="0" quotePrefix="0" xfId="0"/>
    <xf numFmtId="0" fontId="3" fillId="0" borderId="0" applyAlignment="1" pivotButton="0" quotePrefix="0" xfId="0">
      <alignment wrapText="1"/>
    </xf>
    <xf numFmtId="1" fontId="2" fillId="2" borderId="0" pivotButton="0" quotePrefix="0" xfId="1"/>
    <xf numFmtId="0" fontId="0" fillId="0" borderId="0" applyAlignment="1" pivotButton="0" quotePrefix="0" xfId="0">
      <alignment horizontal="left" wrapText="1" indent="2"/>
    </xf>
    <xf numFmtId="164" fontId="11" fillId="0" borderId="0" pivotButton="0" quotePrefix="0" xfId="1"/>
    <xf numFmtId="43" fontId="9" fillId="0" borderId="0" pivotButton="0" quotePrefix="0" xfId="0"/>
    <xf numFmtId="164" fontId="11" fillId="0" borderId="0" pivotButton="0" quotePrefix="0" xfId="1"/>
    <xf numFmtId="164" fontId="11" fillId="0" borderId="0" pivotButton="0" quotePrefix="0" xfId="0"/>
    <xf numFmtId="164" fontId="11" fillId="0" borderId="3" pivotButton="0" quotePrefix="0" xfId="0"/>
    <xf numFmtId="164" fontId="11" fillId="3" borderId="0" pivotButton="0" quotePrefix="0" xfId="1"/>
    <xf numFmtId="164" fontId="11" fillId="3" borderId="0" pivotButton="0" quotePrefix="0" xfId="0"/>
    <xf numFmtId="43" fontId="11" fillId="0" borderId="0" pivotButton="0" quotePrefix="0" xfId="1"/>
    <xf numFmtId="164" fontId="11" fillId="3" borderId="0" pivotButton="0" quotePrefix="0" xfId="1"/>
    <xf numFmtId="0" fontId="11" fillId="3" borderId="0" pivotButton="0" quotePrefix="0" xfId="0"/>
    <xf numFmtId="0" fontId="11" fillId="0" borderId="3" pivotButton="0" quotePrefix="0" xfId="0"/>
    <xf numFmtId="1" fontId="11" fillId="2" borderId="0" pivotButton="0" quotePrefix="0" xfId="1"/>
    <xf numFmtId="0" fontId="11" fillId="2" borderId="0" pivotButton="0" quotePrefix="0" xfId="0"/>
    <xf numFmtId="164" fontId="11" fillId="0" borderId="0" pivotButton="0" quotePrefix="0" xfId="1"/>
    <xf numFmtId="9" fontId="11" fillId="0" borderId="0" pivotButton="0" quotePrefix="0" xfId="2"/>
    <xf numFmtId="10" fontId="11" fillId="0" borderId="0" pivotButton="0" quotePrefix="0" xfId="2"/>
    <xf numFmtId="3" fontId="11" fillId="0" borderId="0" pivotButton="0" quotePrefix="0" xfId="0"/>
    <xf numFmtId="164" fontId="12" fillId="5" borderId="0" pivotButton="0" quotePrefix="0" xfId="1"/>
    <xf numFmtId="0" fontId="12" fillId="5" borderId="0" pivotButton="0" quotePrefix="0" xfId="0"/>
    <xf numFmtId="9" fontId="9" fillId="0" borderId="0" pivotButton="0" quotePrefix="0" xfId="0"/>
    <xf numFmtId="3" fontId="9" fillId="0" borderId="3" pivotButton="0" quotePrefix="0" xfId="0"/>
    <xf numFmtId="3" fontId="9" fillId="0" borderId="0" pivotButton="0" quotePrefix="0" xfId="0"/>
    <xf numFmtId="0" fontId="0" fillId="6" borderId="0" pivotButton="0" quotePrefix="0" xfId="0"/>
    <xf numFmtId="164" fontId="11" fillId="6" borderId="0" pivotButton="0" quotePrefix="0" xfId="1"/>
    <xf numFmtId="0" fontId="11" fillId="6" borderId="0" pivotButton="0" quotePrefix="0" xfId="0"/>
    <xf numFmtId="164" fontId="11" fillId="0" borderId="0" pivotButton="0" quotePrefix="0" xfId="1"/>
    <xf numFmtId="0" fontId="3" fillId="0" borderId="0" applyAlignment="1" pivotButton="0" quotePrefix="0" xfId="0">
      <alignment horizontal="left" indent="1"/>
    </xf>
    <xf numFmtId="10" fontId="11" fillId="0" borderId="0" pivotButton="0" quotePrefix="0" xfId="2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5"/>
    </xf>
    <xf numFmtId="164" fontId="11" fillId="0" borderId="2" pivotButton="0" quotePrefix="0" xfId="1"/>
    <xf numFmtId="10" fontId="9" fillId="0" borderId="0" pivotButton="0" quotePrefix="0" xfId="2"/>
    <xf numFmtId="164" fontId="9" fillId="0" borderId="3" pivotButton="0" quotePrefix="0" xfId="1"/>
    <xf numFmtId="10" fontId="9" fillId="0" borderId="0" pivotButton="0" quotePrefix="0" xfId="0"/>
    <xf numFmtId="0" fontId="13" fillId="0" borderId="0" applyAlignment="1" pivotButton="0" quotePrefix="0" xfId="0">
      <alignment horizontal="center"/>
    </xf>
    <xf numFmtId="10" fontId="11" fillId="0" borderId="3" pivotButton="0" quotePrefix="0" xfId="2"/>
    <xf numFmtId="10" fontId="9" fillId="0" borderId="0" pivotButton="0" quotePrefix="0" xfId="2"/>
    <xf numFmtId="16" fontId="0" fillId="4" borderId="0" pivotButton="0" quotePrefix="0" xfId="0"/>
    <xf numFmtId="0" fontId="2" fillId="5" borderId="0" applyAlignment="1" pivotButton="0" quotePrefix="0" xfId="0">
      <alignment horizontal="right"/>
    </xf>
    <xf numFmtId="9" fontId="11" fillId="0" borderId="0" pivotButton="0" quotePrefix="0" xfId="0"/>
    <xf numFmtId="10" fontId="11" fillId="0" borderId="0" pivotButton="0" quotePrefix="0" xfId="0"/>
    <xf numFmtId="17" fontId="0" fillId="4" borderId="0" pivotButton="0" quotePrefix="0" xfId="0"/>
    <xf numFmtId="10" fontId="0" fillId="0" borderId="0" pivotButton="0" quotePrefix="0" xfId="2"/>
    <xf numFmtId="16" fontId="0" fillId="0" borderId="0" pivotButton="0" quotePrefix="0" xfId="0"/>
    <xf numFmtId="17" fontId="0" fillId="0" borderId="0" pivotButton="0" quotePrefix="0" xfId="0"/>
    <xf numFmtId="10" fontId="14" fillId="0" borderId="0" pivotButton="0" quotePrefix="0" xfId="2"/>
    <xf numFmtId="3" fontId="0" fillId="0" borderId="3" pivotButton="0" quotePrefix="0" xfId="0"/>
    <xf numFmtId="43" fontId="0" fillId="0" borderId="0" pivotButton="0" quotePrefix="0" xfId="0"/>
    <xf numFmtId="164" fontId="0" fillId="7" borderId="1" pivotButton="0" quotePrefix="0" xfId="0"/>
    <xf numFmtId="164" fontId="0" fillId="7" borderId="0" pivotButton="0" quotePrefix="0" xfId="0"/>
    <xf numFmtId="164" fontId="0" fillId="7" borderId="2" pivotButton="0" quotePrefix="0" xfId="0"/>
    <xf numFmtId="43" fontId="0" fillId="7" borderId="0" pivotButton="0" quotePrefix="0" xfId="0"/>
    <xf numFmtId="164" fontId="3" fillId="7" borderId="0" applyAlignment="1" pivotButton="0" quotePrefix="0" xfId="1">
      <alignment horizontal="right"/>
    </xf>
    <xf numFmtId="1" fontId="0" fillId="0" borderId="0" pivotButton="0" quotePrefix="0" xfId="0"/>
    <xf numFmtId="10" fontId="0" fillId="0" borderId="0" pivotButton="0" quotePrefix="0" xfId="0"/>
    <xf numFmtId="2" fontId="11" fillId="0" borderId="0" pivotButton="0" quotePrefix="0" xfId="0"/>
    <xf numFmtId="165" fontId="0" fillId="7" borderId="0" pivotButton="0" quotePrefix="0" xfId="0"/>
    <xf numFmtId="0" fontId="2" fillId="8" borderId="0" pivotButton="0" quotePrefix="0" xfId="0"/>
    <xf numFmtId="9" fontId="0" fillId="0" borderId="0" pivotButton="0" quotePrefix="0" xfId="0"/>
    <xf numFmtId="166" fontId="0" fillId="0" borderId="0" pivotButton="0" quotePrefix="0" xfId="0"/>
    <xf numFmtId="43" fontId="0" fillId="9" borderId="0" pivotButton="0" quotePrefix="0" xfId="0"/>
    <xf numFmtId="9" fontId="0" fillId="0" borderId="0" pivotButton="0" quotePrefix="0" xfId="2"/>
    <xf numFmtId="167" fontId="0" fillId="0" borderId="0" pivotButton="0" quotePrefix="0" xfId="0"/>
    <xf numFmtId="168" fontId="0" fillId="0" borderId="0" pivotButton="0" quotePrefix="0" xfId="0"/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3" fontId="0" fillId="0" borderId="0" applyAlignment="1" pivotButton="0" quotePrefix="0" xfId="0">
      <alignment horizontal="right"/>
    </xf>
    <xf numFmtId="164" fontId="2" fillId="8" borderId="0" pivotButton="0" quotePrefix="0" xfId="1"/>
    <xf numFmtId="0" fontId="2" fillId="8" borderId="0" applyAlignment="1" pivotButton="0" quotePrefix="0" xfId="0">
      <alignment horizontal="right"/>
    </xf>
    <xf numFmtId="164" fontId="0" fillId="9" borderId="0" pivotButton="0" quotePrefix="0" xfId="1"/>
    <xf numFmtId="43" fontId="0" fillId="9" borderId="0" applyAlignment="1" pivotButton="0" quotePrefix="0" xfId="0">
      <alignment horizontal="right"/>
    </xf>
    <xf numFmtId="0" fontId="0" fillId="9" borderId="0" pivotButton="0" quotePrefix="0" xfId="0"/>
    <xf numFmtId="10" fontId="0" fillId="9" borderId="0" pivotButton="0" quotePrefix="0" xfId="0"/>
    <xf numFmtId="2" fontId="0" fillId="0" borderId="0" pivotButton="0" quotePrefix="0" xfId="0"/>
    <xf numFmtId="2" fontId="0" fillId="9" borderId="0" pivotButton="0" quotePrefix="0" xfId="0"/>
    <xf numFmtId="1" fontId="2" fillId="8" borderId="0" applyAlignment="1" pivotButton="0" quotePrefix="0" xfId="0">
      <alignment horizontal="right"/>
    </xf>
    <xf numFmtId="164" fontId="11" fillId="10" borderId="0" pivotButton="0" quotePrefix="0" xfId="1"/>
    <xf numFmtId="1" fontId="2" fillId="8" borderId="0" applyAlignment="1" pivotButton="0" quotePrefix="0" xfId="0">
      <alignment horizontal="left"/>
    </xf>
    <xf numFmtId="164" fontId="11" fillId="10" borderId="3" pivotButton="0" quotePrefix="0" xfId="1"/>
    <xf numFmtId="164" fontId="11" fillId="0" borderId="4" pivotButton="0" quotePrefix="0" xfId="1"/>
    <xf numFmtId="164" fontId="11" fillId="10" borderId="4" pivotButton="0" quotePrefix="0" xfId="1"/>
    <xf numFmtId="164" fontId="11" fillId="10" borderId="2" pivotButton="0" quotePrefix="0" xfId="1"/>
    <xf numFmtId="169" fontId="0" fillId="0" borderId="0" pivotButton="0" quotePrefix="0" xfId="0"/>
    <xf numFmtId="0" fontId="15" fillId="11" borderId="0" applyAlignment="1" pivotButton="0" quotePrefix="0" xfId="0">
      <alignment horizontal="left" wrapText="1"/>
    </xf>
    <xf numFmtId="17" fontId="15" fillId="11" borderId="0" applyAlignment="1" pivotButton="0" quotePrefix="0" xfId="0">
      <alignment horizontal="left" wrapText="1"/>
    </xf>
    <xf numFmtId="10" fontId="0" fillId="0" borderId="0" pivotButton="0" quotePrefix="0" xfId="2"/>
    <xf numFmtId="10" fontId="0" fillId="0" borderId="0" pivotButton="0" quotePrefix="0" xfId="2"/>
    <xf numFmtId="10" fontId="0" fillId="10" borderId="0" pivotButton="0" quotePrefix="0" xfId="2"/>
    <xf numFmtId="10" fontId="0" fillId="10" borderId="0" pivotButton="0" quotePrefix="0" xfId="0"/>
    <xf numFmtId="164" fontId="0" fillId="10" borderId="0" pivotButton="0" quotePrefix="0" xfId="1"/>
    <xf numFmtId="0" fontId="0" fillId="10" borderId="0" pivotButton="0" quotePrefix="0" xfId="0"/>
    <xf numFmtId="1" fontId="2" fillId="8" borderId="0" pivotButton="0" quotePrefix="0" xfId="0"/>
    <xf numFmtId="0" fontId="0" fillId="8" borderId="0" pivotButton="0" quotePrefix="0" xfId="0"/>
    <xf numFmtId="0" fontId="18" fillId="0" borderId="0" applyAlignment="1" pivotButton="0" quotePrefix="0" xfId="0">
      <alignment vertical="center"/>
    </xf>
    <xf numFmtId="14" fontId="19" fillId="12" borderId="5" applyAlignment="1" pivotButton="0" quotePrefix="0" xfId="0">
      <alignment horizontal="center" vertical="center"/>
    </xf>
    <xf numFmtId="0" fontId="19" fillId="12" borderId="5" applyAlignment="1" pivotButton="0" quotePrefix="0" xfId="0">
      <alignment horizontal="center" vertical="center"/>
    </xf>
    <xf numFmtId="3" fontId="19" fillId="12" borderId="5" applyAlignment="1" pivotButton="0" quotePrefix="0" xfId="0">
      <alignment horizontal="center" vertical="center"/>
    </xf>
    <xf numFmtId="4" fontId="19" fillId="12" borderId="0" applyAlignment="1" pivotButton="0" quotePrefix="0" xfId="0">
      <alignment horizontal="center" vertical="center"/>
    </xf>
    <xf numFmtId="14" fontId="19" fillId="0" borderId="5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3" fontId="19" fillId="0" borderId="5" applyAlignment="1" pivotButton="0" quotePrefix="0" xfId="0">
      <alignment horizontal="center" vertical="center"/>
    </xf>
    <xf numFmtId="4" fontId="19" fillId="0" borderId="0" applyAlignment="1" pivotButton="0" quotePrefix="0" xfId="0">
      <alignment horizontal="center" vertical="center"/>
    </xf>
    <xf numFmtId="10" fontId="0" fillId="0" borderId="0" pivotButton="0" quotePrefix="0" xfId="2"/>
    <xf numFmtId="14" fontId="19" fillId="13" borderId="5" applyAlignment="1" pivotButton="0" quotePrefix="0" xfId="0">
      <alignment horizontal="center" vertical="center"/>
    </xf>
    <xf numFmtId="0" fontId="19" fillId="13" borderId="5" applyAlignment="1" pivotButton="0" quotePrefix="0" xfId="0">
      <alignment horizontal="center" vertical="center"/>
    </xf>
    <xf numFmtId="3" fontId="19" fillId="13" borderId="5" applyAlignment="1" pivotButton="0" quotePrefix="0" xfId="0">
      <alignment horizontal="center" vertical="center"/>
    </xf>
    <xf numFmtId="4" fontId="19" fillId="13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0" fontId="21" fillId="0" borderId="0" pivotButton="0" quotePrefix="0" xfId="0"/>
    <xf numFmtId="170" fontId="18" fillId="0" borderId="0" applyAlignment="1" pivotButton="0" quotePrefix="0" xfId="0">
      <alignment vertical="center"/>
    </xf>
    <xf numFmtId="0" fontId="22" fillId="8" borderId="0" applyAlignment="1" pivotButton="0" quotePrefix="0" xfId="0">
      <alignment vertical="center"/>
    </xf>
    <xf numFmtId="0" fontId="22" fillId="8" borderId="0" applyAlignment="1" pivotButton="0" quotePrefix="0" xfId="0">
      <alignment horizontal="right"/>
    </xf>
    <xf numFmtId="0" fontId="17" fillId="14" borderId="0" applyAlignment="1" pivotButton="0" quotePrefix="0" xfId="0">
      <alignment vertical="center"/>
    </xf>
    <xf numFmtId="0" fontId="18" fillId="14" borderId="0" applyAlignment="1" pivotButton="0" quotePrefix="0" xfId="0">
      <alignment vertical="center"/>
    </xf>
    <xf numFmtId="0" fontId="0" fillId="14" borderId="0" pivotButton="0" quotePrefix="0" xfId="0"/>
    <xf numFmtId="0" fontId="4" fillId="9" borderId="0" pivotButton="0" quotePrefix="0" xfId="0"/>
    <xf numFmtId="0" fontId="24" fillId="0" borderId="7" pivotButton="0" quotePrefix="0" xfId="0"/>
    <xf numFmtId="0" fontId="25" fillId="0" borderId="9" applyAlignment="1" pivotButton="0" quotePrefix="0" xfId="0">
      <alignment horizontal="center"/>
    </xf>
    <xf numFmtId="0" fontId="25" fillId="0" borderId="10" applyAlignment="1" pivotButton="0" quotePrefix="0" xfId="0">
      <alignment horizontal="center"/>
    </xf>
    <xf numFmtId="0" fontId="25" fillId="0" borderId="11" applyAlignment="1" pivotButton="0" quotePrefix="0" xfId="0">
      <alignment horizontal="center"/>
    </xf>
    <xf numFmtId="0" fontId="25" fillId="0" borderId="13" applyAlignment="1" pivotButton="0" quotePrefix="0" xfId="0">
      <alignment horizontal="center"/>
    </xf>
    <xf numFmtId="0" fontId="25" fillId="15" borderId="14" pivotButton="0" quotePrefix="0" xfId="0"/>
    <xf numFmtId="3" fontId="25" fillId="15" borderId="15" pivotButton="0" quotePrefix="0" xfId="0"/>
    <xf numFmtId="0" fontId="24" fillId="0" borderId="14" pivotButton="0" quotePrefix="0" xfId="0"/>
    <xf numFmtId="3" fontId="24" fillId="0" borderId="15" pivotButton="0" quotePrefix="0" xfId="0"/>
    <xf numFmtId="0" fontId="25" fillId="0" borderId="14" pivotButton="0" quotePrefix="0" xfId="0"/>
    <xf numFmtId="3" fontId="25" fillId="0" borderId="15" pivotButton="0" quotePrefix="0" xfId="0"/>
    <xf numFmtId="0" fontId="24" fillId="0" borderId="14" applyAlignment="1" pivotButton="0" quotePrefix="0" xfId="0">
      <alignment horizontal="left" indent="2"/>
    </xf>
    <xf numFmtId="164" fontId="25" fillId="0" borderId="15" pivotButton="0" quotePrefix="0" xfId="1"/>
    <xf numFmtId="0" fontId="25" fillId="15" borderId="16" pivotButton="0" quotePrefix="0" xfId="0"/>
    <xf numFmtId="3" fontId="25" fillId="15" borderId="17" pivotButton="0" quotePrefix="0" xfId="0"/>
    <xf numFmtId="0" fontId="24" fillId="0" borderId="18" pivotButton="0" quotePrefix="0" xfId="0"/>
    <xf numFmtId="0" fontId="29" fillId="0" borderId="21" pivotButton="0" quotePrefix="0" xfId="0"/>
    <xf numFmtId="0" fontId="24" fillId="0" borderId="21" applyAlignment="1" pivotButton="0" quotePrefix="0" xfId="0">
      <alignment horizontal="left" indent="2"/>
    </xf>
    <xf numFmtId="0" fontId="28" fillId="0" borderId="21" applyAlignment="1" pivotButton="0" quotePrefix="0" xfId="0">
      <alignment horizontal="left" indent="1"/>
    </xf>
    <xf numFmtId="164" fontId="24" fillId="0" borderId="22" pivotButton="0" quotePrefix="0" xfId="3"/>
    <xf numFmtId="0" fontId="32" fillId="0" borderId="21" applyAlignment="1" pivotButton="0" quotePrefix="0" xfId="0">
      <alignment horizontal="left" indent="5"/>
    </xf>
    <xf numFmtId="0" fontId="24" fillId="0" borderId="21" applyAlignment="1" pivotButton="0" quotePrefix="0" xfId="0">
      <alignment horizontal="left" indent="1"/>
    </xf>
    <xf numFmtId="0" fontId="32" fillId="0" borderId="21" applyAlignment="1" pivotButton="0" quotePrefix="0" xfId="0">
      <alignment horizontal="left" indent="3"/>
    </xf>
    <xf numFmtId="0" fontId="29" fillId="0" borderId="23" pivotButton="0" quotePrefix="0" xfId="0"/>
    <xf numFmtId="0" fontId="29" fillId="0" borderId="25" pivotButton="0" quotePrefix="0" xfId="0"/>
    <xf numFmtId="164" fontId="29" fillId="0" borderId="26" pivotButton="0" quotePrefix="0" xfId="3"/>
    <xf numFmtId="0" fontId="32" fillId="0" borderId="21" applyAlignment="1" pivotButton="0" quotePrefix="0" xfId="0">
      <alignment horizontal="left" indent="7"/>
    </xf>
    <xf numFmtId="0" fontId="29" fillId="15" borderId="19" pivotButton="0" quotePrefix="0" xfId="0"/>
    <xf numFmtId="164" fontId="28" fillId="15" borderId="20" pivotButton="0" quotePrefix="0" xfId="3"/>
    <xf numFmtId="164" fontId="29" fillId="0" borderId="22" pivotButton="0" quotePrefix="0" xfId="3"/>
    <xf numFmtId="164" fontId="29" fillId="0" borderId="22" pivotButton="0" quotePrefix="0" xfId="3"/>
    <xf numFmtId="164" fontId="32" fillId="0" borderId="22" pivotButton="0" quotePrefix="0" xfId="3"/>
    <xf numFmtId="164" fontId="29" fillId="0" borderId="24" pivotButton="0" quotePrefix="0" xfId="3"/>
    <xf numFmtId="0" fontId="25" fillId="0" borderId="12" applyAlignment="1" pivotButton="0" quotePrefix="0" xfId="0">
      <alignment horizontal="center"/>
    </xf>
    <xf numFmtId="0" fontId="24" fillId="0" borderId="4" pivotButton="0" quotePrefix="0" xfId="0"/>
    <xf numFmtId="0" fontId="24" fillId="0" borderId="27" pivotButton="0" quotePrefix="0" xfId="0"/>
    <xf numFmtId="0" fontId="0" fillId="0" borderId="0" applyAlignment="1" pivotButton="0" quotePrefix="0" xfId="0">
      <alignment horizontal="center"/>
    </xf>
    <xf numFmtId="0" fontId="23" fillId="0" borderId="28" applyAlignment="1" pivotButton="0" quotePrefix="0" xfId="0">
      <alignment horizontal="left"/>
    </xf>
    <xf numFmtId="0" fontId="23" fillId="0" borderId="6" applyAlignment="1" pivotButton="0" quotePrefix="0" xfId="0">
      <alignment horizontal="left"/>
    </xf>
    <xf numFmtId="0" fontId="31" fillId="0" borderId="18" applyAlignment="1" pivotButton="0" quotePrefix="0" xfId="0">
      <alignment horizontal="center"/>
    </xf>
    <xf numFmtId="3" fontId="29" fillId="0" borderId="22" pivotButton="0" quotePrefix="0" xfId="0"/>
    <xf numFmtId="0" fontId="29" fillId="0" borderId="20" applyAlignment="1" pivotButton="0" quotePrefix="0" xfId="0">
      <alignment horizontal="center"/>
    </xf>
    <xf numFmtId="0" fontId="28" fillId="0" borderId="21" applyAlignment="1" pivotButton="0" quotePrefix="0" xfId="0">
      <alignment horizontal="left" indent="2"/>
    </xf>
    <xf numFmtId="3" fontId="28" fillId="0" borderId="22" pivotButton="0" quotePrefix="0" xfId="0"/>
    <xf numFmtId="0" fontId="33" fillId="0" borderId="21" applyAlignment="1" pivotButton="0" quotePrefix="0" xfId="0">
      <alignment horizontal="left" indent="4"/>
    </xf>
    <xf numFmtId="3" fontId="33" fillId="0" borderId="22" pivotButton="0" quotePrefix="0" xfId="0"/>
    <xf numFmtId="3" fontId="29" fillId="0" borderId="24" pivotButton="0" quotePrefix="0" xfId="0"/>
    <xf numFmtId="3" fontId="29" fillId="0" borderId="26" pivotButton="0" quotePrefix="0" xfId="0"/>
    <xf numFmtId="0" fontId="29" fillId="15" borderId="19" applyAlignment="1" pivotButton="0" quotePrefix="0" xfId="0">
      <alignment horizontal="left" vertical="center"/>
    </xf>
    <xf numFmtId="3" fontId="29" fillId="15" borderId="20" pivotButton="0" quotePrefix="0" xfId="0"/>
    <xf numFmtId="0" fontId="28" fillId="15" borderId="21" applyAlignment="1" pivotButton="0" quotePrefix="0" xfId="0">
      <alignment horizontal="left" indent="2"/>
    </xf>
    <xf numFmtId="3" fontId="28" fillId="15" borderId="22" pivotButton="0" quotePrefix="0" xfId="0"/>
    <xf numFmtId="2" fontId="18" fillId="0" borderId="0" applyAlignment="1" pivotButton="0" quotePrefix="0" xfId="0">
      <alignment vertical="center"/>
    </xf>
    <xf numFmtId="10" fontId="18" fillId="0" borderId="0" applyAlignment="1" pivotButton="0" quotePrefix="0" xfId="2">
      <alignment vertical="center"/>
    </xf>
    <xf numFmtId="0" fontId="0" fillId="0" borderId="4" pivotButton="0" quotePrefix="0" xfId="0"/>
    <xf numFmtId="164" fontId="0" fillId="0" borderId="4" pivotButton="0" quotePrefix="0" xfId="1"/>
    <xf numFmtId="10" fontId="0" fillId="0" borderId="4" pivotButton="0" quotePrefix="0" xfId="0"/>
    <xf numFmtId="0" fontId="18" fillId="0" borderId="3" applyAlignment="1" pivotButton="0" quotePrefix="0" xfId="0">
      <alignment vertical="center"/>
    </xf>
    <xf numFmtId="10" fontId="18" fillId="0" borderId="3" applyAlignment="1" pivotButton="0" quotePrefix="0" xfId="2">
      <alignment vertical="center"/>
    </xf>
    <xf numFmtId="164" fontId="0" fillId="16" borderId="0" pivotButton="0" quotePrefix="0" xfId="0"/>
    <xf numFmtId="43" fontId="0" fillId="16" borderId="0" pivotButton="0" quotePrefix="0" xfId="0"/>
    <xf numFmtId="10" fontId="0" fillId="16" borderId="0" pivotButton="0" quotePrefix="0" xfId="0"/>
    <xf numFmtId="43" fontId="8" fillId="0" borderId="0" pivotButton="0" quotePrefix="0" xfId="0"/>
    <xf numFmtId="0" fontId="25" fillId="0" borderId="9" applyAlignment="1" pivotButton="0" quotePrefix="0" xfId="0">
      <alignment horizontal="center"/>
    </xf>
    <xf numFmtId="0" fontId="25" fillId="0" borderId="10" applyAlignment="1" pivotButton="0" quotePrefix="0" xfId="0">
      <alignment horizontal="center"/>
    </xf>
    <xf numFmtId="0" fontId="25" fillId="0" borderId="11" applyAlignment="1" pivotButton="0" quotePrefix="0" xfId="0">
      <alignment horizontal="center"/>
    </xf>
    <xf numFmtId="0" fontId="29" fillId="0" borderId="8" applyAlignment="1" pivotButton="0" quotePrefix="0" xfId="0">
      <alignment horizontal="left" vertical="center"/>
    </xf>
    <xf numFmtId="0" fontId="29" fillId="0" borderId="29" applyAlignment="1" pivotButton="0" quotePrefix="0" xfId="0">
      <alignment horizontal="left" vertical="center"/>
    </xf>
    <xf numFmtId="0" fontId="25" fillId="0" borderId="8" applyAlignment="1" pivotButton="0" quotePrefix="0" xfId="0">
      <alignment horizontal="left" vertical="center"/>
    </xf>
    <xf numFmtId="0" fontId="25" fillId="0" borderId="12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</cellXfs>
  <cellStyles count="4">
    <cellStyle name="Normal" xfId="0" builtinId="0"/>
    <cellStyle name="Comma" xfId="1" builtinId="3"/>
    <cellStyle name="Percent" xfId="2" builtinId="5"/>
    <cellStyle name="Comma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tc={27353BB4-BE06-44D7-BC91-CE71AFA2651B}</author>
    <author>tc={9916B379-35D6-41FA-B05E-1C34E40081B9}</author>
  </authors>
  <commentList>
    <comment ref="H31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Significant credit risk but not impaired</t>
      </text>
    </comment>
    <comment ref="H31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or impaired status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289560</colOff>
      <row>12</row>
      <rowOff>152400</rowOff>
    </from>
    <to>
      <col>7</col>
      <colOff>167640</colOff>
      <row>18</row>
      <rowOff>160020</rowOff>
    </to>
    <pic>
      <nvPicPr>
        <cNvPr id="2" name="Picture 1" descr="Commercial Bank | Sri Lanka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89560" y="2529840"/>
          <a:ext cx="4145280" cy="1104900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selection activeCell="N16" sqref="N16"/>
    </sheetView>
  </sheetViews>
  <sheetFormatPr baseColWidth="8" defaultRowHeight="14.4"/>
  <sheetData>
    <row r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25.8" customHeight="1">
      <c r="A3" s="6" t="n"/>
      <c r="B3" s="10" t="inlineStr">
        <is>
          <t>Commercial Bank of Ceylon PLC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1" customHeight="1">
      <c r="A4" s="6" t="n"/>
      <c r="B4" s="9" t="inlineStr">
        <is>
          <t>COMB N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21" customHeight="1">
      <c r="A5" s="6" t="n"/>
      <c r="B5" s="9" t="inlineStr">
        <is>
          <t>COMB X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21" customHeight="1">
      <c r="A6" s="6" t="n"/>
      <c r="B6" s="9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36"/>
  <sheetViews>
    <sheetView tabSelected="1" zoomScale="99" zoomScaleNormal="100" zoomScaleSheetLayoutView="82" workbookViewId="0">
      <pane xSplit="2" ySplit="4" topLeftCell="K5" activePane="bottomRight" state="frozen"/>
      <selection pane="topRight" activeCell="D1" sqref="D1"/>
      <selection pane="bottomLeft" activeCell="A3" sqref="A3"/>
      <selection pane="bottomRight" activeCell="B68" sqref="B68"/>
    </sheetView>
  </sheetViews>
  <sheetFormatPr baseColWidth="8" defaultRowHeight="14.4"/>
  <cols>
    <col width="63.44140625" customWidth="1" min="2" max="2"/>
    <col width="14.21875" customWidth="1" style="16" min="3" max="8"/>
    <col width="14.88671875" customWidth="1" min="9" max="12"/>
    <col width="8.88671875" customWidth="1" min="13" max="13"/>
    <col width="14.5546875" customWidth="1" min="14" max="14"/>
    <col width="15.6640625" customWidth="1" min="15" max="15"/>
    <col width="14.88671875" customWidth="1" min="16" max="17"/>
    <col width="13" customWidth="1" min="18" max="18"/>
  </cols>
  <sheetData>
    <row r="1">
      <c r="I1" s="101" t="n"/>
    </row>
    <row r="2">
      <c r="C2" s="13" t="n"/>
      <c r="D2" s="13" t="n"/>
      <c r="E2" s="13" t="n"/>
      <c r="F2" s="13" t="n"/>
      <c r="G2" s="13" t="n"/>
      <c r="H2" s="115" t="n"/>
    </row>
    <row r="3">
      <c r="B3" t="inlineStr">
        <is>
          <t>For the year ended December 31,</t>
        </is>
      </c>
    </row>
    <row r="4">
      <c r="B4" t="inlineStr">
        <is>
          <t>(LKR '000 except per share data)</t>
        </is>
      </c>
      <c r="C4" s="5" t="n">
        <v>2017</v>
      </c>
      <c r="D4" s="5" t="n">
        <v>2018</v>
      </c>
      <c r="E4" s="5" t="n">
        <v>2019</v>
      </c>
      <c r="F4" s="5" t="n">
        <v>2020</v>
      </c>
      <c r="G4" s="5" t="n">
        <v>2021</v>
      </c>
      <c r="H4" s="5" t="n">
        <v>2022</v>
      </c>
      <c r="I4" s="19" t="n">
        <v>2023</v>
      </c>
      <c r="J4" s="19" t="n">
        <v>2024</v>
      </c>
      <c r="K4" s="19" t="n">
        <v>2025</v>
      </c>
    </row>
    <row r="5" customFormat="1" s="8">
      <c r="B5" s="11" t="inlineStr">
        <is>
          <t>INCOME STATEMENT</t>
        </is>
      </c>
      <c r="C5" s="12" t="n"/>
      <c r="D5" s="12" t="n"/>
      <c r="E5" s="12" t="n"/>
      <c r="F5" s="12" t="n"/>
      <c r="G5" s="12" t="n"/>
      <c r="H5" s="12" t="n"/>
    </row>
    <row r="6">
      <c r="B6" t="inlineStr">
        <is>
          <t>Gross income</t>
        </is>
      </c>
      <c r="C6" s="26" t="n">
        <v>116841755</v>
      </c>
      <c r="D6" s="26" t="inlineStr">
        <is>
          <t>-</t>
        </is>
      </c>
      <c r="E6" s="26" t="n">
        <v>150741129</v>
      </c>
      <c r="F6" s="26" t="n">
        <v>151966413</v>
      </c>
      <c r="G6" s="26" t="n">
        <v>163675312</v>
      </c>
      <c r="H6" s="26" t="n">
        <v>280386944</v>
      </c>
      <c r="I6" s="102" t="n">
        <v>341566200</v>
      </c>
      <c r="J6" s="102" t="n">
        <v>274975814</v>
      </c>
      <c r="K6" s="102" t="n">
        <v>365180892</v>
      </c>
    </row>
    <row r="7">
      <c r="B7" t="inlineStr">
        <is>
          <t>Interest income</t>
        </is>
      </c>
      <c r="C7" s="31" t="n">
        <v>104049102</v>
      </c>
      <c r="D7" s="31" t="inlineStr">
        <is>
          <t>-</t>
        </is>
      </c>
      <c r="E7" s="31" t="n">
        <v>129287473</v>
      </c>
      <c r="F7" s="31" t="n">
        <v>124087713</v>
      </c>
      <c r="G7" s="31" t="n">
        <v>132818178</v>
      </c>
      <c r="H7" s="31" t="n">
        <v>222393079</v>
      </c>
      <c r="I7" s="103" t="n">
        <v>297645866</v>
      </c>
      <c r="J7" s="103" t="n">
        <v>275217117</v>
      </c>
      <c r="K7" s="103" t="n">
        <v>301366595</v>
      </c>
    </row>
    <row r="8">
      <c r="B8" t="inlineStr">
        <is>
          <t>Less: Interest expense</t>
        </is>
      </c>
      <c r="C8" s="31" t="n">
        <v>64481004</v>
      </c>
      <c r="D8" s="31" t="inlineStr">
        <is>
          <t>-</t>
        </is>
      </c>
      <c r="E8" s="31" t="n">
        <v>80931352</v>
      </c>
      <c r="F8" s="31" t="n">
        <v>73218911</v>
      </c>
      <c r="G8" s="31" t="n">
        <v>66401846</v>
      </c>
      <c r="H8" s="31" t="n">
        <v>137727868</v>
      </c>
      <c r="I8" s="103" t="n">
        <v>211230507</v>
      </c>
      <c r="J8" s="103" t="n">
        <v>157082433</v>
      </c>
      <c r="K8" s="103" t="n">
        <v>160406053</v>
      </c>
    </row>
    <row r="9">
      <c r="B9" s="3" t="inlineStr">
        <is>
          <t>Net interest income</t>
        </is>
      </c>
      <c r="C9" s="26" t="n">
        <v>39567298</v>
      </c>
      <c r="D9" s="26" t="inlineStr">
        <is>
          <t>-</t>
        </is>
      </c>
      <c r="E9" s="26" t="n">
        <v>48356391</v>
      </c>
      <c r="F9" s="26" t="n">
        <v>50868802</v>
      </c>
      <c r="G9" s="26" t="n">
        <v>66416332</v>
      </c>
      <c r="H9" s="26" t="n">
        <v>84665211</v>
      </c>
      <c r="I9" s="102" t="n">
        <v>86415359</v>
      </c>
      <c r="J9" s="102" t="n">
        <v>118134684</v>
      </c>
      <c r="K9" s="102" t="n">
        <v>140960542</v>
      </c>
    </row>
    <row r="10">
      <c r="B10" t="inlineStr">
        <is>
          <t>Fee and commission income</t>
        </is>
      </c>
      <c r="C10" s="31" t="n">
        <v>10510800</v>
      </c>
      <c r="D10" s="31" t="inlineStr">
        <is>
          <t>-</t>
        </is>
      </c>
      <c r="E10" s="31" t="n">
        <v>12874966</v>
      </c>
      <c r="F10" s="31" t="n">
        <v>11839689</v>
      </c>
      <c r="G10" s="31" t="n">
        <v>15917337</v>
      </c>
      <c r="H10" s="31" t="n">
        <v>26191530</v>
      </c>
      <c r="I10" s="103" t="n">
        <v>30653212</v>
      </c>
      <c r="J10" s="103" t="n">
        <v>34480523</v>
      </c>
      <c r="K10" s="103" t="n">
        <v>42592091</v>
      </c>
    </row>
    <row r="11">
      <c r="B11" t="inlineStr">
        <is>
          <t>Less: Fee and commission expense</t>
        </is>
      </c>
      <c r="C11" s="31" t="n">
        <v>1586334</v>
      </c>
      <c r="D11" s="31" t="inlineStr">
        <is>
          <t>-</t>
        </is>
      </c>
      <c r="E11" s="31" t="n">
        <v>2123128</v>
      </c>
      <c r="F11" s="31" t="n">
        <v>2018014</v>
      </c>
      <c r="G11" s="31" t="n">
        <v>3675143</v>
      </c>
      <c r="H11" s="31" t="n">
        <v>6022429</v>
      </c>
      <c r="I11" s="103" t="n">
        <v>8265893</v>
      </c>
      <c r="J11" s="103" t="n">
        <v>10834345</v>
      </c>
      <c r="K11" s="103" t="n">
        <v>13616570</v>
      </c>
    </row>
    <row r="12">
      <c r="B12" s="3" t="inlineStr">
        <is>
          <t>Net fee and commission income</t>
        </is>
      </c>
      <c r="C12" s="26" t="n">
        <v>8924466</v>
      </c>
      <c r="D12" s="26" t="inlineStr">
        <is>
          <t>-</t>
        </is>
      </c>
      <c r="E12" s="26" t="n">
        <v>10751838</v>
      </c>
      <c r="F12" s="26" t="n">
        <v>9821675</v>
      </c>
      <c r="G12" s="26" t="n">
        <v>12242194</v>
      </c>
      <c r="H12" s="26" t="n">
        <v>20169101</v>
      </c>
      <c r="I12" s="102" t="n">
        <v>22387319</v>
      </c>
      <c r="J12" s="102" t="n">
        <v>23646178</v>
      </c>
      <c r="K12" s="102" t="n">
        <v>28975521</v>
      </c>
    </row>
    <row r="13">
      <c r="B13" t="inlineStr">
        <is>
          <t>Net gains/(losses) from trading</t>
        </is>
      </c>
      <c r="C13" s="31" t="n">
        <v>233956</v>
      </c>
      <c r="D13" s="31" t="inlineStr">
        <is>
          <t>-</t>
        </is>
      </c>
      <c r="E13" s="31" t="n">
        <v>1360833</v>
      </c>
      <c r="F13" s="31" t="n">
        <v>1878060</v>
      </c>
      <c r="G13" s="31" t="n">
        <v>1936007</v>
      </c>
      <c r="H13" s="31" t="n">
        <v>35297450</v>
      </c>
      <c r="I13" s="103" t="n">
        <v>-12481613</v>
      </c>
      <c r="J13" s="103" t="n">
        <v>-2201010</v>
      </c>
      <c r="K13" s="103" t="n">
        <v>344</v>
      </c>
    </row>
    <row r="14">
      <c r="B14" t="inlineStr">
        <is>
          <t>Net gains/(losses) from derecognition of financial assets</t>
        </is>
      </c>
      <c r="C14" s="31" t="n">
        <v>129210</v>
      </c>
      <c r="D14" s="31" t="inlineStr">
        <is>
          <t>-</t>
        </is>
      </c>
      <c r="E14" s="31" t="n">
        <v>1135711</v>
      </c>
      <c r="F14" s="31" t="n">
        <v>6390197</v>
      </c>
      <c r="G14" s="31" t="n">
        <v>3001574</v>
      </c>
      <c r="H14" s="31" t="n">
        <v>276884</v>
      </c>
      <c r="I14" s="103" t="n">
        <v>5060242</v>
      </c>
      <c r="J14" s="103" t="n">
        <v>-41016836</v>
      </c>
      <c r="K14" s="103" t="n">
        <v>344</v>
      </c>
    </row>
    <row r="15">
      <c r="B15" t="inlineStr">
        <is>
          <t>Net other operating income</t>
        </is>
      </c>
      <c r="C15" s="31" t="n">
        <v>1918687</v>
      </c>
      <c r="D15" s="31" t="inlineStr">
        <is>
          <t>-</t>
        </is>
      </c>
      <c r="E15" s="31" t="n">
        <v>6081876</v>
      </c>
      <c r="F15" s="31" t="n">
        <v>7770754</v>
      </c>
      <c r="G15" s="31" t="n">
        <v>10002216</v>
      </c>
      <c r="H15" s="31" t="n">
        <v>-3771999</v>
      </c>
      <c r="I15" s="103" t="n">
        <v>20688493</v>
      </c>
      <c r="J15" s="103" t="n">
        <v>8496020</v>
      </c>
      <c r="K15" s="103" t="n">
        <v>345</v>
      </c>
    </row>
    <row r="16">
      <c r="B16" t="inlineStr">
        <is>
          <t>Total operating income</t>
        </is>
      </c>
      <c r="C16" s="26" t="n">
        <v>50773617</v>
      </c>
      <c r="D16" s="26" t="inlineStr">
        <is>
          <t>-</t>
        </is>
      </c>
      <c r="E16" s="26" t="n">
        <v>67686649</v>
      </c>
      <c r="F16" s="26" t="n">
        <v>67686649</v>
      </c>
      <c r="G16" s="26" t="n">
        <v>93598323</v>
      </c>
      <c r="H16" s="26" t="n">
        <v>136636647</v>
      </c>
      <c r="I16" s="102" t="n">
        <v>122069800</v>
      </c>
      <c r="J16" s="102" t="n">
        <v>107059326</v>
      </c>
      <c r="K16" s="102" t="n">
        <v>191158269</v>
      </c>
    </row>
    <row r="17">
      <c r="B17" t="inlineStr">
        <is>
          <t>Less: Impairment charges and other losses</t>
        </is>
      </c>
      <c r="C17" s="31" t="n">
        <v>2225914</v>
      </c>
      <c r="D17" s="31" t="n">
        <v>-4413</v>
      </c>
      <c r="E17" s="31" t="n">
        <v>11331525</v>
      </c>
      <c r="F17" s="31" t="n">
        <v>21419532</v>
      </c>
      <c r="G17" s="31" t="n">
        <v>25139926</v>
      </c>
      <c r="H17" s="31" t="n">
        <v>71924260</v>
      </c>
      <c r="I17" s="103" t="n">
        <v>38095070</v>
      </c>
      <c r="J17" s="103" t="inlineStr">
        <is>
          <t>-</t>
        </is>
      </c>
      <c r="K17" s="103" t="inlineStr">
        <is>
          <t>-</t>
        </is>
      </c>
    </row>
    <row r="18">
      <c r="B18" s="3" t="inlineStr">
        <is>
          <t>Net operating income</t>
        </is>
      </c>
      <c r="C18" s="26" t="n">
        <v>48547703</v>
      </c>
      <c r="D18" s="26" t="inlineStr">
        <is>
          <t>-</t>
        </is>
      </c>
      <c r="E18" s="26" t="n">
        <v>56355126</v>
      </c>
      <c r="F18" s="26" t="n">
        <v>56355126</v>
      </c>
      <c r="G18" s="26" t="n">
        <v>68458397</v>
      </c>
      <c r="H18" s="26" t="n">
        <v>64712387</v>
      </c>
      <c r="I18" s="102" t="n">
        <v>83174730</v>
      </c>
      <c r="J18" s="102" t="n">
        <v>169353580</v>
      </c>
      <c r="K18" s="102" t="n">
        <v>168041772</v>
      </c>
    </row>
    <row r="19">
      <c r="B19" t="inlineStr">
        <is>
          <t>Less: Expenses</t>
        </is>
      </c>
      <c r="I19" s="103" t="n"/>
      <c r="J19" s="103" t="n"/>
      <c r="K19" s="103" t="n"/>
    </row>
    <row r="20">
      <c r="B20" s="4" t="inlineStr">
        <is>
          <t>Personnel expenses</t>
        </is>
      </c>
      <c r="C20" s="31" t="n">
        <v>11338517</v>
      </c>
      <c r="D20" s="31" t="inlineStr">
        <is>
          <t>-</t>
        </is>
      </c>
      <c r="E20" s="31" t="n">
        <v>14008914</v>
      </c>
      <c r="F20" s="31" t="n">
        <v>14992748</v>
      </c>
      <c r="G20" s="31" t="n">
        <v>16799212</v>
      </c>
      <c r="H20" s="31" t="n">
        <v>19788283</v>
      </c>
      <c r="I20" s="103" t="n">
        <v>22824913</v>
      </c>
      <c r="J20" s="103" t="n">
        <v>27907458</v>
      </c>
      <c r="K20" s="103" t="n">
        <v>349</v>
      </c>
    </row>
    <row r="21">
      <c r="B21" t="inlineStr">
        <is>
          <t>Depreciation and amortisation</t>
        </is>
      </c>
      <c r="C21" s="31" t="n">
        <v>1416927</v>
      </c>
      <c r="D21" s="31" t="inlineStr">
        <is>
          <t>-</t>
        </is>
      </c>
      <c r="E21" s="31" t="n">
        <v>2841264</v>
      </c>
      <c r="F21" s="31" t="n">
        <v>3102695</v>
      </c>
      <c r="G21" s="31" t="n">
        <v>3220066</v>
      </c>
      <c r="H21" s="31" t="n">
        <v>3598371</v>
      </c>
      <c r="I21" s="103" t="n">
        <v>4335640</v>
      </c>
      <c r="J21" s="103" t="n">
        <v>4737203</v>
      </c>
      <c r="K21" s="103" t="n">
        <v>350</v>
      </c>
    </row>
    <row r="22">
      <c r="B22" t="inlineStr">
        <is>
          <t>Other operating expenses</t>
        </is>
      </c>
      <c r="C22" s="31" t="n">
        <v>7618993</v>
      </c>
      <c r="D22" s="31" t="inlineStr">
        <is>
          <t>-</t>
        </is>
      </c>
      <c r="E22" s="31" t="n">
        <v>8875316</v>
      </c>
      <c r="F22" s="31" t="n">
        <v>8167170</v>
      </c>
      <c r="G22" s="31" t="n">
        <v>9638461</v>
      </c>
      <c r="H22" s="31" t="n">
        <v>12895587</v>
      </c>
      <c r="I22" s="103" t="n">
        <v>17129279</v>
      </c>
      <c r="J22" s="103" t="n">
        <v>19193697</v>
      </c>
      <c r="K22" s="103" t="n">
        <v>351</v>
      </c>
    </row>
    <row r="23">
      <c r="B23" s="3" t="inlineStr">
        <is>
          <t>Total operating expenses</t>
        </is>
      </c>
      <c r="C23" s="26" t="n">
        <v>20374437</v>
      </c>
      <c r="D23" s="26" t="inlineStr">
        <is>
          <t>-</t>
        </is>
      </c>
      <c r="E23" s="26" t="n">
        <v>26125494</v>
      </c>
      <c r="F23" s="26" t="n">
        <v>26125494</v>
      </c>
      <c r="G23" s="26" t="n">
        <v>29657739</v>
      </c>
      <c r="H23" s="26" t="n">
        <v>36282241</v>
      </c>
      <c r="I23" s="102" t="inlineStr">
        <is>
          <t>-</t>
        </is>
      </c>
      <c r="J23" s="102" t="n">
        <v>51838358</v>
      </c>
      <c r="K23" s="102" t="n">
        <v>57502998</v>
      </c>
    </row>
    <row r="24">
      <c r="B24" t="inlineStr">
        <is>
          <t>Operating profit before taxes on financial services</t>
        </is>
      </c>
      <c r="C24" s="31" t="n">
        <v>23280324</v>
      </c>
      <c r="D24" s="31" t="inlineStr">
        <is>
          <t>-</t>
        </is>
      </c>
      <c r="E24" s="31" t="n">
        <v>30229632</v>
      </c>
      <c r="F24" s="31" t="n">
        <v>30229632</v>
      </c>
      <c r="G24" s="31" t="n">
        <v>32957324</v>
      </c>
      <c r="H24" s="31" t="n">
        <v>28430146</v>
      </c>
      <c r="I24" s="103" t="n">
        <v>38884898</v>
      </c>
      <c r="J24" s="103" t="n">
        <v>117515492</v>
      </c>
      <c r="K24" s="103" t="n">
        <v>110538774</v>
      </c>
    </row>
    <row r="25">
      <c r="B25" t="inlineStr">
        <is>
          <t>Less: Taxes on financial services</t>
        </is>
      </c>
      <c r="C25" s="31" t="n">
        <v>4896620</v>
      </c>
      <c r="D25" s="31" t="inlineStr">
        <is>
          <t>-</t>
        </is>
      </c>
      <c r="E25" s="31" t="n">
        <v>7255728</v>
      </c>
      <c r="F25" s="31" t="n">
        <v>4531381</v>
      </c>
      <c r="G25" s="31" t="n">
        <v>5845230</v>
      </c>
      <c r="H25" s="31" t="n">
        <v>3921381</v>
      </c>
      <c r="I25" s="103" t="n">
        <v>4961392</v>
      </c>
      <c r="J25" s="103" t="n">
        <v>19706675</v>
      </c>
      <c r="K25" s="103" t="n">
        <v>351</v>
      </c>
    </row>
    <row r="26">
      <c r="B26" s="3" t="inlineStr">
        <is>
          <t>Operating profit after taxes on financial services</t>
        </is>
      </c>
      <c r="C26" s="26" t="n">
        <v>23276646</v>
      </c>
      <c r="D26" s="26" t="inlineStr">
        <is>
          <t>-</t>
        </is>
      </c>
      <c r="E26" s="26" t="n">
        <v>22973904</v>
      </c>
      <c r="F26" s="26" t="n">
        <v>22973904</v>
      </c>
      <c r="G26" s="26" t="n">
        <v>32955428</v>
      </c>
      <c r="H26" s="26" t="n">
        <v>24508765</v>
      </c>
      <c r="I26" s="102" t="n">
        <v>33923506</v>
      </c>
      <c r="J26" s="102" t="n">
        <v>97808817</v>
      </c>
      <c r="K26" s="102" t="n">
        <v>92788083</v>
      </c>
    </row>
    <row r="27">
      <c r="B27" t="inlineStr">
        <is>
          <t>Share of profit/(loss) of associate, net of tax</t>
        </is>
      </c>
      <c r="C27" s="31" t="n">
        <v>3678</v>
      </c>
      <c r="D27" s="31" t="inlineStr">
        <is>
          <t>-</t>
        </is>
      </c>
      <c r="E27" s="31" t="n">
        <v>9992</v>
      </c>
      <c r="F27" s="31" t="inlineStr">
        <is>
          <t>-</t>
        </is>
      </c>
      <c r="G27" s="31" t="inlineStr">
        <is>
          <t>-</t>
        </is>
      </c>
      <c r="H27" s="31" t="n">
        <v>-3727</v>
      </c>
      <c r="I27" s="103" t="n">
        <v>3495</v>
      </c>
      <c r="J27" s="103" t="n">
        <v>-460</v>
      </c>
      <c r="K27" s="103" t="n">
        <v>379</v>
      </c>
    </row>
    <row r="28">
      <c r="B28" s="3" t="inlineStr">
        <is>
          <t>Profit before tax</t>
        </is>
      </c>
      <c r="C28" s="31" t="n">
        <v>23280324</v>
      </c>
      <c r="D28" s="31" t="n">
        <v>12056211</v>
      </c>
      <c r="E28" s="31" t="n">
        <v>22983896</v>
      </c>
      <c r="F28" s="31" t="n">
        <v>22983896</v>
      </c>
      <c r="G28" s="31" t="n">
        <v>32957324</v>
      </c>
      <c r="H28" s="31" t="n">
        <v>24505038</v>
      </c>
      <c r="I28" s="103" t="n">
        <v>38884898</v>
      </c>
      <c r="J28" s="103" t="n">
        <v>97808357</v>
      </c>
      <c r="K28" s="103" t="n">
        <v>92787421</v>
      </c>
    </row>
    <row r="29">
      <c r="B29" t="inlineStr">
        <is>
          <t>Less: Income tax expense/(reversal)</t>
        </is>
      </c>
      <c r="C29" s="31" t="n">
        <v>6653817</v>
      </c>
      <c r="D29" s="31" t="inlineStr">
        <is>
          <t>-</t>
        </is>
      </c>
      <c r="E29" s="31" t="n">
        <v>5563500</v>
      </c>
      <c r="F29" s="31" t="n">
        <v>7433063</v>
      </c>
      <c r="G29" s="31" t="n">
        <v>8667036</v>
      </c>
      <c r="H29" s="31" t="n">
        <v>105566</v>
      </c>
      <c r="I29" s="103" t="n">
        <v>12027341</v>
      </c>
      <c r="J29" s="103" t="n">
        <v>42121945</v>
      </c>
      <c r="K29" s="103" t="n">
        <v>352</v>
      </c>
    </row>
    <row r="30" ht="15" customHeight="1" thickBot="1">
      <c r="B30" s="3" t="inlineStr">
        <is>
          <t>Profit for the year</t>
        </is>
      </c>
      <c r="C30" s="29" t="n">
        <v>16626507</v>
      </c>
      <c r="D30" s="29" t="inlineStr">
        <is>
          <t>-</t>
        </is>
      </c>
      <c r="E30" s="29" t="n">
        <v>17420396</v>
      </c>
      <c r="F30" s="29" t="n">
        <v>17420396</v>
      </c>
      <c r="G30" s="29" t="n">
        <v>24290288</v>
      </c>
      <c r="H30" s="29" t="n">
        <v>24399472</v>
      </c>
      <c r="I30" s="104" t="n">
        <v>21899660</v>
      </c>
      <c r="J30" s="104" t="n">
        <v>55686412</v>
      </c>
      <c r="K30" s="104" t="n">
        <v>60937517</v>
      </c>
    </row>
    <row r="31" ht="15" customHeight="1" thickTop="1">
      <c r="B31" t="inlineStr">
        <is>
          <t>Profit attributable to:
Equity holders of the Bank</t>
        </is>
      </c>
      <c r="C31" s="31" t="n">
        <v>16605963</v>
      </c>
      <c r="D31" s="31" t="inlineStr">
        <is>
          <t>-</t>
        </is>
      </c>
      <c r="E31" s="31" t="n">
        <v>17263259</v>
      </c>
      <c r="F31" s="31" t="n">
        <v>17263259</v>
      </c>
      <c r="G31" s="31" t="n">
        <v>24062469</v>
      </c>
      <c r="H31" s="31" t="n">
        <v>23811914</v>
      </c>
      <c r="I31" s="103" t="n">
        <v>21114675</v>
      </c>
      <c r="J31" s="103" t="n">
        <v>55073240</v>
      </c>
      <c r="K31" s="103" t="n">
        <v>60110183</v>
      </c>
    </row>
    <row r="32">
      <c r="B32" t="inlineStr">
        <is>
          <t>Non-controlling interest</t>
        </is>
      </c>
      <c r="C32" s="31" t="n">
        <v>20544</v>
      </c>
      <c r="D32" s="31" t="inlineStr">
        <is>
          <t>-</t>
        </is>
      </c>
      <c r="E32" s="31" t="n">
        <v>157137</v>
      </c>
      <c r="F32" s="31" t="n">
        <v>157137</v>
      </c>
      <c r="G32" s="31" t="n">
        <v>227819</v>
      </c>
      <c r="H32" s="31" t="n">
        <v>587558</v>
      </c>
      <c r="I32" s="103" t="n">
        <v>784985</v>
      </c>
      <c r="J32" s="103" t="n">
        <v>613172</v>
      </c>
      <c r="K32" s="103" t="n">
        <v>827334</v>
      </c>
    </row>
    <row r="33">
      <c r="B33" t="inlineStr">
        <is>
          <t>Profit for the year</t>
        </is>
      </c>
      <c r="C33" s="31" t="n">
        <v>16626507</v>
      </c>
      <c r="D33" s="31" t="inlineStr">
        <is>
          <t>-</t>
        </is>
      </c>
      <c r="E33" s="31" t="n">
        <v>17420396</v>
      </c>
      <c r="F33" s="31" t="n">
        <v>17420396</v>
      </c>
      <c r="G33" s="31" t="n">
        <v>24290288</v>
      </c>
      <c r="H33" s="31" t="n">
        <v>24399472</v>
      </c>
      <c r="I33" s="103" t="n">
        <v>21899660</v>
      </c>
      <c r="J33" s="103" t="n">
        <v>55686412</v>
      </c>
      <c r="K33" s="103" t="n">
        <v>60937517</v>
      </c>
    </row>
    <row r="34">
      <c r="B34" t="inlineStr">
        <is>
          <t>Earnings per share
Basic earnings per ordinary share (Rs.)</t>
        </is>
      </c>
      <c r="C34" s="30" t="n">
        <v>17.28</v>
      </c>
      <c r="D34" s="30" t="inlineStr">
        <is>
          <t>-</t>
        </is>
      </c>
      <c r="E34" s="30" t="n">
        <v>16.8</v>
      </c>
      <c r="F34" s="30" t="n">
        <v>15.7</v>
      </c>
      <c r="G34" s="30" t="n">
        <v>20.15</v>
      </c>
      <c r="H34" s="30" t="n">
        <v>19.21</v>
      </c>
      <c r="I34" s="105" t="n">
        <v>16.07</v>
      </c>
      <c r="J34" s="105" t="n">
        <v>38.44</v>
      </c>
      <c r="K34" s="105" t="n">
        <v>353</v>
      </c>
    </row>
    <row r="35">
      <c r="B35" t="inlineStr">
        <is>
          <t>Diluted earnings per ordinary share (Rs.)</t>
        </is>
      </c>
      <c r="C35" s="30" t="n">
        <v>17.27</v>
      </c>
      <c r="D35" s="30" t="inlineStr">
        <is>
          <t>-</t>
        </is>
      </c>
      <c r="E35" s="30" t="n">
        <v>16.8</v>
      </c>
      <c r="F35" s="30" t="n">
        <v>15.7</v>
      </c>
      <c r="G35" s="30" t="n">
        <v>20.15</v>
      </c>
      <c r="H35" s="30" t="n">
        <v>19.21</v>
      </c>
      <c r="I35" s="103" t="n">
        <v>16.06</v>
      </c>
      <c r="J35" s="105" t="n">
        <v>38.38</v>
      </c>
      <c r="K35" s="103" t="n">
        <v>353</v>
      </c>
    </row>
    <row r="36">
      <c r="B36" t="inlineStr">
        <is>
          <t>Diviend per share</t>
        </is>
      </c>
      <c r="C36" s="30" t="inlineStr">
        <is>
          <t>-</t>
        </is>
      </c>
      <c r="D36" s="30" t="inlineStr">
        <is>
          <t>-</t>
        </is>
      </c>
      <c r="E36" s="30" t="inlineStr">
        <is>
          <t>-</t>
        </is>
      </c>
      <c r="F36" s="30" t="inlineStr">
        <is>
          <t>-</t>
        </is>
      </c>
      <c r="G36" s="30" t="inlineStr">
        <is>
          <t>-</t>
        </is>
      </c>
      <c r="H36" s="30" t="inlineStr">
        <is>
          <t>-</t>
        </is>
      </c>
      <c r="I36" s="105" t="inlineStr">
        <is>
          <t>-</t>
        </is>
      </c>
      <c r="J36" s="105" t="inlineStr">
        <is>
          <t>-</t>
        </is>
      </c>
      <c r="K36" s="105" t="inlineStr">
        <is>
          <t>-</t>
        </is>
      </c>
    </row>
    <row r="37">
      <c r="I37" s="103" t="n"/>
      <c r="J37" s="103" t="n"/>
      <c r="K37" s="103" t="n"/>
    </row>
    <row r="38">
      <c r="B38" t="inlineStr">
        <is>
          <t>OCI</t>
        </is>
      </c>
      <c r="I38" s="103" t="n"/>
      <c r="J38" s="103" t="n"/>
      <c r="K38" s="103" t="n"/>
    </row>
    <row r="39">
      <c r="B39" t="inlineStr">
        <is>
          <t>Transfer of FV losses reclassification of debt from FVTOCI to AC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s="31" t="inlineStr">
        <is>
          <t>-</t>
        </is>
      </c>
      <c r="H39" s="31" t="inlineStr">
        <is>
          <t>-</t>
        </is>
      </c>
      <c r="I39" s="103" t="inlineStr">
        <is>
          <t>-</t>
        </is>
      </c>
      <c r="J39" s="103" t="inlineStr">
        <is>
          <t>-</t>
        </is>
      </c>
      <c r="K39" s="103" t="inlineStr">
        <is>
          <t>-</t>
        </is>
      </c>
    </row>
    <row r="40">
      <c r="I40" s="103" t="n"/>
      <c r="J40" s="103" t="n"/>
      <c r="K40" s="103" t="n"/>
    </row>
    <row r="41" customFormat="1" s="33">
      <c r="B41" s="33" t="inlineStr">
        <is>
          <t>IS check</t>
        </is>
      </c>
      <c r="C41" s="35">
        <f>IF(C18-C23-C25+C27-C29-C30+C31+C32-C33=0,"OK","FLAG")</f>
        <v/>
      </c>
      <c r="D41" s="35">
        <f>IF(D18-D23-D25+D27-D29-D30+D31+D32-D33=0,"OK","FLAG")</f>
        <v/>
      </c>
      <c r="E41" s="35">
        <f>IF(E18-E23-E25+E27-E29-E30+E31+E32-E33=0,"OK","FLAG")</f>
        <v/>
      </c>
      <c r="F41" s="35">
        <f>IF(F18-F23-F25+F27-F29-F30+F31+F32-F33=0,"OK","FLAG")</f>
        <v/>
      </c>
      <c r="G41" s="35">
        <f>IF(G18-G23-G25+G27-G29-G30+G31+G32-G33=0,"OK","FLAG")</f>
        <v/>
      </c>
      <c r="H41" s="35">
        <f>IF(H18-H23-H25+H27-H29-H30+H31+H32-H33=0,"OK","FLAG")</f>
        <v/>
      </c>
      <c r="I41" s="106">
        <f>I18-I23-I25+I27-I29-I30+I31+I32-I33</f>
        <v/>
      </c>
      <c r="J41" s="106">
        <f>J18-J23-J25+J27-J29-J30+J31+J32-J33</f>
        <v/>
      </c>
      <c r="K41" s="106">
        <f>K18-K23-K25+K27-K29-K30+K31+K32-K33</f>
        <v/>
      </c>
    </row>
    <row r="42">
      <c r="I42" s="103" t="n"/>
      <c r="J42" s="103" t="n"/>
      <c r="K42" s="110" t="n"/>
    </row>
    <row r="43" customFormat="1" s="8">
      <c r="B43" s="11" t="inlineStr">
        <is>
          <t>BALANCE SHEET</t>
        </is>
      </c>
      <c r="C43" s="12" t="n"/>
      <c r="D43" s="12" t="n"/>
      <c r="E43" s="12" t="n"/>
      <c r="F43" s="12" t="n"/>
      <c r="G43" s="12" t="n"/>
      <c r="H43" s="12" t="n"/>
      <c r="I43" s="48" t="n"/>
      <c r="J43" s="48" t="n"/>
      <c r="K43" s="48" t="n"/>
    </row>
    <row r="44">
      <c r="B44" s="3" t="inlineStr">
        <is>
          <t>Assets</t>
        </is>
      </c>
      <c r="H44" s="44" t="n"/>
      <c r="I44" s="13" t="n"/>
      <c r="J44" s="13" t="n"/>
      <c r="K44" s="13" t="n"/>
    </row>
    <row r="45">
      <c r="B45" s="4" t="inlineStr">
        <is>
          <t>Cash and cash equivalents</t>
        </is>
      </c>
      <c r="C45" s="31" t="n">
        <v>3031093</v>
      </c>
      <c r="D45" s="31" t="n">
        <v>44355962</v>
      </c>
      <c r="E45" s="31" t="n">
        <v>53681118</v>
      </c>
      <c r="F45" s="31" t="n">
        <v>50250627</v>
      </c>
      <c r="G45" s="31" t="n">
        <v>69335379</v>
      </c>
      <c r="H45" s="31" t="n">
        <v>149393561</v>
      </c>
      <c r="I45" s="13" t="n">
        <v>159701507</v>
      </c>
      <c r="J45" s="13" t="n">
        <v>86848291</v>
      </c>
      <c r="K45" s="13" t="n">
        <v>88857011</v>
      </c>
    </row>
    <row r="46">
      <c r="B46" t="inlineStr">
        <is>
          <t>Balances with Central Banks</t>
        </is>
      </c>
      <c r="C46" s="31" t="inlineStr">
        <is>
          <t>-</t>
        </is>
      </c>
      <c r="D46" s="31" t="n">
        <v>55605535</v>
      </c>
      <c r="E46" s="31" t="n">
        <v>46101232</v>
      </c>
      <c r="F46" s="31" t="n">
        <v>110971105</v>
      </c>
      <c r="G46" s="31" t="n">
        <v>241</v>
      </c>
      <c r="H46" s="31" t="n">
        <v>66439459</v>
      </c>
      <c r="I46" s="13" t="n">
        <v>621633503</v>
      </c>
      <c r="J46" s="13" t="n">
        <v>45270068</v>
      </c>
      <c r="K46" s="13" t="n">
        <v>47809989</v>
      </c>
    </row>
    <row r="47">
      <c r="B47" t="inlineStr">
        <is>
          <t>Placements with banks</t>
        </is>
      </c>
      <c r="C47" s="31" t="inlineStr">
        <is>
          <t>-</t>
        </is>
      </c>
      <c r="D47" s="31" t="n">
        <v>23989815</v>
      </c>
      <c r="E47" s="31" t="n">
        <v>24203909</v>
      </c>
      <c r="F47" s="31" t="n">
        <v>-34.06</v>
      </c>
      <c r="G47" s="31" t="n">
        <v>241</v>
      </c>
      <c r="H47" s="31" t="n">
        <v>95899645</v>
      </c>
      <c r="I47" s="13" t="n">
        <v>81506653</v>
      </c>
      <c r="J47" s="13" t="n">
        <v>99303303</v>
      </c>
      <c r="K47" s="13" t="n">
        <v>110223171</v>
      </c>
    </row>
    <row r="48">
      <c r="B48" t="inlineStr">
        <is>
          <t>Securities purchased under resale agreements</t>
        </is>
      </c>
      <c r="C48" s="31" t="inlineStr">
        <is>
          <t>-</t>
        </is>
      </c>
      <c r="D48" s="31" t="n">
        <v>9513512</v>
      </c>
      <c r="E48" s="31" t="n">
        <v>13147584</v>
      </c>
      <c r="F48" s="31" t="n">
        <v>13147534</v>
      </c>
      <c r="G48" s="31" t="n">
        <v>3000490</v>
      </c>
      <c r="H48" s="31" t="n">
        <v>1517308</v>
      </c>
      <c r="I48" s="13" t="n">
        <v>31138729</v>
      </c>
      <c r="J48" s="13" t="n">
        <v>28655962</v>
      </c>
      <c r="K48" s="13" t="n">
        <v>17446102</v>
      </c>
    </row>
    <row r="49">
      <c r="B49" t="inlineStr">
        <is>
          <t>Derivative financial assets</t>
        </is>
      </c>
      <c r="C49" s="31" t="inlineStr">
        <is>
          <t>-</t>
        </is>
      </c>
      <c r="D49" s="31" t="n">
        <v>7909962</v>
      </c>
      <c r="E49" s="31" t="n">
        <v>13809327</v>
      </c>
      <c r="F49" s="31" t="n">
        <v>44.01</v>
      </c>
      <c r="G49" s="31" t="n">
        <v>242</v>
      </c>
      <c r="H49" s="31" t="n">
        <v>8345091</v>
      </c>
      <c r="I49" s="13" t="n">
        <v>7226484</v>
      </c>
      <c r="J49" s="13" t="n">
        <v>4264271</v>
      </c>
      <c r="K49" s="13" t="n">
        <v>5422850</v>
      </c>
    </row>
    <row r="50">
      <c r="B50" t="inlineStr">
        <is>
          <t>Financial assets recognised through profit or loss – measured at fair value</t>
        </is>
      </c>
      <c r="C50" s="31" t="inlineStr">
        <is>
          <t>-</t>
        </is>
      </c>
      <c r="D50" s="31" t="n">
        <v>5520167</v>
      </c>
      <c r="E50" s="31" t="n">
        <v>21468033</v>
      </c>
      <c r="F50" s="31" t="n">
        <v>63.92</v>
      </c>
      <c r="G50" s="31" t="n">
        <v>242</v>
      </c>
      <c r="H50" s="31" t="n">
        <v>24873057</v>
      </c>
      <c r="I50" s="13" t="n">
        <v>29449653</v>
      </c>
      <c r="J50" s="13" t="n">
        <v>9167346</v>
      </c>
      <c r="K50" s="13" t="n">
        <v>111753532</v>
      </c>
    </row>
    <row r="51">
      <c r="B51" t="inlineStr">
        <is>
          <t>Financial assets at amortised cost – loans and advances to banks</t>
        </is>
      </c>
      <c r="C51" s="31" t="inlineStr">
        <is>
          <t>-</t>
        </is>
      </c>
      <c r="D51" s="31" t="n">
        <v>763074</v>
      </c>
      <c r="E51" s="31" t="n">
        <v>757787</v>
      </c>
      <c r="F51" s="31" t="n">
        <v>2.89</v>
      </c>
      <c r="G51" s="16" t="n">
        <v>245</v>
      </c>
      <c r="H51" s="16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</row>
    <row r="52">
      <c r="B52" t="inlineStr">
        <is>
          <t>Financial assets at amortised cost – loans and advances to other customers</t>
        </is>
      </c>
      <c r="C52" s="31" t="inlineStr">
        <is>
          <t>-</t>
        </is>
      </c>
      <c r="D52" s="31" t="n">
        <v>867611976</v>
      </c>
      <c r="E52" s="31" t="n">
        <v>893919311</v>
      </c>
      <c r="F52" s="31" t="n">
        <v>1.77</v>
      </c>
      <c r="G52" s="31" t="n">
        <v>246</v>
      </c>
      <c r="H52" s="31" t="n">
        <v>1130442579</v>
      </c>
      <c r="I52" s="13" t="n">
        <v>1176360000</v>
      </c>
      <c r="J52" s="13" t="n">
        <v>1384524660</v>
      </c>
      <c r="K52" s="13" t="n">
        <v>1958506596</v>
      </c>
    </row>
    <row r="53">
      <c r="B53" t="inlineStr">
        <is>
          <t>Financial assets at amortised cost – debt and other financial instruments</t>
        </is>
      </c>
      <c r="C53" s="31" t="inlineStr">
        <is>
          <t>-</t>
        </is>
      </c>
      <c r="D53" s="31" t="n">
        <v>89274113</v>
      </c>
      <c r="E53" s="31" t="n">
        <v>107059021</v>
      </c>
      <c r="F53" s="31" t="n">
        <v>182.14</v>
      </c>
      <c r="G53" s="31" t="n">
        <v>250</v>
      </c>
      <c r="H53" s="31" t="n">
        <v>725935929</v>
      </c>
      <c r="I53" s="13" t="n">
        <v>685155537</v>
      </c>
      <c r="J53" s="13" t="n">
        <v>667709691</v>
      </c>
      <c r="K53" s="13" t="n">
        <v>731263697</v>
      </c>
    </row>
    <row r="54">
      <c r="B54" t="inlineStr">
        <is>
          <t>Financial assets measured at fair value through other comprehensive income</t>
        </is>
      </c>
      <c r="C54" s="31" t="inlineStr">
        <is>
          <t>-</t>
        </is>
      </c>
      <c r="D54" s="31" t="n">
        <v>176760611</v>
      </c>
      <c r="E54" s="31" t="n">
        <v>197825017</v>
      </c>
      <c r="F54" s="31" t="n">
        <v>278461369</v>
      </c>
      <c r="G54" s="31" t="n">
        <v>251</v>
      </c>
      <c r="H54" s="31" t="n">
        <v>117056240</v>
      </c>
      <c r="I54" s="13" t="n">
        <v>287732972</v>
      </c>
      <c r="J54" s="13" t="n">
        <v>4090697</v>
      </c>
      <c r="K54" s="13" t="n">
        <v>2911061462</v>
      </c>
    </row>
    <row r="55">
      <c r="B55" t="inlineStr">
        <is>
          <t>Investments in subsidiaries</t>
        </is>
      </c>
      <c r="C55" s="31" t="n">
        <v>5808</v>
      </c>
      <c r="D55" s="31" t="n">
        <v>80575</v>
      </c>
      <c r="E55" s="31" t="n">
        <v>85397</v>
      </c>
      <c r="F55" s="31" t="n">
        <v>5082437</v>
      </c>
      <c r="G55" s="31" t="n">
        <v>254</v>
      </c>
      <c r="H55" s="31" t="n">
        <v>5808439</v>
      </c>
      <c r="I55" s="13" t="n">
        <v>5808000</v>
      </c>
      <c r="J55" s="13" t="n">
        <v>5088429</v>
      </c>
      <c r="K55" s="13" t="n">
        <v>-332880</v>
      </c>
    </row>
    <row r="56">
      <c r="B56" t="inlineStr">
        <is>
          <t>Investment in associate</t>
        </is>
      </c>
      <c r="C56" s="31" t="inlineStr">
        <is>
          <t>-</t>
        </is>
      </c>
      <c r="D56" s="31" t="n">
        <v>105320</v>
      </c>
      <c r="E56" s="31" t="n">
        <v>56821</v>
      </c>
      <c r="F56" s="31" t="n">
        <v>4341</v>
      </c>
      <c r="G56" s="31" t="n">
        <v>255</v>
      </c>
      <c r="H56" s="31" t="n">
        <v>4331</v>
      </c>
      <c r="I56" s="13" t="n">
        <v>59004</v>
      </c>
      <c r="J56" s="13" t="n">
        <v>48431</v>
      </c>
      <c r="K56" s="13" t="inlineStr">
        <is>
          <t>-</t>
        </is>
      </c>
    </row>
    <row r="57">
      <c r="B57" t="inlineStr">
        <is>
          <t>Property, plant and equipment and right-of-use assets</t>
        </is>
      </c>
      <c r="C57" s="31" t="inlineStr">
        <is>
          <t>-</t>
        </is>
      </c>
      <c r="D57" s="31" t="n">
        <v>17015935</v>
      </c>
      <c r="E57" s="31" t="n">
        <v>22423346</v>
      </c>
      <c r="F57" s="31" t="n">
        <v>22312394</v>
      </c>
      <c r="G57" s="31" t="n">
        <v>257</v>
      </c>
      <c r="H57" s="31" t="n">
        <v>25452452</v>
      </c>
      <c r="I57" s="13" t="n">
        <v>297294266</v>
      </c>
      <c r="J57" s="13" t="n">
        <v>270604688</v>
      </c>
      <c r="K57" s="13" t="n">
        <v>31652401</v>
      </c>
    </row>
    <row r="58">
      <c r="B58" t="inlineStr">
        <is>
          <t>Investment properties</t>
        </is>
      </c>
      <c r="C58" s="31" t="inlineStr">
        <is>
          <t>-</t>
        </is>
      </c>
      <c r="D58" s="31" t="inlineStr">
        <is>
          <t>-</t>
        </is>
      </c>
      <c r="E58" s="31" t="n">
        <v>46350</v>
      </c>
      <c r="F58" s="31" t="n">
        <v>6710156</v>
      </c>
      <c r="G58" s="31" t="n">
        <v>269</v>
      </c>
      <c r="H58" s="31" t="inlineStr">
        <is>
          <t>-</t>
        </is>
      </c>
      <c r="I58" s="13" t="n">
        <v>897825</v>
      </c>
      <c r="J58" s="13" t="n">
        <v>3225</v>
      </c>
      <c r="K58" s="13" t="n">
        <v>775060</v>
      </c>
    </row>
    <row r="59">
      <c r="B59" t="inlineStr">
        <is>
          <t>Intangible assets</t>
        </is>
      </c>
      <c r="C59" s="31" t="n">
        <v>-346360</v>
      </c>
      <c r="D59" s="31" t="n">
        <v>1433961</v>
      </c>
      <c r="E59" s="31" t="n">
        <v>1645714</v>
      </c>
      <c r="F59" s="31" t="n">
        <v>9.710000000000001</v>
      </c>
      <c r="G59" s="31" t="n">
        <v>270</v>
      </c>
      <c r="H59" s="31" t="n">
        <v>3536120</v>
      </c>
      <c r="I59" s="13" t="n">
        <v>5489404</v>
      </c>
      <c r="J59" s="13" t="n">
        <v>4221381</v>
      </c>
      <c r="K59" s="13" t="n">
        <v>5008060</v>
      </c>
    </row>
    <row r="60">
      <c r="B60" t="inlineStr">
        <is>
          <t>Deferred tax assets</t>
        </is>
      </c>
      <c r="C60" s="31" t="inlineStr">
        <is>
          <t>-</t>
        </is>
      </c>
      <c r="D60" s="31" t="n">
        <v>188487</v>
      </c>
      <c r="E60" s="31" t="n">
        <v>530165</v>
      </c>
      <c r="F60" s="31" t="n">
        <v>-17.51</v>
      </c>
      <c r="G60" s="31" t="n">
        <v>272</v>
      </c>
      <c r="H60" s="31" t="n">
        <v>30041203</v>
      </c>
      <c r="I60" s="13" t="n">
        <v>354411610</v>
      </c>
      <c r="J60" s="13" t="n">
        <v>10832584</v>
      </c>
      <c r="K60" s="13" t="n">
        <v>14409667</v>
      </c>
    </row>
    <row r="61">
      <c r="B61" t="inlineStr">
        <is>
          <t>Other assets</t>
        </is>
      </c>
      <c r="C61" s="31" t="inlineStr">
        <is>
          <t>-</t>
        </is>
      </c>
      <c r="D61" s="31" t="n">
        <v>23011122</v>
      </c>
      <c r="E61" s="31" t="n">
        <v>23243369</v>
      </c>
      <c r="F61" s="31" t="n">
        <v>-13.86</v>
      </c>
      <c r="G61" s="31" t="n">
        <v>274</v>
      </c>
      <c r="H61" s="31" t="n">
        <v>40259849</v>
      </c>
      <c r="I61" s="13" t="n">
        <v>37735161</v>
      </c>
      <c r="J61" s="13" t="n">
        <v>29755134</v>
      </c>
      <c r="K61" s="13" t="n">
        <v>140899086</v>
      </c>
    </row>
    <row r="62" ht="15" customHeight="1" thickBot="1">
      <c r="B62" s="3" t="inlineStr">
        <is>
          <t>Total assets</t>
        </is>
      </c>
      <c r="C62" s="29" t="inlineStr">
        <is>
          <t>-</t>
        </is>
      </c>
      <c r="D62" s="29" t="n">
        <v>1319912237</v>
      </c>
      <c r="E62" s="29" t="n">
        <v>1048941366</v>
      </c>
      <c r="F62" s="29" t="n">
        <v>1736218021</v>
      </c>
      <c r="G62" s="29" t="n">
        <v>1983091144</v>
      </c>
      <c r="H62" s="29" t="n">
        <v>2425793952</v>
      </c>
      <c r="I62" s="18" t="n">
        <v>2655611675</v>
      </c>
      <c r="J62" s="18" t="n">
        <v>2789780828</v>
      </c>
      <c r="K62" s="18" t="n">
        <v>3378846406</v>
      </c>
    </row>
    <row r="63" ht="15" customHeight="1" thickTop="1">
      <c r="B63" s="3" t="inlineStr">
        <is>
          <t>Liabilities</t>
        </is>
      </c>
      <c r="I63" s="13" t="n"/>
      <c r="J63" s="13" t="n"/>
      <c r="K63" s="13" t="n"/>
    </row>
    <row r="64">
      <c r="B64" s="4" t="inlineStr">
        <is>
          <t>Due to banks</t>
        </is>
      </c>
      <c r="C64" s="31" t="inlineStr">
        <is>
          <t>-</t>
        </is>
      </c>
      <c r="D64" s="31" t="inlineStr">
        <is>
          <t>-</t>
        </is>
      </c>
      <c r="E64" s="31" t="inlineStr">
        <is>
          <t>-</t>
        </is>
      </c>
      <c r="F64" s="31" t="n">
        <v>65.12</v>
      </c>
      <c r="G64" s="31" t="inlineStr">
        <is>
          <t>-</t>
        </is>
      </c>
      <c r="H64" s="31" t="n">
        <v>65130000</v>
      </c>
      <c r="I64" s="13" t="n">
        <v>47274000</v>
      </c>
      <c r="J64" s="13" t="inlineStr">
        <is>
          <t>-</t>
        </is>
      </c>
      <c r="K64" s="13" t="n">
        <v>29724000</v>
      </c>
    </row>
    <row r="65">
      <c r="B65" t="inlineStr">
        <is>
          <t>Derivative financial liabilities</t>
        </is>
      </c>
      <c r="C65" s="31" t="inlineStr">
        <is>
          <t>-</t>
        </is>
      </c>
      <c r="D65" s="31" t="inlineStr">
        <is>
          <t>-</t>
        </is>
      </c>
      <c r="E65" s="31" t="inlineStr">
        <is>
          <t>-</t>
        </is>
      </c>
      <c r="F65" s="31" t="n">
        <v>-0.01</v>
      </c>
      <c r="G65" s="31" t="inlineStr">
        <is>
          <t>-</t>
        </is>
      </c>
      <c r="H65" s="31" t="n">
        <v>2881000</v>
      </c>
      <c r="I65" s="13" t="n">
        <v>2319000</v>
      </c>
      <c r="J65" s="13" t="inlineStr">
        <is>
          <t>-</t>
        </is>
      </c>
      <c r="K65" s="13" t="n">
        <v>1263000</v>
      </c>
    </row>
    <row r="66">
      <c r="B66" t="inlineStr">
        <is>
          <t>Securities sold under repurchase agreements</t>
        </is>
      </c>
      <c r="C66" s="31" t="inlineStr">
        <is>
          <t>-</t>
        </is>
      </c>
      <c r="D66" s="31" t="inlineStr">
        <is>
          <t>-</t>
        </is>
      </c>
      <c r="E66" s="31" t="inlineStr">
        <is>
          <t>-</t>
        </is>
      </c>
      <c r="F66" s="31" t="n">
        <v>3947612</v>
      </c>
      <c r="G66" s="31" t="inlineStr">
        <is>
          <t>-</t>
        </is>
      </c>
      <c r="H66" s="31" t="n">
        <v>97726000</v>
      </c>
      <c r="I66" s="13" t="n">
        <v>111199000</v>
      </c>
      <c r="J66" s="13" t="inlineStr">
        <is>
          <t>-</t>
        </is>
      </c>
      <c r="K66" s="13" t="n">
        <v>110462000</v>
      </c>
    </row>
    <row r="67">
      <c r="B67" t="inlineStr">
        <is>
          <t>Financial liabilities at amortised cost – due to depositors</t>
        </is>
      </c>
      <c r="C67" s="31" t="inlineStr">
        <is>
          <t>-</t>
        </is>
      </c>
      <c r="D67" s="31" t="inlineStr">
        <is>
          <t>-</t>
        </is>
      </c>
      <c r="E67" s="31" t="inlineStr">
        <is>
          <t>-</t>
        </is>
      </c>
      <c r="F67" s="31" t="n">
        <v>20.36</v>
      </c>
      <c r="G67" s="31" t="inlineStr">
        <is>
          <t>-</t>
        </is>
      </c>
      <c r="H67" s="31" t="n">
        <v>1914359000</v>
      </c>
      <c r="I67" s="13" t="n">
        <v>2085046000</v>
      </c>
      <c r="J67" s="13" t="inlineStr">
        <is>
          <t>-</t>
        </is>
      </c>
      <c r="K67" s="13" t="n">
        <v>2608852000</v>
      </c>
    </row>
    <row r="68">
      <c r="B68" t="inlineStr">
        <is>
          <t>Financial liabilities at amortised cost – other borrowings</t>
        </is>
      </c>
      <c r="C68" s="31" t="inlineStr">
        <is>
          <t>-</t>
        </is>
      </c>
      <c r="D68" s="31" t="inlineStr">
        <is>
          <t>-</t>
        </is>
      </c>
      <c r="E68" s="31" t="inlineStr">
        <is>
          <t>-</t>
        </is>
      </c>
      <c r="F68" s="31" t="n">
        <v>-13.46</v>
      </c>
      <c r="G68" s="31" t="inlineStr">
        <is>
          <t>-</t>
        </is>
      </c>
      <c r="H68" s="31" t="n">
        <v>16150000</v>
      </c>
      <c r="I68" s="13" t="n">
        <v>12756000</v>
      </c>
      <c r="J68" s="13" t="inlineStr">
        <is>
          <t>-</t>
        </is>
      </c>
      <c r="K68" s="13" t="n">
        <v>14246000</v>
      </c>
    </row>
    <row r="69">
      <c r="B69" t="inlineStr">
        <is>
          <t>Current tax liabilities</t>
        </is>
      </c>
      <c r="C69" s="31" t="inlineStr">
        <is>
          <t>-</t>
        </is>
      </c>
      <c r="D69" s="31" t="inlineStr">
        <is>
          <t>-</t>
        </is>
      </c>
      <c r="E69" s="31" t="inlineStr">
        <is>
          <t>-</t>
        </is>
      </c>
      <c r="F69" s="31" t="n">
        <v>34.58</v>
      </c>
      <c r="G69" s="31" t="inlineStr">
        <is>
          <t>-</t>
        </is>
      </c>
      <c r="H69" s="31" t="n">
        <v>24475000</v>
      </c>
      <c r="I69" s="13" t="n">
        <v>14952000</v>
      </c>
      <c r="J69" s="13" t="inlineStr">
        <is>
          <t>-</t>
        </is>
      </c>
      <c r="K69" s="13" t="n">
        <v>25759000</v>
      </c>
    </row>
    <row r="70">
      <c r="B70" t="inlineStr">
        <is>
          <t>Deferred tax liabilities</t>
        </is>
      </c>
      <c r="C70" s="31" t="inlineStr">
        <is>
          <t>-</t>
        </is>
      </c>
      <c r="D70" s="31" t="inlineStr">
        <is>
          <t>-</t>
        </is>
      </c>
      <c r="E70" s="31" t="inlineStr">
        <is>
          <t>-</t>
        </is>
      </c>
      <c r="F70" s="31" t="n">
        <v>-3.03</v>
      </c>
      <c r="G70" s="31" t="inlineStr">
        <is>
          <t>-</t>
        </is>
      </c>
      <c r="H70" s="31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</row>
    <row r="71">
      <c r="B71" t="inlineStr">
        <is>
          <t>Other liabilities</t>
        </is>
      </c>
      <c r="C71" s="31" t="inlineStr">
        <is>
          <t>-</t>
        </is>
      </c>
      <c r="D71" s="31" t="inlineStr">
        <is>
          <t>-</t>
        </is>
      </c>
      <c r="E71" s="31" t="inlineStr">
        <is>
          <t>-</t>
        </is>
      </c>
      <c r="F71" s="31" t="n">
        <v>9.09</v>
      </c>
      <c r="G71" s="31" t="inlineStr">
        <is>
          <t>-</t>
        </is>
      </c>
      <c r="H71" s="31" t="n">
        <v>39861000</v>
      </c>
      <c r="I71" s="13" t="n">
        <v>55050000</v>
      </c>
      <c r="J71" s="13" t="inlineStr">
        <is>
          <t>-</t>
        </is>
      </c>
      <c r="K71" s="13" t="n">
        <v>69681000</v>
      </c>
    </row>
    <row r="72">
      <c r="B72" t="inlineStr">
        <is>
          <t>Due to subsidiaries</t>
        </is>
      </c>
      <c r="C72" s="31" t="inlineStr">
        <is>
          <t>-</t>
        </is>
      </c>
      <c r="D72" s="31" t="inlineStr">
        <is>
          <t>-</t>
        </is>
      </c>
      <c r="E72" s="31" t="inlineStr">
        <is>
          <t>-</t>
        </is>
      </c>
      <c r="F72" s="31" t="n">
        <v>3389</v>
      </c>
      <c r="G72" s="31" t="inlineStr">
        <is>
          <t>-</t>
        </is>
      </c>
      <c r="H72" s="31" t="n">
        <v>115000</v>
      </c>
      <c r="I72" s="13" t="n">
        <v>317000</v>
      </c>
      <c r="J72" s="13" t="inlineStr">
        <is>
          <t>-</t>
        </is>
      </c>
      <c r="K72" s="13" t="n">
        <v>139000</v>
      </c>
    </row>
    <row r="73">
      <c r="B73" t="inlineStr">
        <is>
          <t>Subordinated liabilities</t>
        </is>
      </c>
      <c r="C73" s="31" t="n">
        <v>1535349</v>
      </c>
      <c r="D73" s="31" t="n">
        <v>3105553</v>
      </c>
      <c r="E73" s="31" t="n">
        <v>3848979</v>
      </c>
      <c r="F73" s="31" t="n">
        <v>0.99</v>
      </c>
      <c r="G73" s="31" t="n">
        <v>3398554</v>
      </c>
      <c r="H73" s="31" t="n">
        <v>61401000</v>
      </c>
      <c r="I73" s="13" t="n">
        <v>36483000</v>
      </c>
      <c r="J73" s="13" t="n">
        <v>7242090</v>
      </c>
      <c r="K73" s="13" t="n">
        <v>73322000</v>
      </c>
    </row>
    <row r="74" ht="15" customHeight="1" thickBot="1">
      <c r="B74" s="3" t="inlineStr">
        <is>
          <t>Total liabilities</t>
        </is>
      </c>
      <c r="C74" s="86" t="n">
        <v>1158860856</v>
      </c>
      <c r="D74" s="86" t="inlineStr">
        <is>
          <t>-</t>
        </is>
      </c>
      <c r="E74" s="86" t="inlineStr">
        <is>
          <t>-</t>
        </is>
      </c>
      <c r="F74" s="86" t="n">
        <v>1579071845</v>
      </c>
      <c r="G74" s="86" t="inlineStr">
        <is>
          <t>-</t>
        </is>
      </c>
      <c r="H74" s="86" t="n">
        <v>2222099000</v>
      </c>
      <c r="I74" s="49" t="n">
        <v>2365397000</v>
      </c>
      <c r="J74" s="49" t="inlineStr">
        <is>
          <t>-</t>
        </is>
      </c>
      <c r="K74" s="49" t="n">
        <v>2933629000</v>
      </c>
    </row>
    <row r="75" ht="15" customHeight="1" thickTop="1">
      <c r="B75" s="3" t="inlineStr">
        <is>
          <t>Equity</t>
        </is>
      </c>
      <c r="I75" s="13" t="n"/>
      <c r="J75" s="13" t="n"/>
      <c r="K75" s="13" t="n"/>
    </row>
    <row r="76">
      <c r="B76" s="4" t="inlineStr">
        <is>
          <t>Stated capital</t>
        </is>
      </c>
      <c r="C76" s="31" t="n">
        <v>278</v>
      </c>
      <c r="D76" s="31" t="inlineStr">
        <is>
          <t>-</t>
        </is>
      </c>
      <c r="E76" s="31" t="inlineStr">
        <is>
          <t>-</t>
        </is>
      </c>
      <c r="F76" s="31" t="n">
        <v>27.55</v>
      </c>
      <c r="G76" s="31" t="inlineStr">
        <is>
          <t>-</t>
        </is>
      </c>
      <c r="H76" s="31" t="n">
        <v>58150000</v>
      </c>
      <c r="I76" s="13" t="n">
        <v>62948000</v>
      </c>
      <c r="J76" s="13" t="inlineStr">
        <is>
          <t>-</t>
        </is>
      </c>
      <c r="K76" s="13" t="n">
        <v>91558000</v>
      </c>
    </row>
    <row r="77">
      <c r="B77" t="inlineStr">
        <is>
          <t>Statutory reserves</t>
        </is>
      </c>
      <c r="C77" s="31" t="n">
        <v>282</v>
      </c>
      <c r="D77" s="31" t="inlineStr">
        <is>
          <t>-</t>
        </is>
      </c>
      <c r="E77" s="31" t="inlineStr">
        <is>
          <t>-</t>
        </is>
      </c>
      <c r="F77" s="31" t="n">
        <v>10.7</v>
      </c>
      <c r="G77" s="31" t="inlineStr">
        <is>
          <t>-</t>
        </is>
      </c>
      <c r="H77" s="31" t="n">
        <v>11353000</v>
      </c>
      <c r="I77" s="13" t="n">
        <v>12376000</v>
      </c>
      <c r="J77" s="13" t="inlineStr">
        <is>
          <t>-</t>
        </is>
      </c>
      <c r="K77" s="13" t="n">
        <v>18004000</v>
      </c>
    </row>
    <row r="78">
      <c r="B78" t="inlineStr">
        <is>
          <t>Retained earnings</t>
        </is>
      </c>
      <c r="C78" s="31" t="n">
        <v>282</v>
      </c>
      <c r="D78" s="31" t="inlineStr">
        <is>
          <t>-</t>
        </is>
      </c>
      <c r="E78" s="31" t="inlineStr">
        <is>
          <t>-</t>
        </is>
      </c>
      <c r="F78" s="31" t="n">
        <v>56.72</v>
      </c>
      <c r="G78" s="31" t="inlineStr">
        <is>
          <t>-</t>
        </is>
      </c>
      <c r="H78" s="31" t="n">
        <v>128604000</v>
      </c>
      <c r="I78" s="13" t="n">
        <v>8558000</v>
      </c>
      <c r="J78" s="13" t="inlineStr">
        <is>
          <t>-</t>
        </is>
      </c>
      <c r="K78" s="13" t="n">
        <v>17282000</v>
      </c>
    </row>
    <row r="79">
      <c r="B79" t="inlineStr">
        <is>
          <t>Other reserves</t>
        </is>
      </c>
      <c r="C79" s="31" t="n">
        <v>283</v>
      </c>
      <c r="D79" s="31" t="inlineStr">
        <is>
          <t>-</t>
        </is>
      </c>
      <c r="E79" s="31" t="inlineStr">
        <is>
          <t>-</t>
        </is>
      </c>
      <c r="F79" s="31" t="n">
        <v>13.18</v>
      </c>
      <c r="G79" s="31" t="inlineStr">
        <is>
          <t>-</t>
        </is>
      </c>
      <c r="H79" s="31" t="inlineStr">
        <is>
          <t>-</t>
        </is>
      </c>
      <c r="I79" s="13" t="n">
        <v>131049000</v>
      </c>
      <c r="J79" s="13" t="inlineStr">
        <is>
          <t>-</t>
        </is>
      </c>
      <c r="K79" s="13" t="n">
        <v>197476000</v>
      </c>
    </row>
    <row r="80">
      <c r="B80" s="3" t="inlineStr">
        <is>
          <t>Total equity attributable to equity holders of the Bank</t>
        </is>
      </c>
      <c r="C80" s="86" t="n">
        <v>16605963</v>
      </c>
      <c r="D80" s="86" t="inlineStr">
        <is>
          <t>-</t>
        </is>
      </c>
      <c r="E80" s="86" t="n">
        <v>17263259</v>
      </c>
      <c r="F80" s="86" t="n">
        <v>149826426</v>
      </c>
      <c r="G80" s="86" t="n">
        <v>24062469</v>
      </c>
      <c r="H80" s="86" t="n">
        <v>23811914</v>
      </c>
      <c r="I80" s="49" t="n">
        <v>21114675</v>
      </c>
      <c r="J80" s="49" t="n">
        <v>55073240</v>
      </c>
      <c r="K80" s="49" t="n">
        <v>60110183</v>
      </c>
    </row>
    <row r="81">
      <c r="B81" t="inlineStr">
        <is>
          <t>Non-controlling interest</t>
        </is>
      </c>
      <c r="C81" s="31" t="n">
        <v>20544</v>
      </c>
      <c r="D81" s="31" t="inlineStr">
        <is>
          <t>-</t>
        </is>
      </c>
      <c r="E81" s="31" t="n">
        <v>157137</v>
      </c>
      <c r="F81" s="31" t="n">
        <v>157137</v>
      </c>
      <c r="G81" s="31" t="n">
        <v>227819</v>
      </c>
      <c r="H81" s="31" t="n">
        <v>587558</v>
      </c>
      <c r="I81" s="13" t="n">
        <v>784985</v>
      </c>
      <c r="J81" s="13" t="n">
        <v>613172</v>
      </c>
      <c r="K81" s="13" t="n">
        <v>827334</v>
      </c>
    </row>
    <row r="82">
      <c r="B82" s="3" t="inlineStr">
        <is>
          <t>Total equity</t>
        </is>
      </c>
      <c r="C82" s="26" t="n">
        <v>108866766</v>
      </c>
      <c r="D82" s="86" t="inlineStr">
        <is>
          <t>-</t>
        </is>
      </c>
      <c r="E82" s="86" t="inlineStr">
        <is>
          <t>-</t>
        </is>
      </c>
      <c r="F82" s="86" t="n">
        <v>157146126</v>
      </c>
      <c r="G82" s="86" t="inlineStr">
        <is>
          <t>-</t>
        </is>
      </c>
      <c r="H82" s="86" t="inlineStr">
        <is>
          <t>-</t>
        </is>
      </c>
      <c r="I82" s="49" t="n">
        <v>214931000</v>
      </c>
      <c r="J82" s="49" t="inlineStr">
        <is>
          <t>-</t>
        </is>
      </c>
      <c r="K82" s="49" t="inlineStr">
        <is>
          <t>-</t>
        </is>
      </c>
    </row>
    <row r="83" ht="15" customHeight="1" thickBot="1">
      <c r="B83" s="3" t="inlineStr">
        <is>
          <t>Total liabilities and equity</t>
        </is>
      </c>
      <c r="C83" s="29" t="n">
        <v>1158860856</v>
      </c>
      <c r="D83" s="29" t="inlineStr">
        <is>
          <t>-</t>
        </is>
      </c>
      <c r="E83" s="29" t="inlineStr">
        <is>
          <t>-</t>
        </is>
      </c>
      <c r="F83" s="29" t="n">
        <v>1736218021</v>
      </c>
      <c r="G83" s="29" t="inlineStr">
        <is>
          <t>-</t>
        </is>
      </c>
      <c r="H83" s="29" t="n">
        <v>2425798000</v>
      </c>
      <c r="I83" s="18" t="n">
        <v>2580328000</v>
      </c>
      <c r="J83" s="18" t="inlineStr">
        <is>
          <t>-</t>
        </is>
      </c>
      <c r="K83" s="18" t="n">
        <v>3257948000</v>
      </c>
    </row>
    <row r="84" ht="15" customHeight="1" thickTop="1">
      <c r="B84" t="inlineStr">
        <is>
          <t>Contingent liabilities and commitments</t>
        </is>
      </c>
      <c r="C84" s="31" t="n">
        <v>85</v>
      </c>
      <c r="D84" s="31" t="inlineStr">
        <is>
          <t>-</t>
        </is>
      </c>
      <c r="E84" s="31" t="inlineStr">
        <is>
          <t>-</t>
        </is>
      </c>
      <c r="F84" s="31" t="n">
        <v>25.75</v>
      </c>
      <c r="G84" s="31" t="inlineStr">
        <is>
          <t>-</t>
        </is>
      </c>
      <c r="H84" s="31" t="n">
        <v>549422000</v>
      </c>
      <c r="I84" s="13" t="n">
        <v>668876000</v>
      </c>
      <c r="J84" s="13" t="inlineStr">
        <is>
          <t>-</t>
        </is>
      </c>
      <c r="K84" s="13" t="n">
        <v>981205000</v>
      </c>
    </row>
    <row r="85">
      <c r="B85" s="3" t="inlineStr">
        <is>
          <t>Net assets value per ordinary share (Rs.)</t>
        </is>
      </c>
      <c r="C85" s="30" t="n">
        <v>287</v>
      </c>
      <c r="D85" s="30" t="inlineStr">
        <is>
          <t>-</t>
        </is>
      </c>
      <c r="E85" s="30" t="inlineStr">
        <is>
          <t>-</t>
        </is>
      </c>
      <c r="F85" s="30" t="n">
        <v>4.27</v>
      </c>
      <c r="G85" s="30" t="inlineStr">
        <is>
          <t>-</t>
        </is>
      </c>
      <c r="H85" s="30" t="inlineStr">
        <is>
          <t>-</t>
        </is>
      </c>
      <c r="I85" s="101" t="inlineStr">
        <is>
          <t>-</t>
        </is>
      </c>
      <c r="J85" s="101" t="inlineStr">
        <is>
          <t>-</t>
        </is>
      </c>
      <c r="K85" s="101" t="inlineStr">
        <is>
          <t>-</t>
        </is>
      </c>
    </row>
    <row r="86" customFormat="1" s="21">
      <c r="B86" s="21" t="inlineStr">
        <is>
          <t>Memorandum information</t>
        </is>
      </c>
      <c r="C86" s="22" t="inlineStr">
        <is>
          <t>-</t>
        </is>
      </c>
      <c r="D86" s="22" t="inlineStr">
        <is>
          <t>-</t>
        </is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50" t="inlineStr">
        <is>
          <t>-</t>
        </is>
      </c>
      <c r="J86" s="50" t="inlineStr">
        <is>
          <t>-</t>
        </is>
      </c>
      <c r="K86" s="50" t="inlineStr">
        <is>
          <t>-</t>
        </is>
      </c>
    </row>
    <row r="87" customFormat="1" s="21">
      <c r="B87" s="21" t="inlineStr">
        <is>
          <t>Number of employees</t>
        </is>
      </c>
      <c r="C87" s="32" t="inlineStr">
        <is>
          <t>-</t>
        </is>
      </c>
      <c r="D87" s="32" t="inlineStr">
        <is>
          <t>-</t>
        </is>
      </c>
      <c r="E87" s="32" t="inlineStr">
        <is>
          <t>-</t>
        </is>
      </c>
      <c r="F87" s="32" t="n">
        <v>5057</v>
      </c>
      <c r="G87" s="32" t="inlineStr">
        <is>
          <t>-</t>
        </is>
      </c>
      <c r="H87" s="32" t="inlineStr">
        <is>
          <t>-</t>
        </is>
      </c>
      <c r="I87" s="50" t="inlineStr">
        <is>
          <t>-</t>
        </is>
      </c>
      <c r="J87" s="50" t="inlineStr">
        <is>
          <t>-</t>
        </is>
      </c>
      <c r="K87" s="50" t="inlineStr">
        <is>
          <t>-</t>
        </is>
      </c>
    </row>
    <row r="88" customFormat="1" s="21">
      <c r="B88" s="21" t="inlineStr">
        <is>
          <t>Number of customer service centres</t>
        </is>
      </c>
      <c r="C88" s="32" t="inlineStr">
        <is>
          <t>-</t>
        </is>
      </c>
      <c r="D88" s="32" t="inlineStr">
        <is>
          <t>-</t>
        </is>
      </c>
      <c r="E88" s="32" t="inlineStr">
        <is>
          <t>-</t>
        </is>
      </c>
      <c r="F88" s="32" t="n">
        <v>287</v>
      </c>
      <c r="G88" s="32" t="inlineStr">
        <is>
          <t>-</t>
        </is>
      </c>
      <c r="H88" s="32" t="inlineStr">
        <is>
          <t>-</t>
        </is>
      </c>
      <c r="I88" s="50" t="inlineStr">
        <is>
          <t>-</t>
        </is>
      </c>
      <c r="J88" s="50" t="inlineStr">
        <is>
          <t>-</t>
        </is>
      </c>
      <c r="K88" s="50" t="inlineStr">
        <is>
          <t>-</t>
        </is>
      </c>
    </row>
    <row r="89">
      <c r="D89" s="13" t="n"/>
      <c r="E89" s="13" t="n"/>
      <c r="F89" s="13" t="n"/>
      <c r="G89" s="13" t="n"/>
      <c r="H89" s="13" t="n"/>
      <c r="I89" s="13" t="n"/>
      <c r="J89" s="13" t="n"/>
      <c r="K89" s="13" t="n"/>
    </row>
    <row r="90" customFormat="1" s="33">
      <c r="B90" s="33" t="inlineStr">
        <is>
          <t>BS check</t>
        </is>
      </c>
      <c r="C90" s="34">
        <f>SUM(C45:C61)-SUM(C64:C73)-SUM(C76:C79)-C81</f>
        <v/>
      </c>
      <c r="D90" s="34">
        <f>SUM(D45:D61)-SUM(D64:D73)-SUM(D76:D79)-D81</f>
        <v/>
      </c>
      <c r="E90" s="34">
        <f>SUM(E45:E61)-SUM(E64:E73)-SUM(E76:E79)-E81</f>
        <v/>
      </c>
      <c r="F90" s="34">
        <f>SUM(F45:F61)-SUM(F64:F73)-SUM(F76:F79)-F81</f>
        <v/>
      </c>
      <c r="G90" s="34">
        <f>SUM(G45:G61)-SUM(G64:G73)-SUM(G76:G79)-G81</f>
        <v/>
      </c>
      <c r="H90" s="34">
        <f>SUM(H45:H61)-SUM(H64:H73)-SUM(H76:H79)-H81</f>
        <v/>
      </c>
      <c r="I90" s="46" t="n"/>
      <c r="J90" s="46" t="n"/>
      <c r="K90" s="46" t="n"/>
    </row>
    <row r="91">
      <c r="I91" s="13" t="n"/>
      <c r="J91" s="13" t="n"/>
      <c r="K91" s="13" t="n"/>
    </row>
    <row r="92">
      <c r="B92" t="inlineStr">
        <is>
          <t>Cash / total assets</t>
        </is>
      </c>
      <c r="C92" s="156" t="inlineStr">
        <is>
          <t>-</t>
        </is>
      </c>
      <c r="D92" s="156" t="n">
        <v>1319912237</v>
      </c>
      <c r="E92" s="156" t="n">
        <v>1048941366</v>
      </c>
      <c r="F92" s="156" t="n">
        <v>1736218021</v>
      </c>
      <c r="G92" s="156" t="n">
        <v>1983091144</v>
      </c>
      <c r="H92" s="156" t="n">
        <v>2425793952</v>
      </c>
      <c r="I92" s="156" t="n">
        <v>2655611675</v>
      </c>
      <c r="J92" s="156" t="n">
        <v>2789780828</v>
      </c>
      <c r="K92" s="156" t="n">
        <v>3378846406</v>
      </c>
    </row>
    <row r="93">
      <c r="H93" s="156">
        <f>((H88/E88)^(1/3))-1</f>
        <v/>
      </c>
      <c r="I93" s="13" t="n"/>
      <c r="J93" s="13" t="n"/>
      <c r="K93" s="13" t="n"/>
    </row>
    <row r="94" customFormat="1" s="8">
      <c r="B94" s="11" t="inlineStr">
        <is>
          <t>CASH FLOW STATEMENT</t>
        </is>
      </c>
      <c r="C94" s="12" t="n"/>
      <c r="D94" s="12" t="n"/>
      <c r="E94" s="12" t="n"/>
      <c r="F94" s="12" t="n"/>
      <c r="G94" s="12" t="n"/>
      <c r="H94" s="12" t="n"/>
      <c r="I94" s="48" t="n"/>
      <c r="J94" s="48" t="n"/>
      <c r="K94" s="48" t="n"/>
    </row>
    <row r="95">
      <c r="I95" s="13" t="n"/>
      <c r="J95" s="13" t="n"/>
      <c r="K95" s="13" t="n"/>
    </row>
    <row r="96">
      <c r="B96" t="inlineStr">
        <is>
          <t>Cash flows from operating activities Profit before income tax</t>
        </is>
      </c>
      <c r="C96" s="31" t="n">
        <v>23182944</v>
      </c>
      <c r="D96" s="31" t="n">
        <v>25591208</v>
      </c>
      <c r="E96" s="31" t="n">
        <v>22339105</v>
      </c>
      <c r="F96" s="31" t="n">
        <v>23511312</v>
      </c>
      <c r="G96" s="31" t="n">
        <v>32001203</v>
      </c>
      <c r="H96" s="31" t="n">
        <v>22598385</v>
      </c>
      <c r="I96" s="13" t="n">
        <v>33927001</v>
      </c>
      <c r="J96" s="13" t="n">
        <v>97808357</v>
      </c>
      <c r="K96" s="13" t="n">
        <v>92787421</v>
      </c>
    </row>
    <row r="97">
      <c r="B97" t="inlineStr">
        <is>
          <t>Adjustments for: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13" t="inlineStr">
        <is>
          <t>-</t>
        </is>
      </c>
      <c r="J97" s="13" t="inlineStr">
        <is>
          <t>-</t>
        </is>
      </c>
      <c r="K97" s="13" t="inlineStr">
        <is>
          <t>-</t>
        </is>
      </c>
    </row>
    <row r="98">
      <c r="B98" t="inlineStr">
        <is>
          <t>Non-cash items included in profit before tax</t>
        </is>
      </c>
      <c r="C98" s="31" t="n">
        <v>1882763</v>
      </c>
      <c r="D98" s="31" t="n">
        <v>12056211</v>
      </c>
      <c r="E98" s="31" t="n">
        <v>13702213</v>
      </c>
      <c r="F98" s="31" t="n">
        <v>24705430</v>
      </c>
      <c r="G98" s="31" t="n">
        <v>30013192</v>
      </c>
      <c r="H98" s="31" t="n">
        <v>90747133</v>
      </c>
      <c r="I98" s="13" t="n">
        <v>35977444</v>
      </c>
      <c r="J98" s="13" t="n">
        <v>97808357</v>
      </c>
      <c r="K98" s="13" t="n">
        <v>92787421</v>
      </c>
    </row>
    <row r="99">
      <c r="B99" t="inlineStr">
        <is>
          <t>Change in operating assets</t>
        </is>
      </c>
      <c r="C99" s="31" t="n">
        <v>-121579353</v>
      </c>
      <c r="D99" s="31" t="n">
        <v>-167137925</v>
      </c>
      <c r="E99" s="31" t="n">
        <v>-74749286</v>
      </c>
      <c r="F99" s="31" t="n">
        <v>-369030667</v>
      </c>
      <c r="G99" s="31" t="n">
        <v>-221556713</v>
      </c>
      <c r="H99" s="31" t="n">
        <v>-424402972</v>
      </c>
      <c r="I99" s="13" t="n">
        <v>-177671173</v>
      </c>
      <c r="J99" s="13" t="n">
        <v>-244015913</v>
      </c>
      <c r="K99" s="13" t="n">
        <v>-521753312</v>
      </c>
    </row>
    <row r="100">
      <c r="B100" t="inlineStr">
        <is>
          <t>Change in operating liabilities</t>
        </is>
      </c>
      <c r="C100" s="31" t="n">
        <v>97246867</v>
      </c>
      <c r="D100" s="31" t="n">
        <v>135473881</v>
      </c>
      <c r="E100" s="31" t="n">
        <v>65515273</v>
      </c>
      <c r="F100" s="31" t="n">
        <v>322115757</v>
      </c>
      <c r="G100" s="31" t="n">
        <v>200391382</v>
      </c>
      <c r="H100" s="31" t="n">
        <v>396536876</v>
      </c>
      <c r="I100" s="13" t="n">
        <v>181162526</v>
      </c>
      <c r="J100" s="13" t="n">
        <v>138769911</v>
      </c>
      <c r="K100" s="13" t="n">
        <v>420789987</v>
      </c>
    </row>
    <row r="101">
      <c r="B101" t="inlineStr">
        <is>
          <t>(Gains)/losses on sale of property, plant and equipment</t>
        </is>
      </c>
      <c r="C101" s="31" t="n">
        <v>-10395</v>
      </c>
      <c r="D101" s="31" t="n">
        <v>3633</v>
      </c>
      <c r="E101" s="31" t="n">
        <v>-7958</v>
      </c>
      <c r="F101" s="31" t="n">
        <v>-7958</v>
      </c>
      <c r="G101" s="31" t="n">
        <v>-5164</v>
      </c>
      <c r="H101" s="31" t="n">
        <v>-4054</v>
      </c>
      <c r="I101" s="13" t="n">
        <v>-3167</v>
      </c>
      <c r="J101" s="13" t="n">
        <v>-15939</v>
      </c>
      <c r="K101" s="13" t="n">
        <v>-25515</v>
      </c>
    </row>
    <row r="102">
      <c r="B102" t="inlineStr">
        <is>
          <t>Share of (profit)/loss of associate, net of tax</t>
        </is>
      </c>
      <c r="C102" s="31" t="inlineStr">
        <is>
          <t>-</t>
        </is>
      </c>
      <c r="D102" s="31" t="inlineStr">
        <is>
          <t>-</t>
        </is>
      </c>
      <c r="E102" s="31" t="inlineStr">
        <is>
          <t>-</t>
        </is>
      </c>
      <c r="F102" s="31" t="inlineStr">
        <is>
          <t>-</t>
        </is>
      </c>
      <c r="G102" s="31" t="inlineStr">
        <is>
          <t>-</t>
        </is>
      </c>
      <c r="H102" s="31" t="n">
        <v>-3727</v>
      </c>
      <c r="I102" s="13" t="n">
        <v>3495</v>
      </c>
      <c r="J102" s="13" t="n">
        <v>-460</v>
      </c>
      <c r="K102" s="13" t="n">
        <v>379</v>
      </c>
    </row>
    <row r="103">
      <c r="B103" t="inlineStr">
        <is>
          <t>Dividends received from investments in associate and subsidiaries</t>
        </is>
      </c>
      <c r="C103" s="31" t="inlineStr">
        <is>
          <t>-</t>
        </is>
      </c>
      <c r="D103" s="31" t="inlineStr">
        <is>
          <t>-</t>
        </is>
      </c>
      <c r="E103" s="31" t="inlineStr">
        <is>
          <t>-</t>
        </is>
      </c>
      <c r="F103" s="31" t="inlineStr">
        <is>
          <t>-</t>
        </is>
      </c>
      <c r="G103" s="31" t="n">
        <v>-105911</v>
      </c>
      <c r="H103" s="31" t="inlineStr">
        <is>
          <t>-</t>
        </is>
      </c>
      <c r="I103" s="13" t="n">
        <v>-384601</v>
      </c>
      <c r="J103" s="13" t="inlineStr">
        <is>
          <t>-</t>
        </is>
      </c>
      <c r="K103" s="13" t="inlineStr">
        <is>
          <t>-</t>
        </is>
      </c>
    </row>
    <row r="104">
      <c r="B104" t="inlineStr">
        <is>
          <t>Interest expense on subordinated liabilities</t>
        </is>
      </c>
      <c r="C104" s="31" t="n">
        <v>1535349</v>
      </c>
      <c r="D104" s="31" t="n">
        <v>3105553</v>
      </c>
      <c r="E104" s="31" t="n">
        <v>3848979</v>
      </c>
      <c r="F104" s="31" t="n">
        <v>3756921</v>
      </c>
      <c r="G104" s="31" t="n">
        <v>3398554</v>
      </c>
      <c r="H104" s="31" t="n">
        <v>3398554</v>
      </c>
      <c r="I104" s="13" t="n">
        <v>5247288</v>
      </c>
      <c r="J104" s="13" t="n">
        <v>7242090</v>
      </c>
      <c r="K104" s="13" t="n">
        <v>9230001</v>
      </c>
    </row>
    <row r="105">
      <c r="B105" t="inlineStr">
        <is>
          <t>Net unrealised gains/(losses) arising from translating the Financial Statements of foreign operations</t>
        </is>
      </c>
      <c r="C105" s="31" t="n">
        <v>438565</v>
      </c>
      <c r="D105" s="31" t="n">
        <v>2557517</v>
      </c>
      <c r="E105" s="31" t="n">
        <v>-399787</v>
      </c>
      <c r="F105" s="31" t="n">
        <v>439883</v>
      </c>
      <c r="G105" s="31" t="n">
        <v>1152856</v>
      </c>
      <c r="H105" s="31" t="n">
        <v>1278891</v>
      </c>
      <c r="I105" s="13" t="n">
        <v>18347815</v>
      </c>
      <c r="J105" s="13" t="n">
        <v>-11971874</v>
      </c>
      <c r="K105" s="13" t="n">
        <v>2888637</v>
      </c>
    </row>
    <row r="106">
      <c r="B106" t="inlineStr">
        <is>
          <t>Benefits paid on defined benefit plans</t>
        </is>
      </c>
      <c r="C106" s="31" t="n">
        <v>-179865</v>
      </c>
      <c r="D106" s="31" t="n">
        <v>-376995</v>
      </c>
      <c r="E106" s="31" t="n">
        <v>-194728</v>
      </c>
      <c r="F106" s="31" t="n">
        <v>-670487</v>
      </c>
      <c r="G106" s="31" t="n">
        <v>-1107421</v>
      </c>
      <c r="H106" s="31" t="n">
        <v>-765203</v>
      </c>
      <c r="I106" s="13" t="n">
        <v>-601335</v>
      </c>
      <c r="J106" s="13" t="n">
        <v>-270771</v>
      </c>
      <c r="K106" s="13" t="n">
        <v>-292071</v>
      </c>
    </row>
    <row r="107">
      <c r="B107" t="inlineStr">
        <is>
          <t>Income tax paid</t>
        </is>
      </c>
      <c r="C107" s="31" t="n">
        <v>-4014741</v>
      </c>
      <c r="D107" s="31" t="n">
        <v>-5856270</v>
      </c>
      <c r="E107" s="31" t="n">
        <v>-8087930</v>
      </c>
      <c r="F107" s="31" t="n">
        <v>-7748421</v>
      </c>
      <c r="G107" s="31" t="n">
        <v>-8660823</v>
      </c>
      <c r="H107" s="31" t="n">
        <v>-8963620</v>
      </c>
      <c r="I107" s="13" t="n">
        <v>-11143271</v>
      </c>
      <c r="J107" s="13" t="n">
        <v>-20193005</v>
      </c>
      <c r="K107" s="13" t="n">
        <v>-19877515</v>
      </c>
    </row>
    <row r="108">
      <c r="B108" t="inlineStr">
        <is>
          <t>Surcharge tax paid</t>
        </is>
      </c>
      <c r="C108" s="31" t="inlineStr">
        <is>
          <t>-</t>
        </is>
      </c>
      <c r="D108" s="31" t="inlineStr">
        <is>
          <t>-</t>
        </is>
      </c>
      <c r="E108" s="31" t="inlineStr">
        <is>
          <t>-</t>
        </is>
      </c>
      <c r="F108" s="31" t="inlineStr">
        <is>
          <t>-</t>
        </is>
      </c>
      <c r="G108" s="31" t="inlineStr">
        <is>
          <t>-</t>
        </is>
      </c>
      <c r="H108" s="31" t="n">
        <v>-5036184</v>
      </c>
      <c r="I108" s="13" t="inlineStr">
        <is>
          <t>-</t>
        </is>
      </c>
      <c r="J108" s="13" t="inlineStr">
        <is>
          <t>-</t>
        </is>
      </c>
      <c r="K108" s="13" t="inlineStr">
        <is>
          <t>-</t>
        </is>
      </c>
    </row>
    <row r="109">
      <c r="B109" s="3" t="inlineStr">
        <is>
          <t>Net cash from/(used in) operating activities</t>
        </is>
      </c>
      <c r="C109" s="31" t="n">
        <v>-1418518</v>
      </c>
      <c r="D109" s="31" t="n">
        <v>5332894</v>
      </c>
      <c r="E109" s="31" t="n">
        <v>21865986</v>
      </c>
      <c r="F109" s="31" t="n">
        <v>-2699388</v>
      </c>
      <c r="G109" s="31" t="n">
        <v>35521155</v>
      </c>
      <c r="H109" s="31" t="n">
        <v>88634721</v>
      </c>
      <c r="I109" s="13" t="n">
        <v>39993982</v>
      </c>
      <c r="J109" s="13" t="n">
        <v>-92347097</v>
      </c>
      <c r="K109" s="13" t="n">
        <v>12105540</v>
      </c>
    </row>
    <row r="110">
      <c r="B110" s="3" t="inlineStr">
        <is>
          <t>Cash flows from investing activities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13" t="inlineStr">
        <is>
          <t>-</t>
        </is>
      </c>
      <c r="J110" s="13" t="inlineStr">
        <is>
          <t>-</t>
        </is>
      </c>
      <c r="K110" s="13" t="inlineStr">
        <is>
          <t>-</t>
        </is>
      </c>
    </row>
    <row r="111">
      <c r="B111" t="inlineStr">
        <is>
          <t>Purchase of property, plant and equipment</t>
        </is>
      </c>
      <c r="C111" s="31" t="n">
        <v>-1959075</v>
      </c>
      <c r="D111" s="31" t="n">
        <v>17015935</v>
      </c>
      <c r="E111" s="31" t="n">
        <v>-1307244</v>
      </c>
      <c r="F111" s="31" t="n">
        <v>-1106641</v>
      </c>
      <c r="G111" s="31" t="n">
        <v>-922623</v>
      </c>
      <c r="H111" s="31" t="n">
        <v>-1034299</v>
      </c>
      <c r="I111" s="13" t="n">
        <v>-3370339</v>
      </c>
      <c r="J111" s="13" t="n">
        <v>-3397817</v>
      </c>
      <c r="K111" s="13" t="n">
        <v>-3186791</v>
      </c>
    </row>
    <row r="112">
      <c r="B112" t="inlineStr">
        <is>
          <t>Proceeds from sale of property, plant and equipment</t>
        </is>
      </c>
      <c r="C112" s="31" t="n">
        <v>41408</v>
      </c>
      <c r="D112" s="31" t="n">
        <v>18954</v>
      </c>
      <c r="E112" s="31" t="n">
        <v>11025</v>
      </c>
      <c r="F112" s="31" t="n">
        <v>2829</v>
      </c>
      <c r="G112" s="31" t="n">
        <v>14335</v>
      </c>
      <c r="H112" s="31" t="n">
        <v>12132</v>
      </c>
      <c r="I112" s="13" t="n">
        <v>15092</v>
      </c>
      <c r="J112" s="13" t="n">
        <v>42495</v>
      </c>
      <c r="K112" s="13" t="n">
        <v>32389</v>
      </c>
    </row>
    <row r="113">
      <c r="B113" t="inlineStr">
        <is>
          <t>Purchase of financial investments</t>
        </is>
      </c>
      <c r="C113" s="31" t="n">
        <v>-179751</v>
      </c>
      <c r="D113" s="31" t="n">
        <v>-697591</v>
      </c>
      <c r="E113" s="31" t="n">
        <v>-95031</v>
      </c>
      <c r="F113" s="31" t="n">
        <v>-300000</v>
      </c>
      <c r="G113" s="31" t="n">
        <v>-5607000</v>
      </c>
      <c r="H113" s="31" t="n">
        <v>-1200000</v>
      </c>
      <c r="I113" s="13" t="n">
        <v>-1200000</v>
      </c>
      <c r="J113" s="13" t="n">
        <v>-3151144</v>
      </c>
      <c r="K113" s="13" t="n">
        <v>-2880760</v>
      </c>
    </row>
    <row r="114">
      <c r="B114" t="inlineStr">
        <is>
          <t>Proceeds from sale and maturity of financial investments</t>
        </is>
      </c>
      <c r="C114" s="31" t="n">
        <v>3530785</v>
      </c>
      <c r="D114" s="31" t="n">
        <v>2096712</v>
      </c>
      <c r="E114" s="31" t="n">
        <v>3428080</v>
      </c>
      <c r="F114" s="31" t="n">
        <v>2368509</v>
      </c>
      <c r="G114" s="31" t="n">
        <v>484800</v>
      </c>
      <c r="H114" s="31" t="n">
        <v>952369</v>
      </c>
      <c r="I114" s="13" t="n">
        <v>1061999</v>
      </c>
      <c r="J114" s="13" t="n">
        <v>1644409</v>
      </c>
      <c r="K114" s="13" t="n">
        <v>1694624</v>
      </c>
    </row>
    <row r="115">
      <c r="B115" t="inlineStr">
        <is>
          <t>Purchase of intangible assets</t>
        </is>
      </c>
      <c r="C115" s="31" t="n">
        <v>-346360</v>
      </c>
      <c r="D115" s="31" t="n">
        <v>1433961</v>
      </c>
      <c r="E115" s="31" t="n">
        <v>1645714</v>
      </c>
      <c r="F115" s="31" t="n">
        <v>-409322</v>
      </c>
      <c r="G115" s="31" t="n">
        <v>-768047</v>
      </c>
      <c r="H115" s="31" t="n">
        <v>-810454</v>
      </c>
      <c r="I115" s="13" t="n">
        <v>-2224915</v>
      </c>
      <c r="J115" s="13" t="n">
        <v>-1646414</v>
      </c>
      <c r="K115" s="13" t="n">
        <v>-1573311</v>
      </c>
    </row>
    <row r="116">
      <c r="B116" t="inlineStr">
        <is>
          <t>Dividends received from investments in associate and subsidiaries</t>
        </is>
      </c>
      <c r="C116" s="31" t="inlineStr">
        <is>
          <t>-</t>
        </is>
      </c>
      <c r="D116" t="inlineStr">
        <is>
          <t>-</t>
        </is>
      </c>
      <c r="E116" s="31" t="inlineStr">
        <is>
          <t>-</t>
        </is>
      </c>
      <c r="F116" s="31" t="inlineStr">
        <is>
          <t>-</t>
        </is>
      </c>
      <c r="G116" s="31" t="n">
        <v>-105911</v>
      </c>
      <c r="H116" s="31" t="inlineStr">
        <is>
          <t>-</t>
        </is>
      </c>
      <c r="I116" s="13" t="n">
        <v>-384601</v>
      </c>
      <c r="J116" s="13" t="inlineStr">
        <is>
          <t>-</t>
        </is>
      </c>
      <c r="K116" s="13" t="inlineStr">
        <is>
          <t>-</t>
        </is>
      </c>
    </row>
    <row r="117">
      <c r="B117" t="inlineStr">
        <is>
          <t>Other items</t>
        </is>
      </c>
      <c r="C117" s="31" t="inlineStr">
        <is>
          <t>-</t>
        </is>
      </c>
      <c r="D117" s="31" t="inlineStr">
        <is>
          <t>-</t>
        </is>
      </c>
      <c r="E117" s="31" t="inlineStr">
        <is>
          <t>-</t>
        </is>
      </c>
      <c r="F117" s="31" t="inlineStr">
        <is>
          <t>-</t>
        </is>
      </c>
      <c r="G117" t="inlineStr">
        <is>
          <t>-</t>
        </is>
      </c>
      <c r="H117" t="inlineStr">
        <is>
          <t>-</t>
        </is>
      </c>
      <c r="I117" s="13" t="inlineStr">
        <is>
          <t>-</t>
        </is>
      </c>
      <c r="J117" s="13" t="inlineStr">
        <is>
          <t>-</t>
        </is>
      </c>
      <c r="K117" s="13" t="inlineStr">
        <is>
          <t>-</t>
        </is>
      </c>
    </row>
    <row r="118">
      <c r="B118" s="3" t="inlineStr">
        <is>
          <t>Net cash from/(used in) investing activities</t>
        </is>
      </c>
      <c r="C118" s="31" t="n">
        <v>631000</v>
      </c>
      <c r="D118" s="31" t="n">
        <v>-2021574</v>
      </c>
      <c r="E118" s="31" t="n">
        <v>1001641</v>
      </c>
      <c r="F118" s="31" t="n">
        <v>-471425</v>
      </c>
      <c r="G118" s="31" t="n">
        <v>-6692624</v>
      </c>
      <c r="H118" s="31" t="n">
        <v>-5488515</v>
      </c>
      <c r="I118" s="13" t="n">
        <v>-2231120</v>
      </c>
      <c r="J118" s="13" t="n">
        <v>-6496366</v>
      </c>
      <c r="K118" s="13" t="n">
        <v>-6230729</v>
      </c>
    </row>
    <row r="119">
      <c r="B119" s="3" t="inlineStr">
        <is>
          <t>Cash flows from financing activities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13" t="inlineStr">
        <is>
          <t>-</t>
        </is>
      </c>
      <c r="J119" s="13" t="inlineStr">
        <is>
          <t>-</t>
        </is>
      </c>
      <c r="K119" s="13" t="inlineStr">
        <is>
          <t>-</t>
        </is>
      </c>
    </row>
    <row r="120">
      <c r="B120" t="inlineStr">
        <is>
          <t>Proceeds from issue of ordinary voting shares under employee share option plans</t>
        </is>
      </c>
      <c r="C120" s="16" t="inlineStr">
        <is>
          <t>-</t>
        </is>
      </c>
      <c r="D120" s="31" t="inlineStr">
        <is>
          <t>-</t>
        </is>
      </c>
      <c r="E120" s="31" t="inlineStr">
        <is>
          <t>-</t>
        </is>
      </c>
      <c r="F120" s="31" t="inlineStr">
        <is>
          <t>-</t>
        </is>
      </c>
      <c r="G120" s="31" t="n">
        <v>40866</v>
      </c>
      <c r="H120" s="31" t="inlineStr">
        <is>
          <t>-</t>
        </is>
      </c>
      <c r="I120" s="13" t="inlineStr">
        <is>
          <t>-</t>
        </is>
      </c>
      <c r="J120" s="13" t="n">
        <v>272475</v>
      </c>
      <c r="K120" s="13" t="n">
        <v>788473</v>
      </c>
    </row>
    <row r="121">
      <c r="B121" t="inlineStr">
        <is>
          <t>Proceeds from issue of subordinated liabilities</t>
        </is>
      </c>
      <c r="C121" s="31" t="n">
        <v>13179430</v>
      </c>
      <c r="D121" s="31" t="n">
        <v>10000000</v>
      </c>
      <c r="E121" s="31" t="inlineStr">
        <is>
          <t>-</t>
        </is>
      </c>
      <c r="F121" s="31" t="n">
        <v>0.99</v>
      </c>
      <c r="G121" s="31" t="n">
        <v>8595470</v>
      </c>
      <c r="H121" s="31" t="n">
        <v>8595470</v>
      </c>
      <c r="I121" s="13" t="n">
        <v>10000000</v>
      </c>
      <c r="J121" s="13" t="n">
        <v>20000000</v>
      </c>
      <c r="K121" s="13" t="n">
        <v>16253954</v>
      </c>
    </row>
    <row r="122">
      <c r="B122" t="inlineStr">
        <is>
          <t>Redemption of subordinated liabilities</t>
        </is>
      </c>
      <c r="C122" s="31" t="n">
        <v>-987860</v>
      </c>
      <c r="D122" s="31" t="inlineStr">
        <is>
          <t>-</t>
        </is>
      </c>
      <c r="E122" s="31" t="inlineStr">
        <is>
          <t>-</t>
        </is>
      </c>
      <c r="F122" s="31" t="n">
        <v>0.99</v>
      </c>
      <c r="G122" s="31" t="n">
        <v>-9502140</v>
      </c>
      <c r="H122" s="31" t="n">
        <v>-9502140</v>
      </c>
      <c r="I122" s="13" t="n">
        <v>36483000</v>
      </c>
      <c r="J122" s="13" t="n">
        <v>-32393840</v>
      </c>
      <c r="K122" s="13" t="n">
        <v>73322000</v>
      </c>
    </row>
    <row r="123">
      <c r="B123" t="inlineStr">
        <is>
          <t>Interest paid on subordinated liabilities</t>
        </is>
      </c>
      <c r="C123" s="31" t="n">
        <v>-2362270</v>
      </c>
      <c r="D123" s="31" t="n">
        <v>-2496230</v>
      </c>
      <c r="E123" s="31" t="n">
        <v>-3873107</v>
      </c>
      <c r="F123" s="31" t="n">
        <v>-3802023</v>
      </c>
      <c r="G123" s="31" t="n">
        <v>-3422766</v>
      </c>
      <c r="H123" s="31" t="n">
        <v>-4283280</v>
      </c>
      <c r="I123" s="13" t="n">
        <v>-6249529</v>
      </c>
      <c r="J123" s="13" t="n">
        <v>-6017352</v>
      </c>
      <c r="K123" s="13" t="n">
        <v>-8605067</v>
      </c>
    </row>
    <row r="124">
      <c r="B124" t="inlineStr">
        <is>
          <t>Payment of lease liabilities/advance payment of right-of-use assets</t>
        </is>
      </c>
      <c r="C124" t="inlineStr">
        <is>
          <t>-</t>
        </is>
      </c>
      <c r="D124" t="inlineStr">
        <is>
          <t>-</t>
        </is>
      </c>
      <c r="E124" s="31" t="inlineStr">
        <is>
          <t>-</t>
        </is>
      </c>
      <c r="F124" s="31" t="n">
        <v>-1446874</v>
      </c>
      <c r="G124" s="31" t="n">
        <v>-1548914</v>
      </c>
      <c r="H124" s="31" t="n">
        <v>-2197452</v>
      </c>
      <c r="I124" s="13" t="n">
        <v>-1904590</v>
      </c>
      <c r="J124" s="13" t="n">
        <v>-1719337</v>
      </c>
      <c r="K124" s="13" t="n">
        <v>-2472863</v>
      </c>
    </row>
    <row r="125">
      <c r="B125" t="inlineStr">
        <is>
          <t>Dividend paid to non-controlling interest</t>
        </is>
      </c>
      <c r="C125" s="31" t="n">
        <v>-3432</v>
      </c>
      <c r="D125" s="31" t="inlineStr">
        <is>
          <t>-</t>
        </is>
      </c>
      <c r="E125" s="31" t="n">
        <v>157137</v>
      </c>
      <c r="F125" s="31" t="n">
        <v>157137</v>
      </c>
      <c r="G125" s="31" t="n">
        <v>227819</v>
      </c>
      <c r="H125" s="31" t="n">
        <v>-15168</v>
      </c>
      <c r="I125" s="13" t="n">
        <v>-14365</v>
      </c>
      <c r="J125" s="13" t="n">
        <v>-20364</v>
      </c>
      <c r="K125" s="13" t="n">
        <v>-8352</v>
      </c>
    </row>
    <row r="126">
      <c r="B126" t="inlineStr">
        <is>
          <t>Dividend paid to shareholders</t>
        </is>
      </c>
      <c r="C126" s="31" t="n">
        <v>-4349302</v>
      </c>
      <c r="D126" s="31" t="n">
        <v>-4703903</v>
      </c>
      <c r="E126" s="31" t="n">
        <v>-4857760</v>
      </c>
      <c r="F126" s="31" t="n">
        <v>-3082634</v>
      </c>
      <c r="G126" s="31" t="n">
        <v>-5159284</v>
      </c>
      <c r="H126" s="31" t="n">
        <v>-5343804</v>
      </c>
      <c r="I126" s="13" t="n">
        <v>-3222</v>
      </c>
      <c r="J126" s="13" t="n">
        <v>-5165595</v>
      </c>
      <c r="K126" s="13" t="n">
        <v>-10445236</v>
      </c>
    </row>
    <row r="127">
      <c r="B127" s="3" t="inlineStr">
        <is>
          <t>Net cash from/(used in) financing activities</t>
        </is>
      </c>
      <c r="C127" s="31" t="n">
        <v>3818611</v>
      </c>
      <c r="D127" s="31" t="n">
        <v>3002950</v>
      </c>
      <c r="E127" s="31" t="n">
        <v>-9866097</v>
      </c>
      <c r="F127" s="31" t="n">
        <v>884244</v>
      </c>
      <c r="G127" s="31" t="n">
        <v>-10996768</v>
      </c>
      <c r="H127" s="31" t="n">
        <v>-1824536</v>
      </c>
      <c r="I127" s="13" t="n">
        <v>-29336291</v>
      </c>
      <c r="J127" s="13" t="n">
        <v>28750610</v>
      </c>
      <c r="K127" s="13" t="n">
        <v>-6607006</v>
      </c>
    </row>
    <row r="128">
      <c r="B128" t="inlineStr">
        <is>
          <t>Net increase/(decrease) in cash and cash equivalents</t>
        </is>
      </c>
      <c r="C128" s="31" t="n">
        <v>3031093</v>
      </c>
      <c r="D128" s="31" t="n">
        <v>6314270</v>
      </c>
      <c r="E128" s="31" t="n">
        <v>13001548</v>
      </c>
      <c r="F128" s="31" t="n">
        <v>-2286569</v>
      </c>
      <c r="G128" s="31" t="n">
        <v>17831763</v>
      </c>
      <c r="H128" s="31" t="n">
        <v>81321670</v>
      </c>
      <c r="I128" s="13" t="n">
        <v>8426571</v>
      </c>
      <c r="J128" s="13" t="n">
        <v>-70092853</v>
      </c>
      <c r="K128" s="13" t="n">
        <v>-732195</v>
      </c>
    </row>
    <row r="129">
      <c r="B129" t="inlineStr">
        <is>
          <t>Cash and cash equivalents as at January 01,</t>
        </is>
      </c>
      <c r="C129" s="31" t="inlineStr">
        <is>
          <t>-</t>
        </is>
      </c>
      <c r="D129" s="31" t="n">
        <v>44355962</v>
      </c>
      <c r="E129" s="31" t="n">
        <v>53681118</v>
      </c>
      <c r="F129" s="31" t="n">
        <v>50250627</v>
      </c>
      <c r="G129" s="31" t="n">
        <v>69335379</v>
      </c>
      <c r="H129" s="31" t="n">
        <v>68085631</v>
      </c>
      <c r="I129" s="13" t="n">
        <v>149307870</v>
      </c>
      <c r="J129" s="13" t="n">
        <v>159716458</v>
      </c>
      <c r="K129" s="13" t="n">
        <v>88857011</v>
      </c>
    </row>
    <row r="130">
      <c r="B130" t="inlineStr">
        <is>
          <t>Gross cash and cash equivalents as at December 31,</t>
        </is>
      </c>
      <c r="C130" s="31" t="n">
        <v>33224619</v>
      </c>
      <c r="D130" s="31" t="n">
        <v>39538889</v>
      </c>
      <c r="E130" s="31" t="n">
        <v>52540437</v>
      </c>
      <c r="F130" s="31" t="n">
        <v>50253868</v>
      </c>
      <c r="G130" s="31" t="n">
        <v>68085631</v>
      </c>
      <c r="H130" s="31" t="n">
        <v>69342992</v>
      </c>
      <c r="I130" s="13" t="n">
        <v>151123519</v>
      </c>
      <c r="J130" s="13" t="n">
        <v>89623605</v>
      </c>
      <c r="K130" s="13" t="n">
        <v>88891410</v>
      </c>
    </row>
    <row r="131">
      <c r="B131" t="inlineStr">
        <is>
          <t>Less: Impairment charges on cash and cash equivalents</t>
        </is>
      </c>
      <c r="C131" s="31" t="inlineStr">
        <is>
          <t>-</t>
        </is>
      </c>
      <c r="D131" s="31" t="n">
        <v>44355962</v>
      </c>
      <c r="E131" s="31" t="n">
        <v>53681118</v>
      </c>
      <c r="F131" s="31" t="n">
        <v>50250627</v>
      </c>
      <c r="G131" s="31" t="n">
        <v>69335379</v>
      </c>
      <c r="H131" s="31" t="n">
        <v>-7613</v>
      </c>
      <c r="I131" s="13" t="n">
        <v>-14029</v>
      </c>
      <c r="J131" s="13" t="n">
        <v>-8146</v>
      </c>
      <c r="K131" s="13" t="n">
        <v>-34399</v>
      </c>
    </row>
    <row r="132">
      <c r="B132" s="3" t="inlineStr">
        <is>
          <t>Cash and cash equivalents as per Statement of Financial Position</t>
        </is>
      </c>
      <c r="C132" s="31" t="inlineStr">
        <is>
          <t>-</t>
        </is>
      </c>
      <c r="D132" s="31" t="n">
        <v>39534476</v>
      </c>
      <c r="E132" s="31" t="n">
        <v>52534730</v>
      </c>
      <c r="F132" s="31" t="n">
        <v>50250627</v>
      </c>
      <c r="G132" s="31" t="n">
        <v>68078076</v>
      </c>
      <c r="H132" s="31" t="n">
        <v>69335379</v>
      </c>
      <c r="I132" s="13" t="n">
        <v>159701507</v>
      </c>
      <c r="J132" s="13" t="n">
        <v>86848291</v>
      </c>
      <c r="K132" s="13" t="n">
        <v>88857011</v>
      </c>
    </row>
    <row r="133">
      <c r="I133" s="13" t="n"/>
      <c r="J133" s="13" t="n"/>
      <c r="K133" s="13" t="n"/>
    </row>
    <row r="134">
      <c r="I134" s="13" t="n"/>
      <c r="J134" s="13" t="n"/>
      <c r="K134" s="13" t="n"/>
    </row>
    <row r="135">
      <c r="I135" s="13" t="n"/>
      <c r="J135" s="13" t="n"/>
      <c r="K135" s="13" t="n"/>
    </row>
    <row r="136">
      <c r="I136" s="13" t="n"/>
      <c r="J136" s="13" t="n"/>
      <c r="K136" s="13" t="n"/>
    </row>
  </sheetData>
  <conditionalFormatting sqref="I45:L45">
    <cfRule type="cellIs" priority="1" operator="lessThan" dxfId="0">
      <formula>0</formula>
    </cfRule>
  </conditionalFormatting>
  <pageMargins left="0.7" right="0.7" top="0.75" bottom="0.75" header="0.3" footer="0.3"/>
  <pageSetup orientation="landscape" paperSize="9" scale="65"/>
  <rowBreaks count="2" manualBreakCount="2">
    <brk id="41" min="0" max="16383" man="1"/>
    <brk id="93" min="0" max="16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681"/>
  <sheetViews>
    <sheetView zoomScale="99" zoomScaleNormal="99" workbookViewId="0">
      <pane xSplit="2" ySplit="4" topLeftCell="E574" activePane="bottomRight" state="frozen"/>
      <selection activeCell="G59" sqref="G59"/>
      <selection pane="topRight" activeCell="G59" sqref="G59"/>
      <selection pane="bottomLeft" activeCell="G59" sqref="G59"/>
      <selection pane="bottomRight" activeCell="I595" sqref="I595"/>
    </sheetView>
  </sheetViews>
  <sheetFormatPr baseColWidth="8" defaultRowHeight="14.4"/>
  <cols>
    <col width="65.109375" bestFit="1" customWidth="1" min="2" max="2"/>
    <col width="14.21875" customWidth="1" style="16" min="3" max="8"/>
    <col width="14.88671875" customWidth="1" min="9" max="12"/>
    <col width="15.6640625" customWidth="1" min="14" max="14"/>
    <col width="16.33203125" customWidth="1" min="15" max="15"/>
    <col width="13.33203125" customWidth="1" min="16" max="16"/>
    <col width="12.109375" bestFit="1" customWidth="1" min="17" max="18"/>
  </cols>
  <sheetData>
    <row r="2">
      <c r="C2" s="13" t="n"/>
      <c r="D2" s="13" t="n"/>
      <c r="E2" s="13" t="n"/>
      <c r="F2" s="13" t="n"/>
      <c r="G2" s="13" t="n"/>
      <c r="H2" s="13" t="n"/>
    </row>
    <row r="3">
      <c r="B3" t="inlineStr">
        <is>
          <t>For the year ended December 31,</t>
        </is>
      </c>
    </row>
    <row r="4">
      <c r="B4" t="inlineStr">
        <is>
          <t>(LKR '000 except per share data)</t>
        </is>
      </c>
      <c r="C4" s="5" t="n">
        <v>2017</v>
      </c>
      <c r="D4" s="5" t="n">
        <v>2018</v>
      </c>
      <c r="E4" s="5" t="n">
        <v>2019</v>
      </c>
      <c r="F4" s="5" t="n">
        <v>2020</v>
      </c>
      <c r="G4" s="5" t="n">
        <v>2021</v>
      </c>
      <c r="H4" s="5" t="n">
        <v>2022</v>
      </c>
      <c r="I4" s="92" t="n">
        <v>2023</v>
      </c>
      <c r="J4" s="92" t="n">
        <v>2024</v>
      </c>
      <c r="K4" s="92" t="n">
        <v>2025</v>
      </c>
    </row>
    <row r="5" customFormat="1" s="8">
      <c r="B5" s="11" t="inlineStr">
        <is>
          <t>INCOME STATEMENT</t>
        </is>
      </c>
      <c r="C5" s="12" t="n"/>
      <c r="D5" s="12" t="n"/>
      <c r="E5" s="12" t="n"/>
      <c r="F5" s="12" t="n"/>
      <c r="G5" s="12" t="n"/>
      <c r="H5" s="12" t="n"/>
    </row>
    <row r="6">
      <c r="C6" s="79" t="n"/>
      <c r="D6" s="79" t="n"/>
      <c r="E6" s="79" t="n"/>
      <c r="F6" s="79" t="n"/>
      <c r="G6" s="79" t="n"/>
      <c r="H6" s="79" t="n"/>
      <c r="I6" s="57" t="n"/>
      <c r="J6" s="57" t="n"/>
      <c r="K6" s="57" t="n"/>
    </row>
    <row r="7">
      <c r="B7" t="inlineStr">
        <is>
          <t>Interest income</t>
        </is>
      </c>
      <c r="C7" s="31" t="n">
        <v>104049102</v>
      </c>
      <c r="D7" s="31" t="inlineStr">
        <is>
          <t>-</t>
        </is>
      </c>
      <c r="E7" s="31" t="n">
        <v>129287473</v>
      </c>
      <c r="F7" s="31" t="n">
        <v>124087713</v>
      </c>
      <c r="G7" s="31" t="n">
        <v>132818178</v>
      </c>
      <c r="H7" s="31" t="n">
        <v>222393079</v>
      </c>
      <c r="I7" s="57" t="inlineStr">
        <is>
          <t>-</t>
        </is>
      </c>
      <c r="J7" s="57" t="n">
        <v>275217117</v>
      </c>
      <c r="K7" s="57" t="n">
        <v>301366595</v>
      </c>
    </row>
    <row r="8">
      <c r="C8" s="79" t="n"/>
      <c r="D8" s="79" t="n"/>
      <c r="E8" s="79" t="n"/>
      <c r="F8" s="79" t="n"/>
      <c r="G8" s="79" t="n"/>
      <c r="H8" s="79" t="n"/>
      <c r="I8" s="40" t="n"/>
      <c r="J8" s="40" t="n"/>
      <c r="K8" s="40" t="n"/>
    </row>
    <row r="9">
      <c r="B9" t="inlineStr">
        <is>
          <t>Cash and cash equivalents</t>
        </is>
      </c>
      <c r="C9" s="31" t="n">
        <v>3031093</v>
      </c>
      <c r="D9" s="31" t="n">
        <v>44355962</v>
      </c>
      <c r="E9" s="31" t="n">
        <v>53681118</v>
      </c>
      <c r="F9" s="31" t="n">
        <v>50250627</v>
      </c>
      <c r="G9" s="31" t="n">
        <v>69335379</v>
      </c>
      <c r="H9" s="31" t="n">
        <v>149393561</v>
      </c>
      <c r="I9" s="57" t="n">
        <v>159701507</v>
      </c>
      <c r="J9" s="57" t="n">
        <v>86848291</v>
      </c>
      <c r="K9" s="57" t="n">
        <v>88857011</v>
      </c>
    </row>
    <row r="10">
      <c r="B10" t="inlineStr">
        <is>
          <t>Balances with Central Banks</t>
        </is>
      </c>
      <c r="C10" s="31" t="inlineStr">
        <is>
          <t>-</t>
        </is>
      </c>
      <c r="D10" s="31" t="n">
        <v>55605535</v>
      </c>
      <c r="E10" s="31" t="n">
        <v>46101232</v>
      </c>
      <c r="F10" s="31" t="n">
        <v>110971105</v>
      </c>
      <c r="G10" s="31" t="n">
        <v>241</v>
      </c>
      <c r="H10" s="31" t="n">
        <v>66439459</v>
      </c>
      <c r="I10" s="40" t="n">
        <v>621633503</v>
      </c>
      <c r="J10" s="40" t="n">
        <v>45270068</v>
      </c>
      <c r="K10" s="40" t="n">
        <v>47809989</v>
      </c>
    </row>
    <row r="11">
      <c r="B11" t="inlineStr">
        <is>
          <t>Placements with Banks</t>
        </is>
      </c>
      <c r="C11" s="31" t="inlineStr">
        <is>
          <t>-</t>
        </is>
      </c>
      <c r="D11" s="31" t="n">
        <v>23989815</v>
      </c>
      <c r="E11" s="31" t="n">
        <v>24203909</v>
      </c>
      <c r="F11" s="31" t="n">
        <v>-34.06</v>
      </c>
      <c r="G11" s="31" t="n">
        <v>241</v>
      </c>
      <c r="H11" s="31" t="n">
        <v>95899645</v>
      </c>
      <c r="I11" s="57" t="n">
        <v>81506653</v>
      </c>
      <c r="J11" s="57" t="n">
        <v>99303303</v>
      </c>
      <c r="K11" s="57" t="n">
        <v>110223171</v>
      </c>
    </row>
    <row r="12">
      <c r="B12" t="inlineStr">
        <is>
          <t>Securities purchased under resale agreements</t>
        </is>
      </c>
      <c r="C12" s="31" t="n">
        <v>57518</v>
      </c>
      <c r="D12" s="31" t="n">
        <v>9513512</v>
      </c>
      <c r="E12" s="31" t="n">
        <v>13147584</v>
      </c>
      <c r="F12" s="31" t="n">
        <v>13147534</v>
      </c>
      <c r="G12" s="31" t="n">
        <v>3000490</v>
      </c>
      <c r="H12" s="31" t="n">
        <v>1517308</v>
      </c>
      <c r="I12" s="57" t="n">
        <v>31138729</v>
      </c>
      <c r="J12" s="57" t="n">
        <v>28655962</v>
      </c>
      <c r="K12" s="57" t="n">
        <v>17446102</v>
      </c>
    </row>
    <row r="13">
      <c r="B13" t="inlineStr">
        <is>
          <t>Financial assets recognized through profit or loss</t>
        </is>
      </c>
      <c r="C13" s="86" t="inlineStr">
        <is>
          <t>-</t>
        </is>
      </c>
      <c r="D13" s="86" t="inlineStr">
        <is>
          <t>-</t>
        </is>
      </c>
      <c r="E13" s="86" t="inlineStr">
        <is>
          <t>-</t>
        </is>
      </c>
      <c r="F13" s="86" t="inlineStr">
        <is>
          <t>-</t>
        </is>
      </c>
      <c r="G13" s="86" t="inlineStr">
        <is>
          <t>-</t>
        </is>
      </c>
      <c r="H13" s="86" t="inlineStr">
        <is>
          <t>-</t>
        </is>
      </c>
      <c r="I13" s="58" t="inlineStr">
        <is>
          <t>-</t>
        </is>
      </c>
      <c r="J13" s="58" t="inlineStr">
        <is>
          <t>-</t>
        </is>
      </c>
      <c r="K13" s="58" t="inlineStr">
        <is>
          <t>-</t>
        </is>
      </c>
    </row>
    <row r="14">
      <c r="B14" s="24" t="inlineStr">
        <is>
          <t>Derivatives</t>
        </is>
      </c>
      <c r="C14" s="31" t="inlineStr">
        <is>
          <t>-</t>
        </is>
      </c>
      <c r="D14" s="31" t="inlineStr">
        <is>
          <t>-</t>
        </is>
      </c>
      <c r="E14" s="31" t="inlineStr">
        <is>
          <t>-</t>
        </is>
      </c>
      <c r="F14" s="31" t="inlineStr">
        <is>
          <t>-</t>
        </is>
      </c>
      <c r="G14" s="31" t="inlineStr">
        <is>
          <t>-</t>
        </is>
      </c>
      <c r="H14" s="31" t="inlineStr">
        <is>
          <t>-</t>
        </is>
      </c>
      <c r="I14" s="57" t="inlineStr">
        <is>
          <t>-</t>
        </is>
      </c>
      <c r="J14" s="57" t="inlineStr">
        <is>
          <t>-</t>
        </is>
      </c>
      <c r="K14" s="57" t="inlineStr">
        <is>
          <t>-</t>
        </is>
      </c>
    </row>
    <row r="15">
      <c r="B15" s="24" t="inlineStr">
        <is>
          <t>Other financial instruments</t>
        </is>
      </c>
      <c r="C15" s="31" t="n">
        <v>156598</v>
      </c>
      <c r="D15" s="31" t="n">
        <v>89274113</v>
      </c>
      <c r="E15" s="31" t="n">
        <v>247379</v>
      </c>
      <c r="F15" s="31" t="n">
        <v>182.14</v>
      </c>
      <c r="G15" s="31" t="n">
        <v>250</v>
      </c>
      <c r="H15" s="31" t="n">
        <v>725935929</v>
      </c>
      <c r="I15" s="57" t="n">
        <v>685155537</v>
      </c>
      <c r="J15" s="57" t="n">
        <v>667709691</v>
      </c>
      <c r="K15" s="57" t="n">
        <v>731263697</v>
      </c>
    </row>
    <row r="16">
      <c r="B16" t="inlineStr">
        <is>
          <t>Financial assets at amortized cost - loans and advances to other customers</t>
        </is>
      </c>
      <c r="C16" s="31" t="inlineStr">
        <is>
          <t>-</t>
        </is>
      </c>
      <c r="D16" s="31" t="inlineStr">
        <is>
          <t>-</t>
        </is>
      </c>
      <c r="E16" s="31" t="n">
        <v>893919311</v>
      </c>
      <c r="F16" s="31" t="inlineStr">
        <is>
          <t>-</t>
        </is>
      </c>
      <c r="G16" s="31" t="inlineStr">
        <is>
          <t>-</t>
        </is>
      </c>
      <c r="H16" s="31" t="inlineStr">
        <is>
          <t>-</t>
        </is>
      </c>
      <c r="I16" s="57" t="inlineStr">
        <is>
          <t>-</t>
        </is>
      </c>
      <c r="J16" s="57" t="n">
        <v>1384524660</v>
      </c>
      <c r="K16" s="57" t="n">
        <v>1958506596</v>
      </c>
    </row>
    <row r="17">
      <c r="B17" t="inlineStr">
        <is>
          <t>Financial assets at amortized cost - debt and other financial instruments</t>
        </is>
      </c>
      <c r="C17" s="31" t="inlineStr">
        <is>
          <t>-</t>
        </is>
      </c>
      <c r="D17" s="31" t="inlineStr">
        <is>
          <t>-</t>
        </is>
      </c>
      <c r="E17" s="31" t="inlineStr">
        <is>
          <t>-</t>
        </is>
      </c>
      <c r="F17" s="31" t="inlineStr">
        <is>
          <t>-</t>
        </is>
      </c>
      <c r="G17" s="31" t="inlineStr">
        <is>
          <t>-</t>
        </is>
      </c>
      <c r="H17" s="31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57" t="inlineStr">
        <is>
          <t>-</t>
        </is>
      </c>
    </row>
    <row r="18">
      <c r="B18" t="inlineStr">
        <is>
          <t>Financial assets measured at fair value through other comprehensive income</t>
        </is>
      </c>
      <c r="C18" s="31" t="n">
        <v>15349974</v>
      </c>
      <c r="D18" s="31" t="n">
        <v>176760611</v>
      </c>
      <c r="E18" s="31" t="n">
        <v>197825017</v>
      </c>
      <c r="F18" s="31" t="n">
        <v>278461369</v>
      </c>
      <c r="G18" s="31" t="n">
        <v>251</v>
      </c>
      <c r="H18" s="31" t="n">
        <v>117056240</v>
      </c>
      <c r="I18" s="57" t="n">
        <v>287732972</v>
      </c>
      <c r="J18" s="57" t="n">
        <v>4090697</v>
      </c>
      <c r="K18" s="57" t="n">
        <v>2911061462</v>
      </c>
    </row>
    <row r="19">
      <c r="B19" t="inlineStr">
        <is>
          <t>Interest accrued on impaired loans and advances to other customers</t>
        </is>
      </c>
      <c r="C19" s="31" t="inlineStr">
        <is>
          <t>-</t>
        </is>
      </c>
      <c r="D19" s="31" t="inlineStr">
        <is>
          <t>-</t>
        </is>
      </c>
      <c r="E19" s="31" t="n">
        <v>893919311</v>
      </c>
      <c r="F19" s="31" t="inlineStr">
        <is>
          <t>-</t>
        </is>
      </c>
      <c r="G19" s="31" t="inlineStr">
        <is>
          <t>-</t>
        </is>
      </c>
      <c r="H19" s="31" t="inlineStr">
        <is>
          <t>-</t>
        </is>
      </c>
      <c r="I19" s="57" t="inlineStr">
        <is>
          <t>-</t>
        </is>
      </c>
      <c r="J19" s="57" t="n">
        <v>1384524660</v>
      </c>
      <c r="K19" s="57" t="n">
        <v>1958506596</v>
      </c>
    </row>
    <row r="20">
      <c r="B20" s="4" t="n"/>
      <c r="C20" s="31" t="n">
        <v>2413</v>
      </c>
      <c r="D20" s="31" t="n">
        <v>2661</v>
      </c>
      <c r="E20" s="31" t="n">
        <v>7884</v>
      </c>
      <c r="F20" s="31" t="n">
        <v>11375</v>
      </c>
      <c r="G20" s="31" t="n">
        <v>0</v>
      </c>
      <c r="H20" s="31" t="n">
        <v>0</v>
      </c>
      <c r="I20" s="57" t="n"/>
      <c r="J20" s="57" t="n"/>
      <c r="K20" s="57" t="n"/>
    </row>
    <row r="21">
      <c r="B21" s="4" t="n"/>
      <c r="C21" s="79" t="n"/>
      <c r="D21" s="79" t="n"/>
      <c r="E21" s="79" t="n"/>
      <c r="F21" s="79" t="n"/>
      <c r="G21" s="79" t="n"/>
      <c r="H21" s="79" t="n"/>
      <c r="I21" s="57" t="n"/>
      <c r="J21" s="57" t="n"/>
      <c r="K21" s="57" t="n"/>
    </row>
    <row r="22">
      <c r="B22" s="51" t="inlineStr">
        <is>
          <t>Check</t>
        </is>
      </c>
      <c r="C22" s="79" t="n">
        <v>-857269981</v>
      </c>
      <c r="D22" s="79" t="n">
        <v>-994370875</v>
      </c>
      <c r="E22" s="79" t="n">
        <v>-1068982587</v>
      </c>
      <c r="F22" s="79" t="n">
        <v>-1286616399</v>
      </c>
      <c r="G22" s="79" t="n">
        <v>0</v>
      </c>
      <c r="H22" s="79" t="n">
        <v>0</v>
      </c>
      <c r="I22" s="57" t="inlineStr">
        <is>
          <t>-</t>
        </is>
      </c>
      <c r="J22" s="57" t="inlineStr">
        <is>
          <t>-</t>
        </is>
      </c>
      <c r="K22" s="57" t="inlineStr">
        <is>
          <t>-</t>
        </is>
      </c>
    </row>
    <row r="23">
      <c r="B23" s="4" t="n"/>
      <c r="C23" s="79" t="n"/>
      <c r="D23" s="79" t="n"/>
      <c r="E23" s="79" t="n"/>
      <c r="F23" s="79" t="n"/>
      <c r="G23" s="79" t="n"/>
      <c r="H23" s="79" t="n"/>
      <c r="I23" s="57" t="n"/>
      <c r="J23" s="57" t="n"/>
      <c r="K23" s="57" t="n"/>
    </row>
    <row r="24">
      <c r="B24" s="4" t="inlineStr">
        <is>
          <t>Interest rate</t>
        </is>
      </c>
      <c r="C24" s="79" t="inlineStr">
        <is>
          <t>-</t>
        </is>
      </c>
      <c r="D24" s="79" t="inlineStr">
        <is>
          <t>-</t>
        </is>
      </c>
      <c r="E24" s="79" t="inlineStr">
        <is>
          <t>-</t>
        </is>
      </c>
      <c r="F24" s="79" t="inlineStr">
        <is>
          <t>-</t>
        </is>
      </c>
      <c r="G24" s="79" t="inlineStr">
        <is>
          <t>-</t>
        </is>
      </c>
      <c r="H24" s="79" t="inlineStr">
        <is>
          <t>-</t>
        </is>
      </c>
      <c r="I24" s="57" t="inlineStr">
        <is>
          <t>-</t>
        </is>
      </c>
      <c r="J24" s="57" t="inlineStr">
        <is>
          <t>-</t>
        </is>
      </c>
      <c r="K24" s="57" t="inlineStr">
        <is>
          <t>-</t>
        </is>
      </c>
    </row>
    <row r="25">
      <c r="B25" s="4" t="n"/>
      <c r="C25" s="79" t="n"/>
      <c r="D25" s="79" t="n"/>
      <c r="E25" s="79" t="n"/>
      <c r="F25" s="79" t="n"/>
      <c r="G25" s="79" t="n"/>
      <c r="H25" s="79" t="n"/>
      <c r="I25" s="57" t="n"/>
      <c r="J25" s="57" t="n"/>
      <c r="K25" s="57" t="n"/>
    </row>
    <row r="26">
      <c r="B26" t="inlineStr">
        <is>
          <t>Cash and cash equivalents</t>
        </is>
      </c>
      <c r="C26" s="81" t="n">
        <v>3031093</v>
      </c>
      <c r="D26" s="81" t="n">
        <v>44355962</v>
      </c>
      <c r="E26" s="81" t="n">
        <v>53681118</v>
      </c>
      <c r="F26" s="81" t="n">
        <v>50250627</v>
      </c>
      <c r="G26" s="81" t="n">
        <v>69335379</v>
      </c>
      <c r="H26" s="81" t="n">
        <v>149393561</v>
      </c>
      <c r="I26" s="90" t="n">
        <v>159701507</v>
      </c>
      <c r="J26" s="90" t="n">
        <v>86848291</v>
      </c>
      <c r="K26" s="90" t="n">
        <v>88857011</v>
      </c>
    </row>
    <row r="27">
      <c r="B27" t="inlineStr">
        <is>
          <t>Balances with Central Banks</t>
        </is>
      </c>
      <c r="C27" s="81" t="inlineStr">
        <is>
          <t>-</t>
        </is>
      </c>
      <c r="D27" s="81" t="n">
        <v>55605535</v>
      </c>
      <c r="E27" s="81" t="n">
        <v>46101232</v>
      </c>
      <c r="F27" s="81" t="n">
        <v>110971105</v>
      </c>
      <c r="G27" s="81" t="n">
        <v>241</v>
      </c>
      <c r="H27" s="81" t="n">
        <v>66439459</v>
      </c>
      <c r="I27" s="90" t="n">
        <v>621633503</v>
      </c>
      <c r="J27" s="90" t="n">
        <v>45270068</v>
      </c>
      <c r="K27" s="90" t="n">
        <v>47809989</v>
      </c>
    </row>
    <row r="28">
      <c r="B28" t="inlineStr">
        <is>
          <t>Placements with Banks</t>
        </is>
      </c>
      <c r="C28" s="81" t="inlineStr">
        <is>
          <t>-</t>
        </is>
      </c>
      <c r="D28" s="81" t="n">
        <v>23989815</v>
      </c>
      <c r="E28" s="81" t="n">
        <v>24203909</v>
      </c>
      <c r="F28" s="81" t="n">
        <v>-34.06</v>
      </c>
      <c r="G28" s="81" t="n">
        <v>241</v>
      </c>
      <c r="H28" s="81" t="n">
        <v>95899645</v>
      </c>
      <c r="I28" s="90" t="n">
        <v>81506653</v>
      </c>
      <c r="J28" s="90" t="n">
        <v>99303303</v>
      </c>
      <c r="K28" s="90" t="n">
        <v>110223171</v>
      </c>
    </row>
    <row r="29">
      <c r="B29" t="inlineStr">
        <is>
          <t>Securities purchased under resale agreements</t>
        </is>
      </c>
      <c r="C29" s="81" t="n">
        <v>57518</v>
      </c>
      <c r="D29" s="81" t="n">
        <v>9513512</v>
      </c>
      <c r="E29" s="81" t="n">
        <v>13147584</v>
      </c>
      <c r="F29" s="81" t="n">
        <v>13147534</v>
      </c>
      <c r="G29" s="81" t="n">
        <v>3000490</v>
      </c>
      <c r="H29" s="81" t="n">
        <v>1517308</v>
      </c>
      <c r="I29" s="90" t="n">
        <v>31138729</v>
      </c>
      <c r="J29" s="90" t="n">
        <v>28655962</v>
      </c>
      <c r="K29" s="90" t="n">
        <v>17446102</v>
      </c>
    </row>
    <row r="30">
      <c r="B30" t="inlineStr">
        <is>
          <t>Financial assets recognized through profit or loss</t>
        </is>
      </c>
      <c r="C30" s="79" t="inlineStr">
        <is>
          <t>-</t>
        </is>
      </c>
      <c r="D30" s="79" t="inlineStr">
        <is>
          <t>-</t>
        </is>
      </c>
      <c r="E30" s="79" t="inlineStr">
        <is>
          <t>-</t>
        </is>
      </c>
      <c r="F30" s="79" t="inlineStr">
        <is>
          <t>-</t>
        </is>
      </c>
      <c r="G30" s="79" t="inlineStr">
        <is>
          <t>-</t>
        </is>
      </c>
      <c r="H30" s="79" t="inlineStr">
        <is>
          <t>-</t>
        </is>
      </c>
      <c r="I30" s="90" t="inlineStr">
        <is>
          <t>-</t>
        </is>
      </c>
      <c r="J30" s="90" t="inlineStr">
        <is>
          <t>-</t>
        </is>
      </c>
      <c r="K30" s="90" t="inlineStr">
        <is>
          <t>-</t>
        </is>
      </c>
    </row>
    <row r="31">
      <c r="B31" s="24" t="inlineStr">
        <is>
          <t>Derivatives</t>
        </is>
      </c>
      <c r="C31" s="81" t="inlineStr">
        <is>
          <t>-</t>
        </is>
      </c>
      <c r="D31" s="81" t="inlineStr">
        <is>
          <t>-</t>
        </is>
      </c>
      <c r="E31" s="81" t="inlineStr">
        <is>
          <t>-</t>
        </is>
      </c>
      <c r="F31" s="81" t="inlineStr">
        <is>
          <t>-</t>
        </is>
      </c>
      <c r="G31" s="81" t="inlineStr">
        <is>
          <t>-</t>
        </is>
      </c>
      <c r="H31" s="81" t="inlineStr">
        <is>
          <t>-</t>
        </is>
      </c>
      <c r="I31" s="90" t="inlineStr">
        <is>
          <t>-</t>
        </is>
      </c>
      <c r="J31" s="90" t="inlineStr">
        <is>
          <t>-</t>
        </is>
      </c>
      <c r="K31" s="90" t="inlineStr">
        <is>
          <t>-</t>
        </is>
      </c>
    </row>
    <row r="32">
      <c r="B32" s="24" t="inlineStr">
        <is>
          <t>Other financial instruments</t>
        </is>
      </c>
      <c r="C32" s="81" t="n">
        <v>156598</v>
      </c>
      <c r="D32" s="81" t="n">
        <v>89274113</v>
      </c>
      <c r="E32" s="81" t="n">
        <v>247379</v>
      </c>
      <c r="F32" s="81" t="n">
        <v>182.14</v>
      </c>
      <c r="G32" s="81" t="n">
        <v>250</v>
      </c>
      <c r="H32" s="81" t="n">
        <v>725935929</v>
      </c>
      <c r="I32" s="90" t="n">
        <v>685155537</v>
      </c>
      <c r="J32" s="90" t="n">
        <v>667709691</v>
      </c>
      <c r="K32" s="90" t="n">
        <v>731263697</v>
      </c>
    </row>
    <row r="33">
      <c r="B33" t="inlineStr">
        <is>
          <t>Financial assets at amortized cost - loans and advances to other customers</t>
        </is>
      </c>
      <c r="C33" s="81" t="inlineStr">
        <is>
          <t>-</t>
        </is>
      </c>
      <c r="D33" s="81" t="inlineStr">
        <is>
          <t>-</t>
        </is>
      </c>
      <c r="E33" s="81" t="n">
        <v>893919311</v>
      </c>
      <c r="F33" s="81" t="inlineStr">
        <is>
          <t>-</t>
        </is>
      </c>
      <c r="G33" s="81" t="inlineStr">
        <is>
          <t>-</t>
        </is>
      </c>
      <c r="H33" s="81" t="inlineStr">
        <is>
          <t>-</t>
        </is>
      </c>
      <c r="I33" s="90" t="inlineStr">
        <is>
          <t>-</t>
        </is>
      </c>
      <c r="J33" s="90" t="n">
        <v>1384524660</v>
      </c>
      <c r="K33" s="90" t="n">
        <v>1958506596</v>
      </c>
    </row>
    <row r="34">
      <c r="B34" s="82" t="inlineStr">
        <is>
          <t>Overdrafts</t>
        </is>
      </c>
      <c r="C34" s="79" t="inlineStr">
        <is>
          <t>-</t>
        </is>
      </c>
      <c r="D34" s="79" t="inlineStr">
        <is>
          <t>-</t>
        </is>
      </c>
      <c r="E34" s="79" t="inlineStr">
        <is>
          <t>-</t>
        </is>
      </c>
      <c r="F34" s="79" t="inlineStr">
        <is>
          <t>-</t>
        </is>
      </c>
      <c r="G34" s="79" t="inlineStr">
        <is>
          <t>-</t>
        </is>
      </c>
      <c r="H34" s="90" t="inlineStr">
        <is>
          <t>-</t>
        </is>
      </c>
      <c r="I34" s="90" t="inlineStr">
        <is>
          <t>-</t>
        </is>
      </c>
      <c r="J34" s="90" t="inlineStr">
        <is>
          <t>-</t>
        </is>
      </c>
      <c r="K34" s="90" t="inlineStr">
        <is>
          <t>-</t>
        </is>
      </c>
    </row>
    <row r="35">
      <c r="B35" s="82" t="inlineStr">
        <is>
          <t>Trade finance</t>
        </is>
      </c>
      <c r="C35" s="79" t="inlineStr">
        <is>
          <t>-</t>
        </is>
      </c>
      <c r="D35" s="79" t="inlineStr">
        <is>
          <t>-</t>
        </is>
      </c>
      <c r="E35" s="79" t="inlineStr">
        <is>
          <t>-</t>
        </is>
      </c>
      <c r="F35" s="79" t="inlineStr">
        <is>
          <t>-</t>
        </is>
      </c>
      <c r="G35" s="79" t="inlineStr">
        <is>
          <t>-</t>
        </is>
      </c>
      <c r="H35" s="90" t="inlineStr">
        <is>
          <t>-</t>
        </is>
      </c>
      <c r="I35" s="90" t="inlineStr">
        <is>
          <t>-</t>
        </is>
      </c>
      <c r="J35" s="90" t="inlineStr">
        <is>
          <t>-</t>
        </is>
      </c>
      <c r="K35" s="90" t="inlineStr">
        <is>
          <t>-</t>
        </is>
      </c>
    </row>
    <row r="36">
      <c r="B36" s="82" t="inlineStr">
        <is>
          <t>Lease/hire purchase receivable</t>
        </is>
      </c>
      <c r="C36" s="79" t="inlineStr">
        <is>
          <t>-</t>
        </is>
      </c>
      <c r="D36" s="79" t="inlineStr">
        <is>
          <t>-</t>
        </is>
      </c>
      <c r="E36" s="79" t="inlineStr">
        <is>
          <t>-</t>
        </is>
      </c>
      <c r="F36" s="79" t="inlineStr">
        <is>
          <t>-</t>
        </is>
      </c>
      <c r="G36" s="79" t="inlineStr">
        <is>
          <t>-</t>
        </is>
      </c>
      <c r="H36" s="90" t="inlineStr">
        <is>
          <t>-</t>
        </is>
      </c>
      <c r="I36" s="90" t="inlineStr">
        <is>
          <t>-</t>
        </is>
      </c>
      <c r="J36" s="90" t="inlineStr">
        <is>
          <t>-</t>
        </is>
      </c>
      <c r="K36" s="90" t="inlineStr">
        <is>
          <t>-</t>
        </is>
      </c>
    </row>
    <row r="37">
      <c r="B37" s="82" t="inlineStr">
        <is>
          <t>Credit cards</t>
        </is>
      </c>
      <c r="C37" s="79" t="inlineStr">
        <is>
          <t>-</t>
        </is>
      </c>
      <c r="D37" s="79" t="inlineStr">
        <is>
          <t>-</t>
        </is>
      </c>
      <c r="E37" s="79" t="inlineStr">
        <is>
          <t>-</t>
        </is>
      </c>
      <c r="F37" s="79" t="inlineStr">
        <is>
          <t>-</t>
        </is>
      </c>
      <c r="G37" s="79" t="inlineStr">
        <is>
          <t>-</t>
        </is>
      </c>
      <c r="H37" s="90" t="inlineStr">
        <is>
          <t>-</t>
        </is>
      </c>
      <c r="I37" s="90" t="inlineStr">
        <is>
          <t>-</t>
        </is>
      </c>
      <c r="J37" s="90" t="inlineStr">
        <is>
          <t>-</t>
        </is>
      </c>
      <c r="K37" s="90" t="inlineStr">
        <is>
          <t>-</t>
        </is>
      </c>
    </row>
    <row r="38">
      <c r="B38" s="82" t="inlineStr">
        <is>
          <t>Pawning</t>
        </is>
      </c>
      <c r="C38" s="79" t="inlineStr">
        <is>
          <t>-</t>
        </is>
      </c>
      <c r="D38" s="79" t="inlineStr">
        <is>
          <t>-</t>
        </is>
      </c>
      <c r="E38" s="79" t="inlineStr">
        <is>
          <t>-</t>
        </is>
      </c>
      <c r="F38" s="79" t="inlineStr">
        <is>
          <t>-</t>
        </is>
      </c>
      <c r="G38" s="79" t="inlineStr">
        <is>
          <t>-</t>
        </is>
      </c>
      <c r="H38" s="81" t="inlineStr">
        <is>
          <t>-</t>
        </is>
      </c>
      <c r="I38" s="90" t="inlineStr">
        <is>
          <t>-</t>
        </is>
      </c>
      <c r="J38" s="90" t="inlineStr">
        <is>
          <t>-</t>
        </is>
      </c>
      <c r="K38" s="90" t="inlineStr">
        <is>
          <t>-</t>
        </is>
      </c>
    </row>
    <row r="39">
      <c r="B39" s="82" t="inlineStr">
        <is>
          <t>Staff loans</t>
        </is>
      </c>
      <c r="C39" s="79" t="inlineStr">
        <is>
          <t>-</t>
        </is>
      </c>
      <c r="D39" s="79" t="inlineStr">
        <is>
          <t>-</t>
        </is>
      </c>
      <c r="E39" s="79" t="inlineStr">
        <is>
          <t>-</t>
        </is>
      </c>
      <c r="F39" s="79" t="inlineStr">
        <is>
          <t>-</t>
        </is>
      </c>
      <c r="G39" s="79" t="inlineStr">
        <is>
          <t>-</t>
        </is>
      </c>
      <c r="H39" s="81" t="inlineStr">
        <is>
          <t>-</t>
        </is>
      </c>
      <c r="I39" s="90" t="inlineStr">
        <is>
          <t>-</t>
        </is>
      </c>
      <c r="J39" s="90" t="inlineStr">
        <is>
          <t>-</t>
        </is>
      </c>
      <c r="K39" s="90" t="inlineStr">
        <is>
          <t>-</t>
        </is>
      </c>
    </row>
    <row r="40">
      <c r="B40" s="82" t="inlineStr">
        <is>
          <t>Housing loans</t>
        </is>
      </c>
      <c r="C40" s="79" t="inlineStr">
        <is>
          <t>-</t>
        </is>
      </c>
      <c r="D40" s="79" t="inlineStr">
        <is>
          <t>-</t>
        </is>
      </c>
      <c r="E40" s="79" t="inlineStr">
        <is>
          <t>-</t>
        </is>
      </c>
      <c r="F40" s="79" t="inlineStr">
        <is>
          <t>-</t>
        </is>
      </c>
      <c r="G40" s="79" t="inlineStr">
        <is>
          <t>-</t>
        </is>
      </c>
      <c r="H40" s="90" t="inlineStr">
        <is>
          <t>-</t>
        </is>
      </c>
      <c r="I40" s="90" t="inlineStr">
        <is>
          <t>-</t>
        </is>
      </c>
      <c r="J40" s="90" t="inlineStr">
        <is>
          <t>-</t>
        </is>
      </c>
      <c r="K40" s="90" t="inlineStr">
        <is>
          <t>-</t>
        </is>
      </c>
    </row>
    <row r="41">
      <c r="B41" s="82" t="inlineStr">
        <is>
          <t>Personal loans</t>
        </is>
      </c>
      <c r="C41" s="79" t="inlineStr">
        <is>
          <t>-</t>
        </is>
      </c>
      <c r="D41" s="79" t="inlineStr">
        <is>
          <t>-</t>
        </is>
      </c>
      <c r="E41" s="79" t="inlineStr">
        <is>
          <t>-</t>
        </is>
      </c>
      <c r="F41" s="79" t="inlineStr">
        <is>
          <t>-</t>
        </is>
      </c>
      <c r="G41" s="79" t="inlineStr">
        <is>
          <t>-</t>
        </is>
      </c>
      <c r="H41" s="81" t="inlineStr">
        <is>
          <t>-</t>
        </is>
      </c>
      <c r="I41" s="90" t="inlineStr">
        <is>
          <t>-</t>
        </is>
      </c>
      <c r="J41" s="90" t="inlineStr">
        <is>
          <t>-</t>
        </is>
      </c>
      <c r="K41" s="90" t="inlineStr">
        <is>
          <t>-</t>
        </is>
      </c>
    </row>
    <row r="42">
      <c r="B42" s="82" t="inlineStr">
        <is>
          <t>Term loans</t>
        </is>
      </c>
      <c r="C42" s="79" t="inlineStr">
        <is>
          <t>-</t>
        </is>
      </c>
      <c r="D42" s="79" t="inlineStr">
        <is>
          <t>-</t>
        </is>
      </c>
      <c r="E42" s="79" t="inlineStr">
        <is>
          <t>-</t>
        </is>
      </c>
      <c r="F42" s="79" t="inlineStr">
        <is>
          <t>-</t>
        </is>
      </c>
      <c r="G42" s="79" t="inlineStr">
        <is>
          <t>-</t>
        </is>
      </c>
      <c r="H42" s="81" t="inlineStr">
        <is>
          <t>-</t>
        </is>
      </c>
      <c r="I42" s="90" t="inlineStr">
        <is>
          <t>-</t>
        </is>
      </c>
      <c r="J42" s="90" t="inlineStr">
        <is>
          <t>-</t>
        </is>
      </c>
      <c r="K42" s="90" t="inlineStr">
        <is>
          <t>-</t>
        </is>
      </c>
    </row>
    <row r="43">
      <c r="B43" s="83" t="inlineStr">
        <is>
          <t>Short term</t>
        </is>
      </c>
      <c r="C43" s="79" t="inlineStr">
        <is>
          <t>-</t>
        </is>
      </c>
      <c r="D43" s="79" t="inlineStr">
        <is>
          <t>-</t>
        </is>
      </c>
      <c r="E43" s="79" t="inlineStr">
        <is>
          <t>-</t>
        </is>
      </c>
      <c r="F43" s="79" t="inlineStr">
        <is>
          <t>-</t>
        </is>
      </c>
      <c r="G43" s="79" t="inlineStr">
        <is>
          <t>-</t>
        </is>
      </c>
      <c r="H43" s="81" t="inlineStr">
        <is>
          <t>-</t>
        </is>
      </c>
      <c r="I43" s="90" t="inlineStr">
        <is>
          <t>-</t>
        </is>
      </c>
      <c r="J43" s="90" t="inlineStr">
        <is>
          <t>-</t>
        </is>
      </c>
      <c r="K43" s="90" t="inlineStr">
        <is>
          <t>-</t>
        </is>
      </c>
    </row>
    <row r="44">
      <c r="B44" s="83" t="inlineStr">
        <is>
          <t>Long term</t>
        </is>
      </c>
      <c r="C44" s="79" t="inlineStr">
        <is>
          <t>-</t>
        </is>
      </c>
      <c r="D44" s="79" t="inlineStr">
        <is>
          <t>-</t>
        </is>
      </c>
      <c r="E44" s="79" t="inlineStr">
        <is>
          <t>-</t>
        </is>
      </c>
      <c r="F44" s="79" t="inlineStr">
        <is>
          <t>-</t>
        </is>
      </c>
      <c r="G44" s="79" t="inlineStr">
        <is>
          <t>-</t>
        </is>
      </c>
      <c r="H44" s="81" t="inlineStr">
        <is>
          <t>-</t>
        </is>
      </c>
      <c r="I44" s="90" t="inlineStr">
        <is>
          <t>-</t>
        </is>
      </c>
      <c r="J44" s="90" t="inlineStr">
        <is>
          <t>-</t>
        </is>
      </c>
      <c r="K44" s="90" t="inlineStr">
        <is>
          <t>-</t>
        </is>
      </c>
    </row>
    <row r="45">
      <c r="B45" s="83" t="inlineStr">
        <is>
          <t>Bills of exchange</t>
        </is>
      </c>
      <c r="C45" s="79" t="inlineStr">
        <is>
          <t>-</t>
        </is>
      </c>
      <c r="D45" s="79" t="inlineStr">
        <is>
          <t>-</t>
        </is>
      </c>
      <c r="E45" s="79" t="inlineStr">
        <is>
          <t>-</t>
        </is>
      </c>
      <c r="F45" s="79" t="inlineStr">
        <is>
          <t>-</t>
        </is>
      </c>
      <c r="G45" s="79" t="inlineStr">
        <is>
          <t>-</t>
        </is>
      </c>
      <c r="H45" s="81" t="inlineStr">
        <is>
          <t>-</t>
        </is>
      </c>
      <c r="I45" s="90" t="inlineStr">
        <is>
          <t>-</t>
        </is>
      </c>
      <c r="J45" s="90" t="inlineStr">
        <is>
          <t>-</t>
        </is>
      </c>
      <c r="K45" s="90" t="inlineStr">
        <is>
          <t>-</t>
        </is>
      </c>
    </row>
    <row r="46">
      <c r="C46" s="79" t="n"/>
      <c r="D46" s="79" t="n"/>
      <c r="E46" s="79" t="n"/>
      <c r="F46" s="79" t="n"/>
      <c r="G46" s="79" t="n"/>
      <c r="H46" s="79" t="n"/>
      <c r="I46" s="90" t="n"/>
      <c r="J46" s="90" t="n"/>
      <c r="K46" s="90" t="n"/>
    </row>
    <row r="47">
      <c r="B47" s="83" t="inlineStr">
        <is>
          <t>Average AWPLR throughout the year</t>
        </is>
      </c>
      <c r="C47" s="79" t="inlineStr">
        <is>
          <t>-</t>
        </is>
      </c>
      <c r="D47" s="79" t="inlineStr">
        <is>
          <t>-</t>
        </is>
      </c>
      <c r="E47" s="79" t="inlineStr">
        <is>
          <t>-</t>
        </is>
      </c>
      <c r="F47" s="79" t="inlineStr">
        <is>
          <t>-</t>
        </is>
      </c>
      <c r="G47" s="79" t="inlineStr">
        <is>
          <t>-</t>
        </is>
      </c>
      <c r="H47" s="90" t="inlineStr">
        <is>
          <t>-</t>
        </is>
      </c>
      <c r="I47" s="90" t="inlineStr">
        <is>
          <t>-</t>
        </is>
      </c>
      <c r="J47" s="90" t="inlineStr">
        <is>
          <t>-</t>
        </is>
      </c>
      <c r="K47" s="90" t="inlineStr">
        <is>
          <t>-</t>
        </is>
      </c>
    </row>
    <row r="48">
      <c r="C48" s="79" t="n"/>
      <c r="D48" s="79" t="n"/>
      <c r="E48" s="79" t="n"/>
      <c r="F48" s="79" t="n"/>
      <c r="G48" s="79" t="n"/>
      <c r="H48" s="79" t="n"/>
      <c r="I48" s="90" t="n"/>
      <c r="J48" s="90" t="n"/>
      <c r="K48" s="90" t="n"/>
    </row>
    <row r="49">
      <c r="C49" s="79" t="n"/>
      <c r="D49" s="79" t="n"/>
      <c r="E49" s="79" t="n"/>
      <c r="F49" s="79" t="n"/>
      <c r="G49" s="79" t="n"/>
      <c r="H49" s="79" t="n"/>
      <c r="I49" s="90" t="n"/>
      <c r="J49" s="90" t="n"/>
      <c r="K49" s="90" t="n"/>
    </row>
    <row r="50">
      <c r="B50" t="inlineStr">
        <is>
          <t>Financial assets at amortized cost - debt and other financial instruments</t>
        </is>
      </c>
      <c r="C50" s="81" t="inlineStr">
        <is>
          <t>-</t>
        </is>
      </c>
      <c r="D50" s="81" t="inlineStr">
        <is>
          <t>-</t>
        </is>
      </c>
      <c r="E50" s="81" t="inlineStr">
        <is>
          <t>-</t>
        </is>
      </c>
      <c r="F50" s="81" t="inlineStr">
        <is>
          <t>-</t>
        </is>
      </c>
      <c r="G50" s="81" t="inlineStr">
        <is>
          <t>-</t>
        </is>
      </c>
      <c r="H50" s="81" t="inlineStr">
        <is>
          <t>-</t>
        </is>
      </c>
      <c r="I50" s="90" t="inlineStr">
        <is>
          <t>-</t>
        </is>
      </c>
      <c r="J50" s="90" t="inlineStr">
        <is>
          <t>-</t>
        </is>
      </c>
      <c r="K50" s="90" t="inlineStr">
        <is>
          <t>-</t>
        </is>
      </c>
    </row>
    <row r="51">
      <c r="C51" s="79" t="n"/>
      <c r="D51" s="79" t="n"/>
      <c r="E51" s="79" t="n"/>
      <c r="F51" s="79" t="n"/>
      <c r="G51" s="79" t="n"/>
      <c r="H51" s="79" t="n"/>
      <c r="I51" s="57" t="n"/>
      <c r="J51" s="57" t="n"/>
      <c r="K51" s="57" t="n"/>
    </row>
    <row r="52">
      <c r="B52" t="inlineStr">
        <is>
          <t>Financial assets measured at fair value through other comprehensive income</t>
        </is>
      </c>
      <c r="C52" s="81" t="n">
        <v>15349974</v>
      </c>
      <c r="D52" s="81" t="n">
        <v>176760611</v>
      </c>
      <c r="E52" s="81" t="n">
        <v>197825017</v>
      </c>
      <c r="F52" s="81" t="n">
        <v>278461369</v>
      </c>
      <c r="G52" s="81" t="n">
        <v>251</v>
      </c>
      <c r="H52" s="81" t="n">
        <v>117056240</v>
      </c>
      <c r="I52" s="99" t="n">
        <v>287732972</v>
      </c>
      <c r="J52" s="99" t="n">
        <v>4090697</v>
      </c>
      <c r="K52" s="99" t="n">
        <v>2911061462</v>
      </c>
    </row>
    <row r="53">
      <c r="B53" t="inlineStr">
        <is>
          <t>Interest accrued on impaired loans and advances to other customers</t>
        </is>
      </c>
      <c r="C53" s="81" t="inlineStr">
        <is>
          <t>-</t>
        </is>
      </c>
      <c r="D53" s="81" t="inlineStr">
        <is>
          <t>-</t>
        </is>
      </c>
      <c r="E53" s="81" t="n">
        <v>893919311</v>
      </c>
      <c r="F53" s="81" t="inlineStr">
        <is>
          <t>-</t>
        </is>
      </c>
      <c r="G53" s="81" t="inlineStr">
        <is>
          <t>-</t>
        </is>
      </c>
      <c r="H53" s="81" t="inlineStr">
        <is>
          <t>-</t>
        </is>
      </c>
      <c r="I53" s="81" t="inlineStr">
        <is>
          <t>-</t>
        </is>
      </c>
      <c r="J53" s="81" t="n">
        <v>1384524660</v>
      </c>
      <c r="K53" s="81" t="n">
        <v>1958506596</v>
      </c>
    </row>
    <row r="54">
      <c r="B54" s="4" t="n"/>
      <c r="C54" s="79" t="n"/>
      <c r="D54" s="79" t="n"/>
      <c r="E54" s="79" t="n"/>
      <c r="F54" s="79" t="n"/>
      <c r="G54" s="79" t="n"/>
      <c r="H54" s="79" t="n"/>
      <c r="I54" s="57" t="n"/>
      <c r="J54" s="57" t="n"/>
      <c r="K54" s="57" t="n"/>
    </row>
    <row r="55">
      <c r="B55" s="4" t="inlineStr">
        <is>
          <t>Interest on opening cash</t>
        </is>
      </c>
      <c r="C55" s="79" t="inlineStr">
        <is>
          <t>-</t>
        </is>
      </c>
      <c r="D55" s="79" t="inlineStr">
        <is>
          <t>-</t>
        </is>
      </c>
      <c r="E55" s="81" t="inlineStr">
        <is>
          <t>-</t>
        </is>
      </c>
      <c r="F55" s="81" t="inlineStr">
        <is>
          <t>-</t>
        </is>
      </c>
      <c r="G55" s="81" t="inlineStr">
        <is>
          <t>-</t>
        </is>
      </c>
      <c r="H55" s="81" t="inlineStr">
        <is>
          <t>-</t>
        </is>
      </c>
      <c r="I55" s="81" t="inlineStr">
        <is>
          <t>-</t>
        </is>
      </c>
      <c r="J55" s="81" t="inlineStr">
        <is>
          <t>-</t>
        </is>
      </c>
      <c r="K55" s="81" t="inlineStr">
        <is>
          <t>-</t>
        </is>
      </c>
    </row>
    <row r="56" customFormat="1" s="7">
      <c r="C56" s="62" t="n"/>
      <c r="D56" s="62" t="n"/>
      <c r="E56" s="62" t="n"/>
      <c r="F56" s="62" t="n"/>
      <c r="G56" s="62" t="n"/>
      <c r="H56" s="62" t="n"/>
      <c r="I56" s="60" t="n"/>
      <c r="J56" s="60" t="n"/>
      <c r="K56" s="60" t="n"/>
    </row>
    <row r="57">
      <c r="C57" s="79" t="n"/>
      <c r="D57" s="79" t="n"/>
      <c r="E57" s="79" t="n"/>
      <c r="F57" s="79" t="n"/>
      <c r="G57" s="79" t="n"/>
      <c r="H57" s="79" t="n"/>
      <c r="I57" s="57" t="n"/>
      <c r="J57" s="57" t="n"/>
      <c r="K57" s="57" t="n"/>
    </row>
    <row r="58">
      <c r="B58" t="inlineStr">
        <is>
          <t>Interest expense</t>
        </is>
      </c>
      <c r="C58" s="31" t="n">
        <v>64481004</v>
      </c>
      <c r="D58" s="31" t="n">
        <v>3105553</v>
      </c>
      <c r="E58" s="31" t="n">
        <v>80931352</v>
      </c>
      <c r="F58" s="31" t="n">
        <v>73218911</v>
      </c>
      <c r="G58" s="31" t="n">
        <v>66401846</v>
      </c>
      <c r="H58" s="31" t="n">
        <v>137727868</v>
      </c>
      <c r="I58" s="57" t="n">
        <v>5247288</v>
      </c>
      <c r="J58" s="57" t="n">
        <v>157082433</v>
      </c>
      <c r="K58" s="57" t="n">
        <v>160406053</v>
      </c>
    </row>
    <row r="59">
      <c r="C59" s="79" t="n"/>
      <c r="D59" s="79" t="n"/>
      <c r="E59" s="79" t="n"/>
      <c r="F59" s="79" t="n"/>
      <c r="G59" s="79" t="n"/>
      <c r="H59" s="79" t="n"/>
      <c r="I59" s="57" t="n"/>
      <c r="J59" s="57" t="n"/>
      <c r="K59" s="57" t="n"/>
    </row>
    <row r="60">
      <c r="B60" t="inlineStr">
        <is>
          <t>Due to banks</t>
        </is>
      </c>
      <c r="C60" s="31" t="inlineStr">
        <is>
          <t>-</t>
        </is>
      </c>
      <c r="D60" s="31" t="inlineStr">
        <is>
          <t>-</t>
        </is>
      </c>
      <c r="E60" s="31" t="inlineStr">
        <is>
          <t>-</t>
        </is>
      </c>
      <c r="F60" s="31" t="n">
        <v>65.12</v>
      </c>
      <c r="G60" s="31" t="inlineStr">
        <is>
          <t>-</t>
        </is>
      </c>
      <c r="H60" s="31" t="n">
        <v>65130000</v>
      </c>
      <c r="I60" s="57" t="n">
        <v>47274000</v>
      </c>
      <c r="J60" s="57" t="inlineStr">
        <is>
          <t>-</t>
        </is>
      </c>
      <c r="K60" s="57" t="n">
        <v>29724000</v>
      </c>
    </row>
    <row r="61">
      <c r="B61" t="inlineStr">
        <is>
          <t>Derivative financial liabilities</t>
        </is>
      </c>
      <c r="C61" s="31" t="inlineStr">
        <is>
          <t>-</t>
        </is>
      </c>
      <c r="D61" s="31" t="inlineStr">
        <is>
          <t>-</t>
        </is>
      </c>
      <c r="E61" s="31" t="inlineStr">
        <is>
          <t>-</t>
        </is>
      </c>
      <c r="F61" s="31" t="n">
        <v>-0.01</v>
      </c>
      <c r="G61" s="31" t="inlineStr">
        <is>
          <t>-</t>
        </is>
      </c>
      <c r="H61" s="31" t="n">
        <v>2881000</v>
      </c>
      <c r="I61" s="57" t="n">
        <v>2319000</v>
      </c>
      <c r="J61" s="57" t="inlineStr">
        <is>
          <t>-</t>
        </is>
      </c>
      <c r="K61" s="57" t="n">
        <v>1263000</v>
      </c>
    </row>
    <row r="62">
      <c r="B62" t="inlineStr">
        <is>
          <t>Securities sold under repurchase agreements</t>
        </is>
      </c>
      <c r="C62" s="31" t="inlineStr">
        <is>
          <t>-</t>
        </is>
      </c>
      <c r="D62" s="31" t="inlineStr">
        <is>
          <t>-</t>
        </is>
      </c>
      <c r="E62" s="31" t="inlineStr">
        <is>
          <t>-</t>
        </is>
      </c>
      <c r="F62" s="31" t="n">
        <v>3947612</v>
      </c>
      <c r="G62" s="31" t="inlineStr">
        <is>
          <t>-</t>
        </is>
      </c>
      <c r="H62" s="31" t="n">
        <v>97726000</v>
      </c>
      <c r="I62" s="57" t="n">
        <v>111199000</v>
      </c>
      <c r="J62" s="57" t="inlineStr">
        <is>
          <t>-</t>
        </is>
      </c>
      <c r="K62" s="57" t="n">
        <v>110462000</v>
      </c>
    </row>
    <row r="63">
      <c r="B63" t="inlineStr">
        <is>
          <t>Financial liabilities at amortised cost – due to depositors</t>
        </is>
      </c>
      <c r="C63" s="31" t="n">
        <v>857269981</v>
      </c>
      <c r="D63" s="31" t="n">
        <v>994370875</v>
      </c>
      <c r="E63" s="31" t="n">
        <v>1068982587</v>
      </c>
      <c r="F63" s="31" t="n">
        <v>20.36</v>
      </c>
      <c r="G63" s="31" t="n">
        <v>1472640456</v>
      </c>
      <c r="H63" s="31" t="n">
        <v>1914359000</v>
      </c>
      <c r="I63" s="57" t="n">
        <v>2085046000</v>
      </c>
      <c r="J63" s="57" t="inlineStr">
        <is>
          <t>-</t>
        </is>
      </c>
      <c r="K63" s="57" t="n">
        <v>2608852000</v>
      </c>
    </row>
    <row r="64">
      <c r="B64" t="inlineStr">
        <is>
          <t>Refinance borrowings</t>
        </is>
      </c>
      <c r="C64" s="31" t="inlineStr">
        <is>
          <t>-</t>
        </is>
      </c>
      <c r="D64" s="31" t="inlineStr">
        <is>
          <t>-</t>
        </is>
      </c>
      <c r="E64" s="31" t="inlineStr">
        <is>
          <t>-</t>
        </is>
      </c>
      <c r="F64" s="31" t="inlineStr">
        <is>
          <t>-</t>
        </is>
      </c>
      <c r="G64" s="31" t="inlineStr">
        <is>
          <t>-</t>
        </is>
      </c>
      <c r="H64" s="31" t="inlineStr">
        <is>
          <t>-</t>
        </is>
      </c>
      <c r="I64" s="57" t="inlineStr">
        <is>
          <t>-</t>
        </is>
      </c>
      <c r="J64" s="57" t="inlineStr">
        <is>
          <t>-</t>
        </is>
      </c>
      <c r="K64" s="57" t="inlineStr">
        <is>
          <t>-</t>
        </is>
      </c>
    </row>
    <row r="65">
      <c r="B65" t="inlineStr">
        <is>
          <t>Foreign currency borrowings</t>
        </is>
      </c>
      <c r="C65" s="31" t="inlineStr">
        <is>
          <t>-</t>
        </is>
      </c>
      <c r="D65" s="31" t="inlineStr">
        <is>
          <t>-</t>
        </is>
      </c>
      <c r="E65" s="31" t="inlineStr">
        <is>
          <t>-</t>
        </is>
      </c>
      <c r="F65" s="31" t="inlineStr">
        <is>
          <t>-</t>
        </is>
      </c>
      <c r="G65" s="31" t="inlineStr">
        <is>
          <t>-</t>
        </is>
      </c>
      <c r="H65" s="31" t="inlineStr">
        <is>
          <t>-</t>
        </is>
      </c>
      <c r="I65" s="57" t="inlineStr">
        <is>
          <t>-</t>
        </is>
      </c>
      <c r="J65" s="57" t="inlineStr">
        <is>
          <t>-</t>
        </is>
      </c>
      <c r="K65" s="57" t="inlineStr">
        <is>
          <t>-</t>
        </is>
      </c>
    </row>
    <row r="66">
      <c r="B66" t="inlineStr">
        <is>
          <t>Subordinated liabilities</t>
        </is>
      </c>
      <c r="C66" s="31" t="n">
        <v>1535349</v>
      </c>
      <c r="D66" s="31" t="n">
        <v>3105553</v>
      </c>
      <c r="E66" s="31" t="n">
        <v>3848979</v>
      </c>
      <c r="F66" s="31" t="n">
        <v>0.99</v>
      </c>
      <c r="G66" s="31" t="n">
        <v>3398554</v>
      </c>
      <c r="H66" s="31" t="n">
        <v>61401000</v>
      </c>
      <c r="I66" s="57" t="n">
        <v>36483000</v>
      </c>
      <c r="J66" s="57" t="n">
        <v>7242090</v>
      </c>
      <c r="K66" s="57" t="n">
        <v>73322000</v>
      </c>
    </row>
    <row r="67">
      <c r="B67" t="inlineStr">
        <is>
          <t>Interest expense on lease liabilities</t>
        </is>
      </c>
      <c r="C67" s="79" t="inlineStr">
        <is>
          <t>-</t>
        </is>
      </c>
      <c r="D67" s="79" t="inlineStr">
        <is>
          <t>-</t>
        </is>
      </c>
      <c r="E67" s="31" t="inlineStr">
        <is>
          <t>-</t>
        </is>
      </c>
      <c r="F67" s="31" t="inlineStr">
        <is>
          <t>-</t>
        </is>
      </c>
      <c r="G67" s="31" t="inlineStr">
        <is>
          <t>-</t>
        </is>
      </c>
      <c r="H67" s="31" t="inlineStr">
        <is>
          <t>-</t>
        </is>
      </c>
      <c r="I67" s="57" t="inlineStr">
        <is>
          <t>-</t>
        </is>
      </c>
      <c r="J67" s="57" t="inlineStr">
        <is>
          <t>-</t>
        </is>
      </c>
      <c r="K67" s="57" t="inlineStr">
        <is>
          <t>-</t>
        </is>
      </c>
    </row>
    <row r="68">
      <c r="C68" s="79" t="n"/>
      <c r="D68" s="79" t="n"/>
      <c r="E68" s="79" t="n"/>
      <c r="F68" s="79" t="n"/>
      <c r="G68" s="79" t="n"/>
      <c r="H68" s="79" t="n"/>
      <c r="I68" s="57" t="n"/>
      <c r="J68" s="57" t="n"/>
      <c r="K68" s="57" t="n"/>
    </row>
    <row r="69">
      <c r="B69" t="inlineStr">
        <is>
          <t>Interest expense except depositors</t>
        </is>
      </c>
      <c r="C69" s="79" t="inlineStr">
        <is>
          <t>-</t>
        </is>
      </c>
      <c r="D69" s="79" t="inlineStr">
        <is>
          <t>-</t>
        </is>
      </c>
      <c r="E69" s="79" t="inlineStr">
        <is>
          <t>-</t>
        </is>
      </c>
      <c r="F69" s="79" t="inlineStr">
        <is>
          <t>-</t>
        </is>
      </c>
      <c r="G69" s="79" t="inlineStr">
        <is>
          <t>-</t>
        </is>
      </c>
      <c r="H69" s="79" t="inlineStr">
        <is>
          <t>-</t>
        </is>
      </c>
      <c r="I69" s="57" t="inlineStr">
        <is>
          <t>-</t>
        </is>
      </c>
      <c r="J69" s="57" t="inlineStr">
        <is>
          <t>-</t>
        </is>
      </c>
      <c r="K69" s="57" t="inlineStr">
        <is>
          <t>-</t>
        </is>
      </c>
    </row>
    <row r="70">
      <c r="C70" s="79" t="n"/>
      <c r="D70" s="79" t="n"/>
      <c r="E70" s="79" t="n"/>
      <c r="F70" s="79" t="n"/>
      <c r="G70" s="79" t="n"/>
      <c r="H70" s="79" t="n"/>
      <c r="I70" s="57" t="n"/>
      <c r="J70" s="57" t="n"/>
      <c r="K70" s="57" t="n"/>
    </row>
    <row r="71">
      <c r="B71" t="inlineStr">
        <is>
          <t>Deposit interest rate</t>
        </is>
      </c>
      <c r="C71" s="81" t="inlineStr">
        <is>
          <t>-</t>
        </is>
      </c>
      <c r="D71" s="81" t="inlineStr">
        <is>
          <t>-</t>
        </is>
      </c>
      <c r="E71" s="81" t="inlineStr">
        <is>
          <t>-</t>
        </is>
      </c>
      <c r="F71" s="81" t="inlineStr">
        <is>
          <t>-</t>
        </is>
      </c>
      <c r="G71" s="81" t="inlineStr">
        <is>
          <t>-</t>
        </is>
      </c>
      <c r="H71" s="81" t="inlineStr">
        <is>
          <t>-</t>
        </is>
      </c>
      <c r="I71" s="81" t="inlineStr">
        <is>
          <t>-</t>
        </is>
      </c>
      <c r="J71" s="81" t="inlineStr">
        <is>
          <t>-</t>
        </is>
      </c>
      <c r="K71" s="81" t="inlineStr">
        <is>
          <t>-</t>
        </is>
      </c>
    </row>
    <row r="72">
      <c r="B72" t="inlineStr">
        <is>
          <t>Other financial liabilities</t>
        </is>
      </c>
      <c r="C72" s="81" t="inlineStr">
        <is>
          <t>-</t>
        </is>
      </c>
      <c r="D72" s="81" t="inlineStr">
        <is>
          <t>-</t>
        </is>
      </c>
      <c r="E72" s="81" t="inlineStr">
        <is>
          <t>-</t>
        </is>
      </c>
      <c r="F72" s="81" t="inlineStr">
        <is>
          <t>-</t>
        </is>
      </c>
      <c r="G72" s="81" t="inlineStr">
        <is>
          <t>-</t>
        </is>
      </c>
      <c r="H72" s="81" t="inlineStr">
        <is>
          <t>-</t>
        </is>
      </c>
      <c r="I72" s="81" t="inlineStr">
        <is>
          <t>-</t>
        </is>
      </c>
      <c r="J72" s="81" t="inlineStr">
        <is>
          <t>-</t>
        </is>
      </c>
      <c r="K72" s="81" t="inlineStr">
        <is>
          <t>-</t>
        </is>
      </c>
    </row>
    <row r="73">
      <c r="C73" s="61" t="n"/>
      <c r="D73" s="61" t="n"/>
      <c r="E73" s="61" t="n"/>
      <c r="F73" s="61" t="n"/>
      <c r="G73" s="61" t="n"/>
      <c r="H73" s="61" t="n"/>
      <c r="I73" s="57" t="n"/>
      <c r="J73" s="57" t="n"/>
      <c r="K73" s="57" t="n"/>
    </row>
    <row r="74" customFormat="1" s="33">
      <c r="B74" s="51" t="inlineStr">
        <is>
          <t>Check</t>
        </is>
      </c>
      <c r="C74" s="79" t="n">
        <v>-857269981</v>
      </c>
      <c r="D74" s="79" t="n">
        <v>-994370875</v>
      </c>
      <c r="E74" s="79" t="n">
        <v>-1068982587</v>
      </c>
      <c r="F74" s="79" t="n">
        <v>-1286616399</v>
      </c>
      <c r="G74" s="79" t="n">
        <v>0</v>
      </c>
      <c r="H74" s="79" t="n">
        <v>0</v>
      </c>
      <c r="I74" s="57" t="inlineStr">
        <is>
          <t>-</t>
        </is>
      </c>
      <c r="J74" s="57" t="inlineStr">
        <is>
          <t>-</t>
        </is>
      </c>
      <c r="K74" s="57" t="inlineStr">
        <is>
          <t>-</t>
        </is>
      </c>
    </row>
    <row r="75">
      <c r="C75" s="79" t="n"/>
      <c r="D75" s="79" t="n"/>
      <c r="E75" s="79" t="n"/>
      <c r="F75" s="79" t="n"/>
      <c r="G75" s="79" t="n"/>
      <c r="H75" s="79" t="n"/>
      <c r="I75" s="57" t="n"/>
      <c r="J75" s="57" t="n"/>
      <c r="K75" s="57" t="n"/>
    </row>
    <row r="76" customFormat="1" s="7">
      <c r="C76" s="62" t="n"/>
      <c r="D76" s="62" t="n"/>
      <c r="E76" s="62" t="n"/>
      <c r="F76" s="62" t="n"/>
      <c r="G76" s="62" t="n"/>
      <c r="H76" s="62" t="n"/>
      <c r="I76" s="60" t="n"/>
      <c r="J76" s="60" t="n"/>
      <c r="K76" s="60" t="n"/>
    </row>
    <row r="77">
      <c r="C77" s="79" t="n"/>
      <c r="D77" s="79" t="n"/>
      <c r="E77" s="79" t="n"/>
      <c r="F77" s="79" t="n"/>
      <c r="G77" s="79" t="n"/>
      <c r="H77" s="79" t="n"/>
      <c r="I77" s="40" t="n"/>
      <c r="J77" s="40" t="n"/>
      <c r="K77" s="40" t="n"/>
    </row>
    <row r="78">
      <c r="B78" t="inlineStr">
        <is>
          <t>Fee and commission income</t>
        </is>
      </c>
      <c r="C78" s="31" t="n">
        <v>10510800</v>
      </c>
      <c r="D78" s="31" t="inlineStr">
        <is>
          <t>-</t>
        </is>
      </c>
      <c r="E78" s="31" t="n">
        <v>12874966</v>
      </c>
      <c r="F78" s="31" t="n">
        <v>11839689</v>
      </c>
      <c r="G78" s="31" t="n">
        <v>15917337</v>
      </c>
      <c r="H78" s="31" t="n">
        <v>26191530</v>
      </c>
      <c r="I78" s="57" t="inlineStr">
        <is>
          <t>-</t>
        </is>
      </c>
      <c r="J78" s="57" t="n">
        <v>34480523</v>
      </c>
      <c r="K78" s="57" t="n">
        <v>42592091</v>
      </c>
    </row>
    <row r="79">
      <c r="C79" s="79" t="n"/>
      <c r="D79" s="79" t="n"/>
      <c r="E79" s="79" t="n"/>
      <c r="F79" s="79" t="n"/>
      <c r="G79" s="79" t="n"/>
      <c r="H79" s="79" t="n"/>
      <c r="I79" s="40" t="n"/>
      <c r="J79" s="40" t="n"/>
      <c r="K79" s="40" t="n"/>
    </row>
    <row r="80">
      <c r="B80" t="inlineStr">
        <is>
          <t>Loans and advances related services</t>
        </is>
      </c>
      <c r="C80" s="31" t="inlineStr">
        <is>
          <t>-</t>
        </is>
      </c>
      <c r="D80" s="31" t="inlineStr">
        <is>
          <t>-</t>
        </is>
      </c>
      <c r="E80" s="31" t="inlineStr">
        <is>
          <t>-</t>
        </is>
      </c>
      <c r="F80" s="31" t="inlineStr">
        <is>
          <t>-</t>
        </is>
      </c>
      <c r="G80" s="31" t="inlineStr">
        <is>
          <t>-</t>
        </is>
      </c>
      <c r="H80" s="31" t="inlineStr">
        <is>
          <t>-</t>
        </is>
      </c>
      <c r="I80" s="40" t="inlineStr">
        <is>
          <t>-</t>
        </is>
      </c>
      <c r="J80" s="40" t="inlineStr">
        <is>
          <t>-</t>
        </is>
      </c>
      <c r="K80" s="40" t="inlineStr">
        <is>
          <t>-</t>
        </is>
      </c>
    </row>
    <row r="81">
      <c r="B81" t="inlineStr">
        <is>
          <t>Credit and debit cards related services</t>
        </is>
      </c>
      <c r="C81" s="31" t="inlineStr">
        <is>
          <t>-</t>
        </is>
      </c>
      <c r="D81" s="31" t="inlineStr">
        <is>
          <t>-</t>
        </is>
      </c>
      <c r="E81" s="31" t="inlineStr">
        <is>
          <t>-</t>
        </is>
      </c>
      <c r="F81" s="31" t="inlineStr">
        <is>
          <t>-</t>
        </is>
      </c>
      <c r="G81" s="31" t="inlineStr">
        <is>
          <t>-</t>
        </is>
      </c>
      <c r="H81" s="31" t="inlineStr">
        <is>
          <t>-</t>
        </is>
      </c>
      <c r="I81" s="40" t="inlineStr">
        <is>
          <t>-</t>
        </is>
      </c>
      <c r="J81" s="40" t="inlineStr">
        <is>
          <t>-</t>
        </is>
      </c>
      <c r="K81" s="40" t="inlineStr">
        <is>
          <t>-</t>
        </is>
      </c>
    </row>
    <row r="82">
      <c r="B82" t="inlineStr">
        <is>
          <t>Trade and remittances related services</t>
        </is>
      </c>
      <c r="C82" s="31" t="inlineStr">
        <is>
          <t>-</t>
        </is>
      </c>
      <c r="D82" s="31" t="inlineStr">
        <is>
          <t>-</t>
        </is>
      </c>
      <c r="E82" s="31" t="inlineStr">
        <is>
          <t>-</t>
        </is>
      </c>
      <c r="F82" s="31" t="inlineStr">
        <is>
          <t>-</t>
        </is>
      </c>
      <c r="G82" s="31" t="inlineStr">
        <is>
          <t>-</t>
        </is>
      </c>
      <c r="H82" s="31" t="inlineStr">
        <is>
          <t>-</t>
        </is>
      </c>
      <c r="I82" s="40" t="inlineStr">
        <is>
          <t>-</t>
        </is>
      </c>
      <c r="J82" s="40" t="inlineStr">
        <is>
          <t>-</t>
        </is>
      </c>
      <c r="K82" s="40" t="inlineStr">
        <is>
          <t>-</t>
        </is>
      </c>
    </row>
    <row r="83">
      <c r="B83" t="inlineStr">
        <is>
          <t>Deposits related services</t>
        </is>
      </c>
      <c r="C83" s="31" t="inlineStr">
        <is>
          <t>-</t>
        </is>
      </c>
      <c r="D83" s="31" t="inlineStr">
        <is>
          <t>-</t>
        </is>
      </c>
      <c r="E83" s="31" t="inlineStr">
        <is>
          <t>-</t>
        </is>
      </c>
      <c r="F83" s="31" t="inlineStr">
        <is>
          <t>-</t>
        </is>
      </c>
      <c r="G83" s="31" t="inlineStr">
        <is>
          <t>-</t>
        </is>
      </c>
      <c r="H83" s="31" t="inlineStr">
        <is>
          <t>-</t>
        </is>
      </c>
      <c r="I83" s="40" t="inlineStr">
        <is>
          <t>-</t>
        </is>
      </c>
      <c r="J83" s="40" t="inlineStr">
        <is>
          <t>-</t>
        </is>
      </c>
      <c r="K83" s="40" t="inlineStr">
        <is>
          <t>-</t>
        </is>
      </c>
    </row>
    <row r="84">
      <c r="B84" t="inlineStr">
        <is>
          <t>Guarantees related services</t>
        </is>
      </c>
      <c r="C84" s="31" t="inlineStr">
        <is>
          <t>-</t>
        </is>
      </c>
      <c r="D84" s="31" t="inlineStr">
        <is>
          <t>-</t>
        </is>
      </c>
      <c r="E84" s="31" t="inlineStr">
        <is>
          <t>-</t>
        </is>
      </c>
      <c r="F84" s="31" t="inlineStr">
        <is>
          <t>-</t>
        </is>
      </c>
      <c r="G84" s="31" t="inlineStr">
        <is>
          <t>-</t>
        </is>
      </c>
      <c r="H84" s="31" t="inlineStr">
        <is>
          <t>-</t>
        </is>
      </c>
      <c r="I84" s="40" t="inlineStr">
        <is>
          <t>-</t>
        </is>
      </c>
      <c r="J84" s="40" t="inlineStr">
        <is>
          <t>-</t>
        </is>
      </c>
      <c r="K84" s="40" t="inlineStr">
        <is>
          <t>-</t>
        </is>
      </c>
    </row>
    <row r="85">
      <c r="B85" t="inlineStr">
        <is>
          <t>Other financial services</t>
        </is>
      </c>
      <c r="C85" s="31" t="n">
        <v>46764237</v>
      </c>
      <c r="D85" s="31" t="n">
        <v>40046006</v>
      </c>
      <c r="E85" s="31" t="n">
        <v>35777329</v>
      </c>
      <c r="F85" s="31" t="n">
        <v>36023186</v>
      </c>
      <c r="G85" s="31" t="n">
        <v>70326837</v>
      </c>
      <c r="H85" s="31" t="n">
        <v>95254707</v>
      </c>
      <c r="I85" s="40" t="inlineStr">
        <is>
          <t>-</t>
        </is>
      </c>
      <c r="J85" s="40" t="inlineStr">
        <is>
          <t>-</t>
        </is>
      </c>
      <c r="K85" s="40" t="inlineStr">
        <is>
          <t>-</t>
        </is>
      </c>
    </row>
    <row r="86">
      <c r="C86" s="79" t="n"/>
      <c r="D86" s="79" t="n"/>
      <c r="E86" s="79" t="n"/>
      <c r="F86" s="79" t="n"/>
      <c r="G86" s="79" t="n"/>
      <c r="H86" s="79" t="n"/>
      <c r="I86" s="40" t="n"/>
      <c r="J86" s="40" t="n"/>
      <c r="K86" s="40" t="n"/>
    </row>
    <row r="87" customFormat="1" s="33">
      <c r="B87" s="33" t="inlineStr">
        <is>
          <t>Check</t>
        </is>
      </c>
      <c r="C87" s="79" t="n">
        <v>-857269981</v>
      </c>
      <c r="D87" s="79" t="n">
        <v>-994370875</v>
      </c>
      <c r="E87" s="79" t="n">
        <v>-1068982587</v>
      </c>
      <c r="F87" s="79" t="n">
        <v>-1286616399</v>
      </c>
      <c r="G87" s="79" t="n">
        <v>0</v>
      </c>
      <c r="H87" s="79" t="n">
        <v>0</v>
      </c>
      <c r="I87" s="40" t="inlineStr">
        <is>
          <t>-</t>
        </is>
      </c>
      <c r="J87" s="40" t="inlineStr">
        <is>
          <t>-</t>
        </is>
      </c>
      <c r="K87" s="40" t="inlineStr">
        <is>
          <t>-</t>
        </is>
      </c>
    </row>
    <row r="88">
      <c r="C88" s="79" t="n"/>
      <c r="D88" s="79" t="n"/>
      <c r="E88" s="79" t="n"/>
      <c r="F88" s="79" t="n"/>
      <c r="G88" s="79" t="n"/>
      <c r="H88" s="79" t="n"/>
      <c r="I88" s="40" t="n"/>
      <c r="J88" s="40" t="n"/>
      <c r="K88" s="40" t="n"/>
    </row>
    <row r="89">
      <c r="B89" t="inlineStr">
        <is>
          <t>As a % of loan book</t>
        </is>
      </c>
      <c r="C89" s="79" t="inlineStr">
        <is>
          <t>-</t>
        </is>
      </c>
      <c r="D89" s="79" t="inlineStr">
        <is>
          <t>-</t>
        </is>
      </c>
      <c r="E89" s="81" t="inlineStr">
        <is>
          <t>-</t>
        </is>
      </c>
      <c r="F89" s="81" t="inlineStr">
        <is>
          <t>-</t>
        </is>
      </c>
      <c r="G89" s="81" t="inlineStr">
        <is>
          <t>-</t>
        </is>
      </c>
      <c r="H89" s="81" t="inlineStr">
        <is>
          <t>-</t>
        </is>
      </c>
      <c r="I89" s="81" t="inlineStr">
        <is>
          <t>-</t>
        </is>
      </c>
      <c r="J89" s="81" t="inlineStr">
        <is>
          <t>-</t>
        </is>
      </c>
      <c r="K89" s="81" t="inlineStr">
        <is>
          <t>-</t>
        </is>
      </c>
    </row>
    <row r="90">
      <c r="C90" s="79" t="n"/>
      <c r="D90" s="79" t="n"/>
      <c r="E90" s="79" t="n"/>
      <c r="F90" s="79" t="n"/>
      <c r="G90" s="79" t="n"/>
      <c r="H90" s="79" t="n"/>
      <c r="I90" s="40" t="n"/>
      <c r="J90" s="40" t="n"/>
      <c r="K90" s="40" t="n"/>
    </row>
    <row r="91" customFormat="1" s="7">
      <c r="C91" s="62" t="n"/>
      <c r="D91" s="62" t="n"/>
      <c r="E91" s="62" t="n"/>
      <c r="F91" s="62" t="n"/>
      <c r="G91" s="62" t="n"/>
      <c r="H91" s="62" t="n"/>
      <c r="I91" s="63" t="n"/>
      <c r="J91" s="63" t="n"/>
      <c r="K91" s="63" t="n"/>
    </row>
    <row r="92">
      <c r="C92" s="79" t="n"/>
      <c r="D92" s="79" t="n"/>
      <c r="E92" s="79" t="n"/>
      <c r="F92" s="79" t="n"/>
      <c r="G92" s="79" t="n"/>
      <c r="H92" s="79" t="n"/>
      <c r="I92" s="40" t="n"/>
      <c r="J92" s="40" t="n"/>
      <c r="K92" s="40" t="n"/>
    </row>
    <row r="93">
      <c r="B93" t="inlineStr">
        <is>
          <t>Fee and commission expense</t>
        </is>
      </c>
      <c r="C93" s="31" t="n">
        <v>1586334</v>
      </c>
      <c r="D93" s="31" t="inlineStr">
        <is>
          <t>-</t>
        </is>
      </c>
      <c r="E93" s="31" t="n">
        <v>2123128</v>
      </c>
      <c r="F93" s="31" t="n">
        <v>2018014</v>
      </c>
      <c r="G93" s="31" t="n">
        <v>3675143</v>
      </c>
      <c r="H93" s="31" t="n">
        <v>6022429</v>
      </c>
      <c r="I93" s="57" t="inlineStr">
        <is>
          <t>-</t>
        </is>
      </c>
      <c r="J93" s="57" t="n">
        <v>10834345</v>
      </c>
      <c r="K93" s="57" t="n">
        <v>13616570</v>
      </c>
    </row>
    <row r="94">
      <c r="C94" s="79" t="n"/>
      <c r="D94" s="79" t="n"/>
      <c r="E94" s="79" t="n"/>
      <c r="F94" s="79" t="n"/>
      <c r="G94" s="79" t="n"/>
      <c r="H94" s="79" t="n"/>
      <c r="I94" s="40" t="n"/>
      <c r="J94" s="40" t="n"/>
      <c r="K94" s="40" t="n"/>
    </row>
    <row r="95">
      <c r="B95" t="inlineStr">
        <is>
          <t>Loans and advances related services</t>
        </is>
      </c>
      <c r="C95" s="31" t="inlineStr">
        <is>
          <t>-</t>
        </is>
      </c>
      <c r="D95" s="31" t="inlineStr">
        <is>
          <t>-</t>
        </is>
      </c>
      <c r="E95" s="31" t="inlineStr">
        <is>
          <t>-</t>
        </is>
      </c>
      <c r="F95" s="31" t="inlineStr">
        <is>
          <t>-</t>
        </is>
      </c>
      <c r="G95" s="31" t="inlineStr">
        <is>
          <t>-</t>
        </is>
      </c>
      <c r="H95" s="31" t="inlineStr">
        <is>
          <t>-</t>
        </is>
      </c>
      <c r="I95" s="40" t="inlineStr">
        <is>
          <t>-</t>
        </is>
      </c>
      <c r="J95" s="40" t="inlineStr">
        <is>
          <t>-</t>
        </is>
      </c>
      <c r="K95" s="40" t="inlineStr">
        <is>
          <t>-</t>
        </is>
      </c>
    </row>
    <row r="96">
      <c r="B96" t="inlineStr">
        <is>
          <t>Credit and debit cards related services</t>
        </is>
      </c>
      <c r="C96" s="31" t="inlineStr">
        <is>
          <t>-</t>
        </is>
      </c>
      <c r="D96" s="31" t="inlineStr">
        <is>
          <t>-</t>
        </is>
      </c>
      <c r="E96" s="31" t="inlineStr">
        <is>
          <t>-</t>
        </is>
      </c>
      <c r="F96" s="31" t="inlineStr">
        <is>
          <t>-</t>
        </is>
      </c>
      <c r="G96" s="31" t="inlineStr">
        <is>
          <t>-</t>
        </is>
      </c>
      <c r="H96" s="31" t="inlineStr">
        <is>
          <t>-</t>
        </is>
      </c>
      <c r="I96" s="40" t="inlineStr">
        <is>
          <t>-</t>
        </is>
      </c>
      <c r="J96" s="40" t="inlineStr">
        <is>
          <t>-</t>
        </is>
      </c>
      <c r="K96" s="40" t="inlineStr">
        <is>
          <t>-</t>
        </is>
      </c>
    </row>
    <row r="97">
      <c r="B97" t="inlineStr">
        <is>
          <t>Trade and remittances related services</t>
        </is>
      </c>
      <c r="C97" s="31" t="inlineStr">
        <is>
          <t>-</t>
        </is>
      </c>
      <c r="D97" s="31" t="inlineStr">
        <is>
          <t>-</t>
        </is>
      </c>
      <c r="E97" s="31" t="inlineStr">
        <is>
          <t>-</t>
        </is>
      </c>
      <c r="F97" s="31" t="inlineStr">
        <is>
          <t>-</t>
        </is>
      </c>
      <c r="G97" s="31" t="inlineStr">
        <is>
          <t>-</t>
        </is>
      </c>
      <c r="H97" s="31" t="inlineStr">
        <is>
          <t>-</t>
        </is>
      </c>
      <c r="I97" s="40" t="inlineStr">
        <is>
          <t>-</t>
        </is>
      </c>
      <c r="J97" s="40" t="inlineStr">
        <is>
          <t>-</t>
        </is>
      </c>
      <c r="K97" s="40" t="inlineStr">
        <is>
          <t>-</t>
        </is>
      </c>
    </row>
    <row r="98">
      <c r="B98" t="inlineStr">
        <is>
          <t>Other financial services</t>
        </is>
      </c>
      <c r="C98" s="31" t="n">
        <v>46764237</v>
      </c>
      <c r="D98" s="31" t="n">
        <v>40046006</v>
      </c>
      <c r="E98" s="31" t="n">
        <v>35777329</v>
      </c>
      <c r="F98" s="31" t="n">
        <v>36023186</v>
      </c>
      <c r="G98" s="31" t="n">
        <v>70326837</v>
      </c>
      <c r="H98" s="31" t="n">
        <v>95254707</v>
      </c>
      <c r="I98" s="40" t="inlineStr">
        <is>
          <t>-</t>
        </is>
      </c>
      <c r="J98" s="40" t="inlineStr">
        <is>
          <t>-</t>
        </is>
      </c>
      <c r="K98" s="40" t="inlineStr">
        <is>
          <t>-</t>
        </is>
      </c>
    </row>
    <row r="99">
      <c r="C99" s="79" t="n"/>
      <c r="D99" s="79" t="n"/>
      <c r="E99" s="79" t="n"/>
      <c r="F99" s="79" t="n"/>
      <c r="G99" s="79" t="n"/>
      <c r="H99" s="79" t="n"/>
      <c r="I99" s="40" t="n"/>
      <c r="J99" s="40" t="n"/>
      <c r="K99" s="40" t="n"/>
    </row>
    <row r="100" customFormat="1" s="33">
      <c r="B100" s="33" t="inlineStr">
        <is>
          <t>Check</t>
        </is>
      </c>
      <c r="C100" s="79" t="n">
        <v>-857269981</v>
      </c>
      <c r="D100" s="79" t="n">
        <v>-994370875</v>
      </c>
      <c r="E100" s="79" t="n">
        <v>-1068982587</v>
      </c>
      <c r="F100" s="79" t="n">
        <v>-1286616399</v>
      </c>
      <c r="G100" s="79" t="n">
        <v>0</v>
      </c>
      <c r="H100" s="79" t="n">
        <v>0</v>
      </c>
      <c r="I100" s="40" t="inlineStr">
        <is>
          <t>-</t>
        </is>
      </c>
      <c r="J100" s="40" t="inlineStr">
        <is>
          <t>-</t>
        </is>
      </c>
      <c r="K100" s="40" t="inlineStr">
        <is>
          <t>-</t>
        </is>
      </c>
    </row>
    <row r="101">
      <c r="C101" s="79" t="n"/>
      <c r="D101" s="79" t="n"/>
      <c r="E101" s="79" t="n"/>
      <c r="F101" s="79" t="n"/>
      <c r="G101" s="79" t="n"/>
      <c r="H101" s="79" t="n"/>
      <c r="I101" s="40" t="n"/>
      <c r="J101" s="40" t="n"/>
      <c r="K101" s="40" t="n"/>
    </row>
    <row r="102">
      <c r="B102" t="inlineStr">
        <is>
          <t>As a % of fee income</t>
        </is>
      </c>
      <c r="C102" s="81" t="inlineStr">
        <is>
          <t>-</t>
        </is>
      </c>
      <c r="D102" s="81" t="inlineStr">
        <is>
          <t>-</t>
        </is>
      </c>
      <c r="E102" s="81" t="inlineStr">
        <is>
          <t>-</t>
        </is>
      </c>
      <c r="F102" s="81" t="inlineStr">
        <is>
          <t>-</t>
        </is>
      </c>
      <c r="G102" s="81" t="inlineStr">
        <is>
          <t>-</t>
        </is>
      </c>
      <c r="H102" s="81" t="inlineStr">
        <is>
          <t>-</t>
        </is>
      </c>
      <c r="I102" s="93" t="inlineStr">
        <is>
          <t>-</t>
        </is>
      </c>
      <c r="J102" s="93" t="inlineStr">
        <is>
          <t>-</t>
        </is>
      </c>
      <c r="K102" s="93" t="inlineStr">
        <is>
          <t>-</t>
        </is>
      </c>
    </row>
    <row r="103">
      <c r="C103" s="79" t="n"/>
      <c r="D103" s="79" t="n"/>
      <c r="E103" s="79" t="n"/>
      <c r="F103" s="79" t="n"/>
      <c r="G103" s="79" t="n"/>
      <c r="H103" s="79" t="n"/>
      <c r="I103" s="40" t="n"/>
      <c r="J103" s="40" t="n"/>
      <c r="K103" s="40" t="n"/>
    </row>
    <row r="104" customFormat="1" s="7">
      <c r="C104" s="62" t="n"/>
      <c r="D104" s="62" t="n"/>
      <c r="E104" s="62" t="n"/>
      <c r="F104" s="62" t="n"/>
      <c r="G104" s="62" t="n"/>
      <c r="H104" s="62" t="n"/>
      <c r="I104" s="63" t="n"/>
      <c r="J104" s="63" t="n"/>
      <c r="K104" s="63" t="n"/>
    </row>
    <row r="105">
      <c r="C105" s="79" t="n"/>
      <c r="D105" s="79" t="n"/>
      <c r="E105" s="79" t="n"/>
      <c r="F105" s="79" t="n"/>
      <c r="G105" s="79" t="n"/>
      <c r="H105" s="79" t="n"/>
      <c r="I105" s="40" t="n"/>
      <c r="J105" s="40" t="n"/>
      <c r="K105" s="40" t="n"/>
    </row>
    <row r="106">
      <c r="B106" t="inlineStr">
        <is>
          <t>Net gains/(losses) from trading</t>
        </is>
      </c>
      <c r="C106" s="31" t="n">
        <v>233956</v>
      </c>
      <c r="D106" s="31" t="inlineStr">
        <is>
          <t>-</t>
        </is>
      </c>
      <c r="E106" s="31" t="n">
        <v>1360833</v>
      </c>
      <c r="F106" s="31" t="n">
        <v>1878060</v>
      </c>
      <c r="G106" s="31" t="n">
        <v>1936007</v>
      </c>
      <c r="H106" s="31" t="n">
        <v>35297450</v>
      </c>
      <c r="I106" s="57" t="inlineStr">
        <is>
          <t>-</t>
        </is>
      </c>
      <c r="J106" s="57" t="n">
        <v>-2201010</v>
      </c>
      <c r="K106" s="57" t="n">
        <v>344</v>
      </c>
    </row>
    <row r="107">
      <c r="C107" s="79" t="n"/>
      <c r="D107" s="79" t="n"/>
      <c r="E107" s="79" t="n"/>
      <c r="F107" s="79" t="n"/>
      <c r="G107" s="79" t="n"/>
      <c r="H107" s="79" t="n"/>
      <c r="I107" s="40" t="n"/>
      <c r="J107" s="40" t="n"/>
      <c r="K107" s="40" t="n"/>
    </row>
    <row r="108">
      <c r="B108" t="inlineStr">
        <is>
          <t>Derivative financial instruments</t>
        </is>
      </c>
      <c r="C108" s="86" t="inlineStr">
        <is>
          <t>-</t>
        </is>
      </c>
      <c r="D108" s="86" t="inlineStr">
        <is>
          <t>-</t>
        </is>
      </c>
      <c r="E108" s="86" t="inlineStr">
        <is>
          <t>-</t>
        </is>
      </c>
      <c r="F108" s="86" t="inlineStr">
        <is>
          <t>-</t>
        </is>
      </c>
      <c r="G108" s="86" t="inlineStr">
        <is>
          <t>-</t>
        </is>
      </c>
      <c r="H108" s="86" t="inlineStr">
        <is>
          <t>-</t>
        </is>
      </c>
      <c r="I108" s="64" t="inlineStr">
        <is>
          <t>-</t>
        </is>
      </c>
      <c r="J108" s="64" t="inlineStr">
        <is>
          <t>-</t>
        </is>
      </c>
      <c r="K108" s="64" t="inlineStr">
        <is>
          <t>-</t>
        </is>
      </c>
    </row>
    <row r="109">
      <c r="B109" s="24" t="inlineStr">
        <is>
          <t>Foreign exchange gains/(losses) from banks and other customers</t>
        </is>
      </c>
      <c r="C109" s="31" t="inlineStr">
        <is>
          <t>-</t>
        </is>
      </c>
      <c r="D109" s="31" t="inlineStr">
        <is>
          <t>-</t>
        </is>
      </c>
      <c r="E109" s="31" t="inlineStr">
        <is>
          <t>-</t>
        </is>
      </c>
      <c r="F109" s="31" t="inlineStr">
        <is>
          <t>-</t>
        </is>
      </c>
      <c r="G109" s="31" t="inlineStr">
        <is>
          <t>-</t>
        </is>
      </c>
      <c r="H109" s="31" t="inlineStr">
        <is>
          <t>-</t>
        </is>
      </c>
      <c r="I109" s="40" t="inlineStr">
        <is>
          <t>-</t>
        </is>
      </c>
      <c r="J109" s="40" t="inlineStr">
        <is>
          <t>-</t>
        </is>
      </c>
      <c r="K109" s="40" t="inlineStr">
        <is>
          <t>-</t>
        </is>
      </c>
    </row>
    <row r="110">
      <c r="B110" s="24" t="inlineStr">
        <is>
          <t>Financial assets recognised through profit or loss – measured at fair value</t>
        </is>
      </c>
      <c r="C110" s="79" t="n">
        <v>148381</v>
      </c>
      <c r="D110" s="79" t="n">
        <v>5520167</v>
      </c>
      <c r="E110" s="79" t="n">
        <v>21468033</v>
      </c>
      <c r="F110" s="79" t="n">
        <v>63.92</v>
      </c>
      <c r="G110" s="31" t="n">
        <v>242</v>
      </c>
      <c r="H110" s="31" t="n">
        <v>24873057</v>
      </c>
      <c r="I110" s="40" t="n">
        <v>29449653</v>
      </c>
      <c r="J110" s="40" t="n">
        <v>9167346</v>
      </c>
      <c r="K110" s="40" t="n">
        <v>111753532</v>
      </c>
    </row>
    <row r="111">
      <c r="B111" t="inlineStr">
        <is>
          <t>Government Securities</t>
        </is>
      </c>
      <c r="C111" s="86" t="inlineStr">
        <is>
          <t>-</t>
        </is>
      </c>
      <c r="D111" s="86" t="inlineStr">
        <is>
          <t>-</t>
        </is>
      </c>
      <c r="E111" s="86" t="inlineStr">
        <is>
          <t>-</t>
        </is>
      </c>
      <c r="F111" s="86" t="inlineStr">
        <is>
          <t>-</t>
        </is>
      </c>
      <c r="G111" s="86" t="inlineStr">
        <is>
          <t>-</t>
        </is>
      </c>
      <c r="H111" s="86" t="inlineStr">
        <is>
          <t>-</t>
        </is>
      </c>
      <c r="I111" s="64" t="inlineStr">
        <is>
          <t>-</t>
        </is>
      </c>
      <c r="J111" s="64" t="inlineStr">
        <is>
          <t>-</t>
        </is>
      </c>
      <c r="K111" s="64" t="inlineStr">
        <is>
          <t>-</t>
        </is>
      </c>
    </row>
    <row r="112">
      <c r="B112" s="24" t="inlineStr">
        <is>
          <t>Net mark-to-market gains/(losses)</t>
        </is>
      </c>
      <c r="C112" s="31" t="inlineStr">
        <is>
          <t>-</t>
        </is>
      </c>
      <c r="D112" s="31" t="inlineStr">
        <is>
          <t>-</t>
        </is>
      </c>
      <c r="E112" s="31" t="inlineStr">
        <is>
          <t>-</t>
        </is>
      </c>
      <c r="F112" s="31" t="inlineStr">
        <is>
          <t>-</t>
        </is>
      </c>
      <c r="G112" s="31" t="inlineStr">
        <is>
          <t>-</t>
        </is>
      </c>
      <c r="H112" s="31" t="inlineStr">
        <is>
          <t>-</t>
        </is>
      </c>
      <c r="I112" s="40" t="inlineStr">
        <is>
          <t>-</t>
        </is>
      </c>
      <c r="J112" s="40" t="inlineStr">
        <is>
          <t>-</t>
        </is>
      </c>
      <c r="K112" s="40" t="inlineStr">
        <is>
          <t>-</t>
        </is>
      </c>
    </row>
    <row r="113">
      <c r="B113" s="24" t="inlineStr">
        <is>
          <t>Net capital gains</t>
        </is>
      </c>
      <c r="C113" s="31" t="inlineStr">
        <is>
          <t>-</t>
        </is>
      </c>
      <c r="D113" s="31" t="inlineStr">
        <is>
          <t>-</t>
        </is>
      </c>
      <c r="E113" s="31" t="inlineStr">
        <is>
          <t>-</t>
        </is>
      </c>
      <c r="F113" s="31" t="inlineStr">
        <is>
          <t>-</t>
        </is>
      </c>
      <c r="G113" s="31" t="inlineStr">
        <is>
          <t>-</t>
        </is>
      </c>
      <c r="H113" s="31" t="inlineStr">
        <is>
          <t>-</t>
        </is>
      </c>
      <c r="I113" s="40" t="inlineStr">
        <is>
          <t>-</t>
        </is>
      </c>
      <c r="J113" s="40" t="inlineStr">
        <is>
          <t>-</t>
        </is>
      </c>
      <c r="K113" s="40" t="inlineStr">
        <is>
          <t>-</t>
        </is>
      </c>
    </row>
    <row r="114">
      <c r="B114" t="inlineStr">
        <is>
          <t>Equities</t>
        </is>
      </c>
      <c r="C114" s="86" t="inlineStr">
        <is>
          <t>-</t>
        </is>
      </c>
      <c r="D114" s="86" t="inlineStr">
        <is>
          <t>-</t>
        </is>
      </c>
      <c r="E114" s="86" t="inlineStr">
        <is>
          <t>-</t>
        </is>
      </c>
      <c r="F114" s="86" t="inlineStr">
        <is>
          <t>-</t>
        </is>
      </c>
      <c r="G114" s="86" t="inlineStr">
        <is>
          <t>-</t>
        </is>
      </c>
      <c r="H114" s="86" t="inlineStr">
        <is>
          <t>-</t>
        </is>
      </c>
      <c r="I114" s="64" t="inlineStr">
        <is>
          <t>-</t>
        </is>
      </c>
      <c r="J114" s="64" t="inlineStr">
        <is>
          <t>-</t>
        </is>
      </c>
      <c r="K114" s="64" t="inlineStr">
        <is>
          <t>-</t>
        </is>
      </c>
    </row>
    <row r="115">
      <c r="B115" s="24" t="inlineStr">
        <is>
          <t>Net mark-to-market gains/(losses)</t>
        </is>
      </c>
      <c r="C115" s="31" t="inlineStr">
        <is>
          <t>-</t>
        </is>
      </c>
      <c r="D115" s="31" t="inlineStr">
        <is>
          <t>-</t>
        </is>
      </c>
      <c r="E115" s="31" t="inlineStr">
        <is>
          <t>-</t>
        </is>
      </c>
      <c r="F115" s="31" t="inlineStr">
        <is>
          <t>-</t>
        </is>
      </c>
      <c r="G115" s="31" t="inlineStr">
        <is>
          <t>-</t>
        </is>
      </c>
      <c r="H115" s="31" t="inlineStr">
        <is>
          <t>-</t>
        </is>
      </c>
      <c r="I115" s="40" t="inlineStr">
        <is>
          <t>-</t>
        </is>
      </c>
      <c r="J115" s="40" t="inlineStr">
        <is>
          <t>-</t>
        </is>
      </c>
      <c r="K115" s="40" t="inlineStr">
        <is>
          <t>-</t>
        </is>
      </c>
    </row>
    <row r="116">
      <c r="B116" s="24" t="inlineStr">
        <is>
          <t>Net capital gains</t>
        </is>
      </c>
      <c r="C116" s="31" t="inlineStr">
        <is>
          <t>-</t>
        </is>
      </c>
      <c r="D116" s="31" t="inlineStr">
        <is>
          <t>-</t>
        </is>
      </c>
      <c r="E116" s="31" t="inlineStr">
        <is>
          <t>-</t>
        </is>
      </c>
      <c r="F116" s="31" t="inlineStr">
        <is>
          <t>-</t>
        </is>
      </c>
      <c r="G116" s="31" t="inlineStr">
        <is>
          <t>-</t>
        </is>
      </c>
      <c r="H116" s="31" t="inlineStr">
        <is>
          <t>-</t>
        </is>
      </c>
      <c r="I116" s="40" t="inlineStr">
        <is>
          <t>-</t>
        </is>
      </c>
      <c r="J116" s="40" t="inlineStr">
        <is>
          <t>-</t>
        </is>
      </c>
      <c r="K116" s="40" t="inlineStr">
        <is>
          <t>-</t>
        </is>
      </c>
    </row>
    <row r="117">
      <c r="B117" s="24" t="inlineStr">
        <is>
          <t>Dividend income</t>
        </is>
      </c>
      <c r="C117" s="31" t="inlineStr">
        <is>
          <t>-</t>
        </is>
      </c>
      <c r="D117" s="31" t="n">
        <v>-80575</v>
      </c>
      <c r="E117" s="31" t="n">
        <v>-85397</v>
      </c>
      <c r="F117" s="31" t="n">
        <v>-98200</v>
      </c>
      <c r="G117" s="31" t="inlineStr">
        <is>
          <t>-</t>
        </is>
      </c>
      <c r="H117" s="31" t="inlineStr">
        <is>
          <t>-</t>
        </is>
      </c>
      <c r="I117" s="40" t="inlineStr">
        <is>
          <t>-</t>
        </is>
      </c>
      <c r="J117" s="40" t="inlineStr">
        <is>
          <t>-</t>
        </is>
      </c>
      <c r="K117" s="40" t="inlineStr">
        <is>
          <t>-</t>
        </is>
      </c>
    </row>
    <row r="118">
      <c r="C118" s="79" t="n"/>
      <c r="D118" s="79" t="n"/>
      <c r="E118" s="79" t="n"/>
      <c r="F118" s="79" t="n"/>
      <c r="G118" s="79" t="n"/>
      <c r="H118" s="79" t="n"/>
      <c r="I118" s="40" t="n"/>
      <c r="J118" s="40" t="n"/>
      <c r="K118" s="40" t="n"/>
    </row>
    <row r="119" customFormat="1" s="33">
      <c r="B119" s="33" t="inlineStr">
        <is>
          <t>Check</t>
        </is>
      </c>
      <c r="C119" s="79" t="n">
        <v>-857269981</v>
      </c>
      <c r="D119" s="79" t="n">
        <v>-994370875</v>
      </c>
      <c r="E119" s="79" t="n">
        <v>-1068982587</v>
      </c>
      <c r="F119" s="79" t="n">
        <v>-1286616399</v>
      </c>
      <c r="G119" s="79" t="n">
        <v>0</v>
      </c>
      <c r="H119" s="79" t="n">
        <v>0</v>
      </c>
      <c r="I119" s="40" t="inlineStr">
        <is>
          <t>-</t>
        </is>
      </c>
      <c r="J119" s="40" t="inlineStr">
        <is>
          <t>-</t>
        </is>
      </c>
      <c r="K119" s="40" t="inlineStr">
        <is>
          <t>-</t>
        </is>
      </c>
    </row>
    <row r="120">
      <c r="C120" s="79" t="n"/>
      <c r="D120" s="79" t="n"/>
      <c r="E120" s="79" t="n"/>
      <c r="F120" s="79" t="n"/>
      <c r="G120" s="79" t="n"/>
      <c r="H120" s="79" t="n"/>
      <c r="I120" s="40" t="n"/>
      <c r="J120" s="40" t="n"/>
      <c r="K120" s="40" t="n"/>
    </row>
    <row r="121" customFormat="1" s="7">
      <c r="C121" s="62" t="n"/>
      <c r="D121" s="62" t="n"/>
      <c r="E121" s="62" t="n"/>
      <c r="F121" s="62" t="n"/>
      <c r="G121" s="62" t="n"/>
      <c r="H121" s="62" t="n"/>
      <c r="I121" s="63" t="n"/>
      <c r="J121" s="63" t="n"/>
      <c r="K121" s="63" t="n"/>
    </row>
    <row r="122">
      <c r="C122" s="79" t="n"/>
      <c r="D122" s="79" t="n"/>
      <c r="E122" s="79" t="n"/>
      <c r="F122" s="79" t="n"/>
      <c r="G122" s="79" t="n"/>
      <c r="H122" s="79" t="n"/>
      <c r="I122" s="40" t="n"/>
      <c r="J122" s="40" t="n"/>
      <c r="K122" s="40" t="n"/>
    </row>
    <row r="123">
      <c r="B123" t="inlineStr">
        <is>
          <t>Net other operating income</t>
        </is>
      </c>
      <c r="C123" s="31" t="n">
        <v>1918687</v>
      </c>
      <c r="D123" s="31" t="inlineStr">
        <is>
          <t>-</t>
        </is>
      </c>
      <c r="E123" s="31" t="n">
        <v>6081876</v>
      </c>
      <c r="F123" s="31" t="n">
        <v>7770754</v>
      </c>
      <c r="G123" s="31" t="n">
        <v>10002216</v>
      </c>
      <c r="H123" s="31" t="n">
        <v>-3771999</v>
      </c>
      <c r="I123" s="57" t="inlineStr">
        <is>
          <t>-</t>
        </is>
      </c>
      <c r="J123" s="57" t="n">
        <v>8496020</v>
      </c>
      <c r="K123" s="57" t="n">
        <v>345</v>
      </c>
    </row>
    <row r="124">
      <c r="C124" s="79" t="n"/>
      <c r="D124" s="79" t="n"/>
      <c r="E124" s="79" t="n"/>
      <c r="F124" s="79" t="n"/>
      <c r="G124" s="79" t="n"/>
      <c r="H124" s="79" t="n"/>
      <c r="I124" s="40" t="n"/>
      <c r="J124" s="40" t="n"/>
      <c r="K124" s="40" t="n"/>
    </row>
    <row r="125">
      <c r="B125" t="inlineStr">
        <is>
          <t>Gains/(losses) on sale of property, plant and equipment</t>
        </is>
      </c>
      <c r="C125" s="31" t="n">
        <v>-10395</v>
      </c>
      <c r="D125" s="31" t="n">
        <v>3633</v>
      </c>
      <c r="E125" s="31" t="n">
        <v>-7958</v>
      </c>
      <c r="F125" s="31" t="n">
        <v>-7958</v>
      </c>
      <c r="G125" s="31" t="n">
        <v>-5164</v>
      </c>
      <c r="H125" s="31" t="n">
        <v>-4054</v>
      </c>
      <c r="I125" s="40" t="n">
        <v>-3167</v>
      </c>
      <c r="J125" s="40" t="n">
        <v>-15939</v>
      </c>
      <c r="K125" s="40" t="n">
        <v>-25515</v>
      </c>
    </row>
    <row r="126">
      <c r="B126" t="inlineStr">
        <is>
          <t>Gains on revaluation of foreign exchange</t>
        </is>
      </c>
      <c r="C126" s="31" t="inlineStr">
        <is>
          <t>-</t>
        </is>
      </c>
      <c r="D126" s="31" t="inlineStr">
        <is>
          <t>-</t>
        </is>
      </c>
      <c r="E126" s="31" t="inlineStr">
        <is>
          <t>-</t>
        </is>
      </c>
      <c r="F126" s="31" t="inlineStr">
        <is>
          <t>-</t>
        </is>
      </c>
      <c r="G126" s="31" t="inlineStr">
        <is>
          <t>-</t>
        </is>
      </c>
      <c r="H126" s="31" t="inlineStr">
        <is>
          <t>-</t>
        </is>
      </c>
      <c r="I126" s="40" t="inlineStr">
        <is>
          <t>-</t>
        </is>
      </c>
      <c r="J126" s="40" t="inlineStr">
        <is>
          <t>-</t>
        </is>
      </c>
      <c r="K126" s="40" t="inlineStr">
        <is>
          <t>-</t>
        </is>
      </c>
    </row>
    <row r="127">
      <c r="B127" t="inlineStr">
        <is>
          <t>Recoveries o/a loans written off</t>
        </is>
      </c>
      <c r="C127" s="31" t="inlineStr">
        <is>
          <t>-</t>
        </is>
      </c>
      <c r="D127" s="31" t="inlineStr">
        <is>
          <t>-</t>
        </is>
      </c>
      <c r="E127" s="31" t="inlineStr">
        <is>
          <t>-</t>
        </is>
      </c>
      <c r="F127" s="31" t="inlineStr">
        <is>
          <t>-</t>
        </is>
      </c>
      <c r="G127" s="31" t="inlineStr">
        <is>
          <t>-</t>
        </is>
      </c>
      <c r="H127" s="31" t="inlineStr">
        <is>
          <t>-</t>
        </is>
      </c>
      <c r="I127" s="40" t="inlineStr">
        <is>
          <t>-</t>
        </is>
      </c>
      <c r="J127" s="40" t="inlineStr">
        <is>
          <t>-</t>
        </is>
      </c>
      <c r="K127" s="40" t="inlineStr">
        <is>
          <t>-</t>
        </is>
      </c>
    </row>
    <row r="128">
      <c r="B128" t="inlineStr">
        <is>
          <t>Dividend income from subsidiaries</t>
        </is>
      </c>
      <c r="C128" s="31" t="inlineStr">
        <is>
          <t>-</t>
        </is>
      </c>
      <c r="D128" s="31" t="n">
        <v>-80575</v>
      </c>
      <c r="E128" s="31" t="n">
        <v>-85397</v>
      </c>
      <c r="F128" s="31" t="n">
        <v>-98200</v>
      </c>
      <c r="G128" s="79" t="inlineStr">
        <is>
          <t>-</t>
        </is>
      </c>
      <c r="H128" s="31" t="inlineStr">
        <is>
          <t>-</t>
        </is>
      </c>
      <c r="I128" s="40" t="inlineStr">
        <is>
          <t>-</t>
        </is>
      </c>
      <c r="J128" s="40" t="inlineStr">
        <is>
          <t>-</t>
        </is>
      </c>
      <c r="K128" s="40" t="inlineStr">
        <is>
          <t>-</t>
        </is>
      </c>
    </row>
    <row r="129">
      <c r="B129" t="inlineStr">
        <is>
          <t>Dividend income from other equity securities</t>
        </is>
      </c>
      <c r="C129" s="79" t="inlineStr">
        <is>
          <t>-</t>
        </is>
      </c>
      <c r="D129" s="31" t="inlineStr">
        <is>
          <t>-</t>
        </is>
      </c>
      <c r="E129" s="31" t="inlineStr">
        <is>
          <t>-</t>
        </is>
      </c>
      <c r="F129" s="31" t="inlineStr">
        <is>
          <t>-</t>
        </is>
      </c>
      <c r="G129" s="31" t="inlineStr">
        <is>
          <t>-</t>
        </is>
      </c>
      <c r="H129" s="31" t="inlineStr">
        <is>
          <t>-</t>
        </is>
      </c>
      <c r="I129" s="40" t="inlineStr">
        <is>
          <t>-</t>
        </is>
      </c>
      <c r="J129" s="40" t="inlineStr">
        <is>
          <t>-</t>
        </is>
      </c>
      <c r="K129" s="40" t="inlineStr">
        <is>
          <t>-</t>
        </is>
      </c>
    </row>
    <row r="130">
      <c r="B130" t="inlineStr">
        <is>
          <t>Profit due to change in ownership</t>
        </is>
      </c>
      <c r="C130" s="31" t="inlineStr">
        <is>
          <t>-</t>
        </is>
      </c>
      <c r="D130" s="31" t="n">
        <v>-3344</v>
      </c>
      <c r="E130" s="31" t="n">
        <v>-14498</v>
      </c>
      <c r="F130" s="31" t="inlineStr">
        <is>
          <t>-</t>
        </is>
      </c>
      <c r="G130" s="79" t="inlineStr">
        <is>
          <t>-</t>
        </is>
      </c>
      <c r="H130" s="79" t="inlineStr">
        <is>
          <t>-</t>
        </is>
      </c>
      <c r="I130" s="40" t="inlineStr">
        <is>
          <t>-</t>
        </is>
      </c>
      <c r="J130" s="40" t="inlineStr">
        <is>
          <t>-</t>
        </is>
      </c>
      <c r="K130" s="40" t="inlineStr">
        <is>
          <t>-</t>
        </is>
      </c>
    </row>
    <row r="131">
      <c r="B131" t="inlineStr">
        <is>
          <t>Rental and other income</t>
        </is>
      </c>
      <c r="C131" s="31" t="inlineStr">
        <is>
          <t>-</t>
        </is>
      </c>
      <c r="D131" s="31" t="inlineStr">
        <is>
          <t>-</t>
        </is>
      </c>
      <c r="E131" s="31" t="inlineStr">
        <is>
          <t>-</t>
        </is>
      </c>
      <c r="F131" s="31" t="inlineStr">
        <is>
          <t>-</t>
        </is>
      </c>
      <c r="G131" s="31" t="inlineStr">
        <is>
          <t>-</t>
        </is>
      </c>
      <c r="H131" s="31" t="inlineStr">
        <is>
          <t>-</t>
        </is>
      </c>
      <c r="I131" s="40" t="inlineStr">
        <is>
          <t>-</t>
        </is>
      </c>
      <c r="J131" s="40" t="inlineStr">
        <is>
          <t>-</t>
        </is>
      </c>
      <c r="K131" s="40" t="inlineStr">
        <is>
          <t>-</t>
        </is>
      </c>
    </row>
    <row r="132">
      <c r="B132" t="inlineStr">
        <is>
          <t>Less: Profit due to change in ownership</t>
        </is>
      </c>
      <c r="C132" s="31" t="inlineStr">
        <is>
          <t>-</t>
        </is>
      </c>
      <c r="D132" s="31" t="n">
        <v>-3344</v>
      </c>
      <c r="E132" s="31" t="n">
        <v>-14498</v>
      </c>
      <c r="F132" s="31" t="inlineStr">
        <is>
          <t>-</t>
        </is>
      </c>
      <c r="G132" s="31" t="inlineStr">
        <is>
          <t>-</t>
        </is>
      </c>
      <c r="H132" s="31" t="inlineStr">
        <is>
          <t>-</t>
        </is>
      </c>
      <c r="I132" s="40" t="inlineStr">
        <is>
          <t>-</t>
        </is>
      </c>
      <c r="J132" s="40" t="inlineStr">
        <is>
          <t>-</t>
        </is>
      </c>
      <c r="K132" s="40" t="inlineStr">
        <is>
          <t>-</t>
        </is>
      </c>
    </row>
    <row r="133">
      <c r="C133" s="79" t="n"/>
      <c r="D133" s="79" t="n"/>
      <c r="E133" s="79" t="n"/>
      <c r="F133" s="79" t="n"/>
      <c r="G133" s="79" t="n"/>
      <c r="H133" s="79" t="n"/>
      <c r="I133" s="40" t="n"/>
      <c r="J133" s="40" t="n"/>
      <c r="K133" s="40" t="n"/>
    </row>
    <row r="134" customFormat="1" s="33">
      <c r="B134" s="33" t="inlineStr">
        <is>
          <t>Check</t>
        </is>
      </c>
      <c r="C134" s="79" t="n">
        <v>-857269981</v>
      </c>
      <c r="D134" s="79" t="n">
        <v>-994370875</v>
      </c>
      <c r="E134" s="79" t="n">
        <v>-1068982587</v>
      </c>
      <c r="F134" s="79" t="n">
        <v>-1286616399</v>
      </c>
      <c r="G134" s="79" t="n">
        <v>0</v>
      </c>
      <c r="H134" s="79" t="n">
        <v>0</v>
      </c>
      <c r="I134" s="40" t="inlineStr">
        <is>
          <t>-</t>
        </is>
      </c>
      <c r="J134" s="40" t="inlineStr">
        <is>
          <t>-</t>
        </is>
      </c>
      <c r="K134" s="40" t="inlineStr">
        <is>
          <t>-</t>
        </is>
      </c>
    </row>
    <row r="135">
      <c r="C135" s="79" t="n"/>
      <c r="D135" s="79" t="n"/>
      <c r="E135" s="79" t="n"/>
      <c r="F135" s="79" t="n"/>
      <c r="G135" s="79" t="n"/>
      <c r="H135" s="79" t="n"/>
      <c r="I135" s="40" t="n"/>
      <c r="J135" s="40" t="n"/>
      <c r="K135" s="40" t="n"/>
    </row>
    <row r="136" customFormat="1" s="7">
      <c r="C136" s="62" t="n"/>
      <c r="D136" s="62" t="n"/>
      <c r="E136" s="62" t="n"/>
      <c r="F136" s="62" t="n"/>
      <c r="G136" s="62" t="n"/>
      <c r="H136" s="62" t="n"/>
      <c r="I136" s="63" t="n"/>
      <c r="J136" s="63" t="n"/>
      <c r="K136" s="63" t="n"/>
    </row>
    <row r="137">
      <c r="C137" s="79" t="n"/>
      <c r="D137" s="79" t="n"/>
      <c r="E137" s="79" t="n"/>
      <c r="F137" s="79" t="n"/>
      <c r="G137" s="79" t="n"/>
      <c r="H137" s="79" t="n"/>
      <c r="I137" s="40" t="n"/>
      <c r="J137" s="40" t="n"/>
      <c r="K137" s="40" t="n"/>
    </row>
    <row r="138">
      <c r="B138" t="inlineStr">
        <is>
          <t>Impairment charges and other losses</t>
        </is>
      </c>
      <c r="C138" s="31" t="inlineStr">
        <is>
          <t>-</t>
        </is>
      </c>
      <c r="D138" s="31" t="inlineStr">
        <is>
          <t>-</t>
        </is>
      </c>
      <c r="E138" s="31" t="n">
        <v>11331525</v>
      </c>
      <c r="F138" s="31" t="n">
        <v>21419532</v>
      </c>
      <c r="G138" s="31" t="n">
        <v>25139926</v>
      </c>
      <c r="H138" s="31" t="n">
        <v>71924260</v>
      </c>
      <c r="I138" s="57" t="inlineStr">
        <is>
          <t>-</t>
        </is>
      </c>
      <c r="J138" s="57" t="inlineStr">
        <is>
          <t>-</t>
        </is>
      </c>
      <c r="K138" s="57" t="inlineStr">
        <is>
          <t>-</t>
        </is>
      </c>
    </row>
    <row r="139">
      <c r="C139" s="79" t="n"/>
      <c r="D139" s="79" t="n"/>
      <c r="E139" s="79" t="n"/>
      <c r="F139" s="79" t="n"/>
      <c r="G139" s="79" t="n"/>
      <c r="H139" s="79" t="n"/>
      <c r="I139" s="57" t="n"/>
      <c r="J139" s="57" t="n"/>
      <c r="K139" s="57" t="n"/>
    </row>
    <row r="140">
      <c r="B140" t="inlineStr">
        <is>
          <t>Loans and advances to other customers</t>
        </is>
      </c>
      <c r="C140" s="86" t="inlineStr">
        <is>
          <t>-</t>
        </is>
      </c>
      <c r="D140" s="86" t="n">
        <v>867611976</v>
      </c>
      <c r="E140" s="86" t="n">
        <v>893919311</v>
      </c>
      <c r="F140" s="86" t="n">
        <v>1.77</v>
      </c>
      <c r="G140" s="86" t="n">
        <v>246</v>
      </c>
      <c r="H140" s="86" t="n">
        <v>1130442579</v>
      </c>
      <c r="I140" s="47" t="n">
        <v>1176360000</v>
      </c>
      <c r="J140" s="47" t="n">
        <v>1384524660</v>
      </c>
      <c r="K140" s="64" t="n">
        <v>1958506596</v>
      </c>
    </row>
    <row r="141">
      <c r="B141" s="24" t="inlineStr">
        <is>
          <t>Individual impairment</t>
        </is>
      </c>
      <c r="C141" s="31" t="inlineStr">
        <is>
          <t>-</t>
        </is>
      </c>
      <c r="D141" s="31" t="inlineStr">
        <is>
          <t>-</t>
        </is>
      </c>
      <c r="E141" s="31" t="inlineStr">
        <is>
          <t>-</t>
        </is>
      </c>
      <c r="F141" s="31" t="inlineStr">
        <is>
          <t>-</t>
        </is>
      </c>
      <c r="G141" s="79" t="inlineStr">
        <is>
          <t>-</t>
        </is>
      </c>
      <c r="H141" s="79" t="inlineStr">
        <is>
          <t>-</t>
        </is>
      </c>
      <c r="I141" s="79" t="inlineStr">
        <is>
          <t>-</t>
        </is>
      </c>
      <c r="J141" s="79" t="inlineStr">
        <is>
          <t>-</t>
        </is>
      </c>
      <c r="K141" s="40" t="inlineStr">
        <is>
          <t>-</t>
        </is>
      </c>
    </row>
    <row r="142">
      <c r="B142" s="24" t="inlineStr">
        <is>
          <t>Collective impairment</t>
        </is>
      </c>
      <c r="C142" s="31" t="inlineStr">
        <is>
          <t>-</t>
        </is>
      </c>
      <c r="D142" s="31" t="inlineStr">
        <is>
          <t>-</t>
        </is>
      </c>
      <c r="E142" s="31" t="inlineStr">
        <is>
          <t>-</t>
        </is>
      </c>
      <c r="F142" s="31" t="inlineStr">
        <is>
          <t>-</t>
        </is>
      </c>
      <c r="G142" s="79" t="inlineStr">
        <is>
          <t>-</t>
        </is>
      </c>
      <c r="H142" s="79" t="inlineStr">
        <is>
          <t>-</t>
        </is>
      </c>
      <c r="I142" s="79" t="inlineStr">
        <is>
          <t>-</t>
        </is>
      </c>
      <c r="J142" s="79" t="inlineStr">
        <is>
          <t>-</t>
        </is>
      </c>
      <c r="K142" s="40" t="inlineStr">
        <is>
          <t>-</t>
        </is>
      </c>
    </row>
    <row r="143">
      <c r="B143" s="24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40" t="n"/>
    </row>
    <row r="144">
      <c r="B144" t="inlineStr">
        <is>
          <t>Other financial assets and off-balance sheet credit exposures</t>
        </is>
      </c>
      <c r="C144" s="31" t="inlineStr">
        <is>
          <t>-</t>
        </is>
      </c>
      <c r="D144" s="31" t="inlineStr">
        <is>
          <t>-</t>
        </is>
      </c>
      <c r="E144" s="31" t="inlineStr">
        <is>
          <t>-</t>
        </is>
      </c>
      <c r="F144" s="31" t="inlineStr">
        <is>
          <t>-</t>
        </is>
      </c>
      <c r="G144" s="79" t="inlineStr">
        <is>
          <t>-</t>
        </is>
      </c>
      <c r="H144" s="79" t="inlineStr">
        <is>
          <t>-</t>
        </is>
      </c>
      <c r="I144" s="79" t="inlineStr">
        <is>
          <t>-</t>
        </is>
      </c>
      <c r="J144" s="79" t="inlineStr">
        <is>
          <t>-</t>
        </is>
      </c>
      <c r="K144" s="40" t="inlineStr">
        <is>
          <t>-</t>
        </is>
      </c>
    </row>
    <row r="145">
      <c r="B145" t="inlineStr">
        <is>
          <t>Total impairment charges</t>
        </is>
      </c>
      <c r="C145" s="86" t="inlineStr">
        <is>
          <t>-</t>
        </is>
      </c>
      <c r="D145" s="86" t="inlineStr">
        <is>
          <t>-</t>
        </is>
      </c>
      <c r="E145" s="86" t="inlineStr">
        <is>
          <t>-</t>
        </is>
      </c>
      <c r="F145" s="86" t="inlineStr">
        <is>
          <t>-</t>
        </is>
      </c>
      <c r="G145" s="86" t="inlineStr">
        <is>
          <t>-</t>
        </is>
      </c>
      <c r="H145" s="86" t="inlineStr">
        <is>
          <t>-</t>
        </is>
      </c>
      <c r="I145" s="47" t="inlineStr">
        <is>
          <t>-</t>
        </is>
      </c>
      <c r="J145" s="47" t="inlineStr">
        <is>
          <t>-</t>
        </is>
      </c>
      <c r="K145" s="64" t="inlineStr">
        <is>
          <t>-</t>
        </is>
      </c>
    </row>
    <row r="146">
      <c r="B146" t="inlineStr">
        <is>
          <t>Investments in subsidiaries</t>
        </is>
      </c>
      <c r="C146" s="31" t="n">
        <v>5808</v>
      </c>
      <c r="D146" s="31" t="n">
        <v>80575</v>
      </c>
      <c r="E146" s="31" t="n">
        <v>85397</v>
      </c>
      <c r="F146" s="31" t="n">
        <v>5082437</v>
      </c>
      <c r="G146" s="79" t="n">
        <v>254</v>
      </c>
      <c r="H146" s="31" t="n">
        <v>5808439</v>
      </c>
      <c r="I146" s="79" t="n">
        <v>5808000</v>
      </c>
      <c r="J146" s="79" t="n">
        <v>5088429</v>
      </c>
      <c r="K146" s="40" t="n">
        <v>-332880</v>
      </c>
    </row>
    <row r="147">
      <c r="B147" t="inlineStr">
        <is>
          <t>Direct write-offs</t>
        </is>
      </c>
      <c r="C147" s="31" t="inlineStr">
        <is>
          <t>-</t>
        </is>
      </c>
      <c r="D147" s="31" t="inlineStr">
        <is>
          <t>-</t>
        </is>
      </c>
      <c r="E147" s="31" t="inlineStr">
        <is>
          <t>-</t>
        </is>
      </c>
      <c r="F147" s="31" t="inlineStr">
        <is>
          <t>-</t>
        </is>
      </c>
      <c r="G147" s="31" t="inlineStr">
        <is>
          <t>-</t>
        </is>
      </c>
      <c r="H147" s="31" t="inlineStr">
        <is>
          <t>-</t>
        </is>
      </c>
      <c r="I147" s="79" t="inlineStr">
        <is>
          <t>-</t>
        </is>
      </c>
      <c r="J147" s="79" t="inlineStr">
        <is>
          <t>-</t>
        </is>
      </c>
      <c r="K147" s="40" t="inlineStr">
        <is>
          <t>-</t>
        </is>
      </c>
    </row>
    <row r="148">
      <c r="C148" s="79" t="n"/>
      <c r="D148" s="79" t="n"/>
      <c r="E148" s="79" t="n"/>
      <c r="F148" s="79" t="n"/>
      <c r="G148" s="79" t="n"/>
      <c r="H148" s="79" t="n"/>
      <c r="I148" s="40" t="n"/>
      <c r="J148" s="40" t="n"/>
      <c r="K148" s="40" t="n"/>
    </row>
    <row r="149" customFormat="1" s="33">
      <c r="B149" s="33" t="inlineStr">
        <is>
          <t>Check</t>
        </is>
      </c>
      <c r="C149" s="79" t="n">
        <v>-857269981</v>
      </c>
      <c r="D149" s="79" t="n">
        <v>-994370875</v>
      </c>
      <c r="E149" s="79" t="n">
        <v>-1068982587</v>
      </c>
      <c r="F149" s="79" t="n">
        <v>-1286616399</v>
      </c>
      <c r="G149" s="79" t="n">
        <v>0</v>
      </c>
      <c r="H149" s="79" t="n">
        <v>0</v>
      </c>
      <c r="I149" s="40" t="inlineStr">
        <is>
          <t>-</t>
        </is>
      </c>
      <c r="J149" s="40" t="inlineStr">
        <is>
          <t>-</t>
        </is>
      </c>
      <c r="K149" s="40" t="inlineStr">
        <is>
          <t>-</t>
        </is>
      </c>
    </row>
    <row r="150" customFormat="1" s="33">
      <c r="C150" s="79" t="n"/>
      <c r="D150" s="79" t="n"/>
      <c r="E150" s="79" t="n"/>
      <c r="F150" s="79" t="n"/>
      <c r="G150" s="79" t="n"/>
      <c r="H150" s="79" t="n"/>
      <c r="I150" s="40" t="n"/>
      <c r="J150" s="40" t="n"/>
      <c r="K150" s="40" t="n"/>
    </row>
    <row r="151">
      <c r="B151" t="inlineStr">
        <is>
          <t>Impairment as a % of gross loans</t>
        </is>
      </c>
      <c r="C151" s="81" t="inlineStr">
        <is>
          <t>-</t>
        </is>
      </c>
      <c r="D151" s="81" t="inlineStr">
        <is>
          <t>-</t>
        </is>
      </c>
      <c r="E151" s="81" t="inlineStr">
        <is>
          <t>-</t>
        </is>
      </c>
      <c r="F151" s="81" t="inlineStr">
        <is>
          <t>-</t>
        </is>
      </c>
      <c r="G151" s="81" t="inlineStr">
        <is>
          <t>-</t>
        </is>
      </c>
      <c r="H151" s="81" t="inlineStr">
        <is>
          <t>-</t>
        </is>
      </c>
      <c r="I151" s="81" t="inlineStr">
        <is>
          <t>-</t>
        </is>
      </c>
      <c r="J151" s="81" t="inlineStr">
        <is>
          <t>-</t>
        </is>
      </c>
      <c r="K151" s="81" t="inlineStr">
        <is>
          <t>-</t>
        </is>
      </c>
    </row>
    <row r="152">
      <c r="C152" s="79" t="n"/>
      <c r="D152" s="79" t="n"/>
      <c r="E152" s="79" t="n"/>
      <c r="F152" s="79" t="n"/>
      <c r="G152" s="79" t="n"/>
      <c r="H152" s="79" t="n"/>
      <c r="I152" s="40" t="n"/>
      <c r="J152" s="40" t="n"/>
      <c r="K152" s="40" t="n"/>
    </row>
    <row r="153" customFormat="1" s="7">
      <c r="C153" s="62" t="n"/>
      <c r="D153" s="62" t="n"/>
      <c r="E153" s="62" t="n"/>
      <c r="F153" s="62" t="n"/>
      <c r="G153" s="62" t="n"/>
      <c r="H153" s="62" t="n"/>
      <c r="I153" s="63" t="n"/>
      <c r="J153" s="63" t="n"/>
      <c r="K153" s="63" t="n"/>
    </row>
    <row r="154">
      <c r="C154" s="79" t="n"/>
      <c r="D154" s="79" t="n"/>
      <c r="E154" s="79" t="n"/>
      <c r="F154" s="79" t="n"/>
      <c r="G154" s="79" t="n"/>
      <c r="H154" s="79" t="n"/>
      <c r="I154" s="40" t="n"/>
      <c r="J154" s="40" t="n"/>
      <c r="K154" s="40" t="n"/>
    </row>
    <row r="155">
      <c r="B155" s="4" t="inlineStr">
        <is>
          <t>Personnel expenses</t>
        </is>
      </c>
      <c r="C155" s="31" t="n">
        <v>11338517</v>
      </c>
      <c r="D155" s="31" t="inlineStr">
        <is>
          <t>-</t>
        </is>
      </c>
      <c r="E155" s="31" t="n">
        <v>14008914</v>
      </c>
      <c r="F155" s="31" t="n">
        <v>14992748</v>
      </c>
      <c r="G155" s="31" t="n">
        <v>16799212</v>
      </c>
      <c r="H155" s="31" t="n">
        <v>19788283</v>
      </c>
      <c r="I155" s="57" t="inlineStr">
        <is>
          <t>-</t>
        </is>
      </c>
      <c r="J155" s="57" t="n">
        <v>27907458</v>
      </c>
      <c r="K155" s="57" t="n">
        <v>349</v>
      </c>
    </row>
    <row r="156">
      <c r="C156" s="79" t="n"/>
      <c r="D156" s="79" t="n"/>
      <c r="E156" s="79" t="n"/>
      <c r="F156" s="79" t="n"/>
      <c r="G156" s="79" t="n"/>
      <c r="H156" s="79" t="n"/>
      <c r="I156" s="40" t="n"/>
      <c r="J156" s="40" t="n"/>
      <c r="K156" s="40" t="n"/>
    </row>
    <row r="157">
      <c r="B157" s="4" t="inlineStr">
        <is>
          <t>Salary and bonus</t>
        </is>
      </c>
      <c r="C157" s="31" t="inlineStr">
        <is>
          <t>-</t>
        </is>
      </c>
      <c r="D157" s="31" t="inlineStr">
        <is>
          <t>-</t>
        </is>
      </c>
      <c r="E157" s="31" t="inlineStr">
        <is>
          <t>-</t>
        </is>
      </c>
      <c r="F157" s="31" t="inlineStr">
        <is>
          <t>-</t>
        </is>
      </c>
      <c r="G157" s="31" t="inlineStr">
        <is>
          <t>-</t>
        </is>
      </c>
      <c r="H157" s="31" t="inlineStr">
        <is>
          <t>-</t>
        </is>
      </c>
      <c r="I157" s="57" t="inlineStr">
        <is>
          <t>-</t>
        </is>
      </c>
      <c r="J157" s="57" t="inlineStr">
        <is>
          <t>-</t>
        </is>
      </c>
      <c r="K157" s="57" t="inlineStr">
        <is>
          <t>-</t>
        </is>
      </c>
    </row>
    <row r="158">
      <c r="B158" s="4" t="inlineStr">
        <is>
          <t>Pension costs</t>
        </is>
      </c>
      <c r="C158" s="86" t="inlineStr">
        <is>
          <t>-</t>
        </is>
      </c>
      <c r="D158" s="86" t="inlineStr">
        <is>
          <t>-</t>
        </is>
      </c>
      <c r="E158" s="86" t="inlineStr">
        <is>
          <t>-</t>
        </is>
      </c>
      <c r="F158" s="86" t="inlineStr">
        <is>
          <t>-</t>
        </is>
      </c>
      <c r="G158" s="86" t="inlineStr">
        <is>
          <t>-</t>
        </is>
      </c>
      <c r="H158" s="86" t="inlineStr">
        <is>
          <t>-</t>
        </is>
      </c>
      <c r="I158" s="58" t="inlineStr">
        <is>
          <t>-</t>
        </is>
      </c>
      <c r="J158" s="58" t="inlineStr">
        <is>
          <t>-</t>
        </is>
      </c>
      <c r="K158" s="58" t="inlineStr">
        <is>
          <t>-</t>
        </is>
      </c>
    </row>
    <row r="159">
      <c r="B159" s="53" t="inlineStr">
        <is>
          <t>Contributions to defined contribution/benefit plans –</t>
        </is>
      </c>
      <c r="C159" s="31" t="inlineStr">
        <is>
          <t>-</t>
        </is>
      </c>
      <c r="D159" s="31" t="inlineStr">
        <is>
          <t>-</t>
        </is>
      </c>
      <c r="E159" s="31" t="inlineStr">
        <is>
          <t>-</t>
        </is>
      </c>
      <c r="F159" s="31" t="inlineStr">
        <is>
          <t>-</t>
        </is>
      </c>
      <c r="G159" s="31" t="inlineStr">
        <is>
          <t>-</t>
        </is>
      </c>
      <c r="H159" s="31" t="inlineStr">
        <is>
          <t>-</t>
        </is>
      </c>
      <c r="I159" s="57" t="inlineStr">
        <is>
          <t>-</t>
        </is>
      </c>
      <c r="J159" s="57" t="inlineStr">
        <is>
          <t>-</t>
        </is>
      </c>
      <c r="K159" s="57" t="inlineStr">
        <is>
          <t>-</t>
        </is>
      </c>
    </row>
    <row r="160">
      <c r="B160" s="53" t="inlineStr">
        <is>
          <t>Funded schemes</t>
        </is>
      </c>
      <c r="C160" s="31" t="inlineStr">
        <is>
          <t>-</t>
        </is>
      </c>
      <c r="D160" s="31" t="inlineStr">
        <is>
          <t>-</t>
        </is>
      </c>
      <c r="E160" s="31" t="inlineStr">
        <is>
          <t>-</t>
        </is>
      </c>
      <c r="F160" s="31" t="inlineStr">
        <is>
          <t>-</t>
        </is>
      </c>
      <c r="G160" s="31" t="inlineStr">
        <is>
          <t>-</t>
        </is>
      </c>
      <c r="H160" s="31" t="inlineStr">
        <is>
          <t>-</t>
        </is>
      </c>
      <c r="I160" s="57" t="inlineStr">
        <is>
          <t>-</t>
        </is>
      </c>
      <c r="J160" s="57" t="inlineStr">
        <is>
          <t>-</t>
        </is>
      </c>
      <c r="K160" s="57" t="inlineStr">
        <is>
          <t>-</t>
        </is>
      </c>
    </row>
    <row r="161">
      <c r="B161" s="53" t="n"/>
      <c r="C161" s="79" t="n"/>
      <c r="D161" s="79" t="n"/>
      <c r="E161" s="79" t="n"/>
      <c r="F161" s="79" t="n"/>
      <c r="G161" s="79" t="n"/>
      <c r="H161" s="79" t="n"/>
      <c r="I161" s="57" t="n"/>
      <c r="J161" s="57" t="n"/>
      <c r="K161" s="57" t="n"/>
    </row>
    <row r="162">
      <c r="B162" s="4" t="inlineStr">
        <is>
          <t>Contributions to defined benefit plans – Unfunded schemes</t>
        </is>
      </c>
      <c r="C162" s="31" t="inlineStr">
        <is>
          <t>-</t>
        </is>
      </c>
      <c r="D162" s="31" t="inlineStr">
        <is>
          <t>-</t>
        </is>
      </c>
      <c r="E162" s="31" t="inlineStr">
        <is>
          <t>-</t>
        </is>
      </c>
      <c r="F162" s="31" t="inlineStr">
        <is>
          <t>-</t>
        </is>
      </c>
      <c r="G162" s="79" t="inlineStr">
        <is>
          <t>-</t>
        </is>
      </c>
      <c r="H162" s="79" t="inlineStr">
        <is>
          <t>-</t>
        </is>
      </c>
      <c r="I162" s="57" t="inlineStr">
        <is>
          <t>-</t>
        </is>
      </c>
      <c r="J162" s="57" t="inlineStr">
        <is>
          <t>-</t>
        </is>
      </c>
      <c r="K162" s="57" t="inlineStr">
        <is>
          <t>-</t>
        </is>
      </c>
    </row>
    <row r="163">
      <c r="B163" s="4" t="inlineStr">
        <is>
          <t>Equity-settled share-based payment expense</t>
        </is>
      </c>
      <c r="C163" s="31" t="inlineStr">
        <is>
          <t>-</t>
        </is>
      </c>
      <c r="D163" s="31" t="inlineStr">
        <is>
          <t>-</t>
        </is>
      </c>
      <c r="E163" s="31" t="inlineStr">
        <is>
          <t>-</t>
        </is>
      </c>
      <c r="F163" s="31" t="inlineStr">
        <is>
          <t>-</t>
        </is>
      </c>
      <c r="G163" s="31" t="inlineStr">
        <is>
          <t>-</t>
        </is>
      </c>
      <c r="H163" s="79" t="inlineStr">
        <is>
          <t>-</t>
        </is>
      </c>
      <c r="I163" s="57" t="inlineStr">
        <is>
          <t>-</t>
        </is>
      </c>
      <c r="J163" s="57" t="inlineStr">
        <is>
          <t>-</t>
        </is>
      </c>
      <c r="K163" s="57" t="inlineStr">
        <is>
          <t>-</t>
        </is>
      </c>
    </row>
    <row r="164">
      <c r="B164" t="inlineStr">
        <is>
          <t>Other expenses</t>
        </is>
      </c>
      <c r="C164" s="79" t="inlineStr">
        <is>
          <t>-</t>
        </is>
      </c>
      <c r="D164" s="79" t="inlineStr">
        <is>
          <t>-</t>
        </is>
      </c>
      <c r="E164" s="79" t="inlineStr">
        <is>
          <t>-</t>
        </is>
      </c>
      <c r="F164" s="79" t="inlineStr">
        <is>
          <t>-</t>
        </is>
      </c>
      <c r="G164" s="31" t="inlineStr">
        <is>
          <t>-</t>
        </is>
      </c>
      <c r="H164" s="31" t="inlineStr">
        <is>
          <t>-</t>
        </is>
      </c>
      <c r="I164" s="79" t="inlineStr">
        <is>
          <t>-</t>
        </is>
      </c>
      <c r="J164" s="79" t="inlineStr">
        <is>
          <t>-</t>
        </is>
      </c>
      <c r="K164" s="40" t="inlineStr">
        <is>
          <t>-</t>
        </is>
      </c>
    </row>
    <row r="165"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40" t="n"/>
    </row>
    <row r="166" customFormat="1" s="33">
      <c r="B166" s="51" t="inlineStr">
        <is>
          <t>Check</t>
        </is>
      </c>
      <c r="C166" s="79" t="n">
        <v>-857269981</v>
      </c>
      <c r="D166" s="79" t="n">
        <v>-994370875</v>
      </c>
      <c r="E166" s="79" t="n">
        <v>-1068982587</v>
      </c>
      <c r="F166" s="79" t="n">
        <v>-1286616399</v>
      </c>
      <c r="G166" s="79" t="n">
        <v>0</v>
      </c>
      <c r="H166" s="79" t="n">
        <v>0</v>
      </c>
      <c r="I166" s="79" t="inlineStr">
        <is>
          <t>-</t>
        </is>
      </c>
      <c r="J166" s="79" t="inlineStr">
        <is>
          <t>-</t>
        </is>
      </c>
      <c r="K166" s="40" t="inlineStr">
        <is>
          <t>-</t>
        </is>
      </c>
    </row>
    <row r="167"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40" t="n"/>
    </row>
    <row r="168">
      <c r="B168" t="inlineStr">
        <is>
          <t>Growth YoY</t>
        </is>
      </c>
      <c r="C168" s="68" t="inlineStr">
        <is>
          <t>-</t>
        </is>
      </c>
      <c r="D168" s="68" t="inlineStr">
        <is>
          <t>-</t>
        </is>
      </c>
      <c r="E168" s="68" t="inlineStr">
        <is>
          <t>-</t>
        </is>
      </c>
      <c r="F168" s="68" t="inlineStr">
        <is>
          <t>-</t>
        </is>
      </c>
      <c r="G168" s="68" t="inlineStr">
        <is>
          <t>-</t>
        </is>
      </c>
      <c r="H168" s="68" t="inlineStr">
        <is>
          <t>-</t>
        </is>
      </c>
      <c r="I168" s="81" t="inlineStr">
        <is>
          <t>-</t>
        </is>
      </c>
      <c r="J168" s="81" t="inlineStr">
        <is>
          <t>-</t>
        </is>
      </c>
      <c r="K168" s="81" t="inlineStr">
        <is>
          <t>-</t>
        </is>
      </c>
    </row>
    <row r="169"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40" t="n"/>
    </row>
    <row r="170" customFormat="1" s="7">
      <c r="C170" s="62" t="n"/>
      <c r="D170" s="62" t="n"/>
      <c r="E170" s="62" t="n"/>
      <c r="F170" s="62" t="n"/>
      <c r="G170" s="62" t="n"/>
      <c r="H170" s="62" t="n"/>
      <c r="I170" s="63" t="n"/>
      <c r="J170" s="63" t="n"/>
      <c r="K170" s="63" t="n"/>
    </row>
    <row r="171">
      <c r="B171" s="4" t="n"/>
      <c r="C171" s="79" t="n"/>
      <c r="D171" s="79" t="n"/>
      <c r="E171" s="79" t="n"/>
      <c r="F171" s="79" t="n"/>
      <c r="G171" s="79" t="n"/>
      <c r="H171" s="79" t="n"/>
      <c r="I171" s="57" t="n"/>
      <c r="J171" s="57" t="n"/>
      <c r="K171" s="57" t="n"/>
    </row>
    <row r="172">
      <c r="B172" t="inlineStr">
        <is>
          <t>Depreciation and amortisation</t>
        </is>
      </c>
      <c r="C172" s="31" t="n">
        <v>1416927</v>
      </c>
      <c r="D172" s="31" t="inlineStr">
        <is>
          <t>-</t>
        </is>
      </c>
      <c r="E172" s="31" t="n">
        <v>2841264</v>
      </c>
      <c r="F172" s="31" t="n">
        <v>3102695</v>
      </c>
      <c r="G172" s="31" t="n">
        <v>3220066</v>
      </c>
      <c r="H172" s="31" t="n">
        <v>3598371</v>
      </c>
      <c r="I172" s="57" t="inlineStr">
        <is>
          <t>-</t>
        </is>
      </c>
      <c r="J172" s="57" t="n">
        <v>4737203</v>
      </c>
      <c r="K172" s="57" t="n">
        <v>350</v>
      </c>
    </row>
    <row r="173">
      <c r="B173" s="4" t="n"/>
      <c r="C173" s="79" t="n"/>
      <c r="D173" s="79" t="n"/>
      <c r="E173" s="79" t="n"/>
      <c r="F173" s="79" t="n"/>
      <c r="G173" s="79" t="n"/>
      <c r="H173" s="79" t="n"/>
      <c r="I173" s="57" t="n"/>
      <c r="J173" s="57" t="n"/>
      <c r="K173" s="57" t="n"/>
    </row>
    <row r="174">
      <c r="B174" s="4" t="inlineStr">
        <is>
          <t>PPE</t>
        </is>
      </c>
      <c r="C174" s="31" t="inlineStr">
        <is>
          <t>-</t>
        </is>
      </c>
      <c r="D174" s="31" t="inlineStr">
        <is>
          <t>-</t>
        </is>
      </c>
      <c r="E174" s="31" t="inlineStr">
        <is>
          <t>-</t>
        </is>
      </c>
      <c r="F174" s="31" t="inlineStr">
        <is>
          <t>-</t>
        </is>
      </c>
      <c r="G174" s="31" t="inlineStr">
        <is>
          <t>-</t>
        </is>
      </c>
      <c r="H174" s="31" t="inlineStr">
        <is>
          <t>-</t>
        </is>
      </c>
      <c r="I174" s="57" t="inlineStr">
        <is>
          <t>-</t>
        </is>
      </c>
      <c r="J174" s="57" t="inlineStr">
        <is>
          <t>-</t>
        </is>
      </c>
      <c r="K174" s="57" t="inlineStr">
        <is>
          <t>-</t>
        </is>
      </c>
    </row>
    <row r="175">
      <c r="B175" s="4" t="inlineStr">
        <is>
          <t>Right of use of assets</t>
        </is>
      </c>
      <c r="C175" s="79" t="inlineStr">
        <is>
          <t>-</t>
        </is>
      </c>
      <c r="D175" s="79" t="inlineStr">
        <is>
          <t>-</t>
        </is>
      </c>
      <c r="E175" s="31" t="inlineStr">
        <is>
          <t>-</t>
        </is>
      </c>
      <c r="F175" s="31" t="inlineStr">
        <is>
          <t>-</t>
        </is>
      </c>
      <c r="G175" s="31" t="inlineStr">
        <is>
          <t>-</t>
        </is>
      </c>
      <c r="H175" s="31" t="inlineStr">
        <is>
          <t>-</t>
        </is>
      </c>
      <c r="I175" s="57" t="inlineStr">
        <is>
          <t>-</t>
        </is>
      </c>
      <c r="J175" s="57" t="inlineStr">
        <is>
          <t>-</t>
        </is>
      </c>
      <c r="K175" s="57" t="inlineStr">
        <is>
          <t>-</t>
        </is>
      </c>
    </row>
    <row r="176">
      <c r="B176" s="4" t="inlineStr">
        <is>
          <t>Computer software</t>
        </is>
      </c>
      <c r="C176" s="31" t="inlineStr">
        <is>
          <t>-</t>
        </is>
      </c>
      <c r="D176" s="31" t="inlineStr">
        <is>
          <t>-</t>
        </is>
      </c>
      <c r="E176" s="79" t="inlineStr">
        <is>
          <t>-</t>
        </is>
      </c>
      <c r="F176" s="79" t="inlineStr">
        <is>
          <t>-</t>
        </is>
      </c>
      <c r="G176" s="31" t="inlineStr">
        <is>
          <t>-</t>
        </is>
      </c>
      <c r="H176" s="31" t="inlineStr">
        <is>
          <t>-</t>
        </is>
      </c>
      <c r="I176" s="57" t="inlineStr">
        <is>
          <t>-</t>
        </is>
      </c>
      <c r="J176" s="57" t="inlineStr">
        <is>
          <t>-</t>
        </is>
      </c>
      <c r="K176" s="57" t="inlineStr">
        <is>
          <t>-</t>
        </is>
      </c>
    </row>
    <row r="177">
      <c r="C177" s="79" t="n"/>
      <c r="D177" s="79" t="n"/>
      <c r="E177" s="79" t="n"/>
      <c r="F177" s="79" t="n"/>
      <c r="G177" s="79" t="n"/>
      <c r="H177" s="79" t="n"/>
      <c r="I177" s="40" t="n"/>
      <c r="J177" s="40" t="n"/>
      <c r="K177" s="40" t="n"/>
    </row>
    <row r="178" customFormat="1" s="33">
      <c r="B178" s="51" t="inlineStr">
        <is>
          <t>Check</t>
        </is>
      </c>
      <c r="C178" s="79" t="n">
        <v>-857269981</v>
      </c>
      <c r="D178" s="79" t="n">
        <v>-994370875</v>
      </c>
      <c r="E178" s="79" t="n">
        <v>-1068982587</v>
      </c>
      <c r="F178" s="79" t="n">
        <v>-1286616399</v>
      </c>
      <c r="G178" s="79" t="n">
        <v>0</v>
      </c>
      <c r="H178" s="79" t="n">
        <v>0</v>
      </c>
      <c r="I178" s="57" t="inlineStr">
        <is>
          <t>-</t>
        </is>
      </c>
      <c r="J178" s="57" t="inlineStr">
        <is>
          <t>-</t>
        </is>
      </c>
      <c r="K178" s="57" t="inlineStr">
        <is>
          <t>-</t>
        </is>
      </c>
    </row>
    <row r="179">
      <c r="B179" s="4" t="n"/>
      <c r="C179" s="79" t="n"/>
      <c r="D179" s="79" t="n"/>
      <c r="E179" s="79" t="n"/>
      <c r="F179" s="79" t="n"/>
      <c r="G179" s="79" t="n"/>
      <c r="H179" s="79" t="n"/>
      <c r="I179" s="57" t="n"/>
      <c r="J179" s="57" t="n"/>
      <c r="K179" s="57" t="n"/>
    </row>
    <row r="180">
      <c r="B180" s="4" t="inlineStr">
        <is>
          <t>As a % of opening PPE</t>
        </is>
      </c>
      <c r="C180" s="81" t="inlineStr">
        <is>
          <t>-</t>
        </is>
      </c>
      <c r="D180" s="81" t="inlineStr">
        <is>
          <t>-</t>
        </is>
      </c>
      <c r="E180" s="81" t="inlineStr">
        <is>
          <t>-</t>
        </is>
      </c>
      <c r="F180" s="81" t="inlineStr">
        <is>
          <t>-</t>
        </is>
      </c>
      <c r="G180" s="81" t="inlineStr">
        <is>
          <t>-</t>
        </is>
      </c>
      <c r="H180" s="81" t="inlineStr">
        <is>
          <t>-</t>
        </is>
      </c>
      <c r="I180" s="68" t="inlineStr">
        <is>
          <t>-</t>
        </is>
      </c>
      <c r="J180" s="68" t="inlineStr">
        <is>
          <t>-</t>
        </is>
      </c>
      <c r="K180" s="68" t="inlineStr">
        <is>
          <t>-</t>
        </is>
      </c>
    </row>
    <row r="181">
      <c r="B181" s="4" t="n"/>
      <c r="C181" s="79" t="n"/>
      <c r="D181" s="79" t="n"/>
      <c r="E181" s="79" t="n"/>
      <c r="F181" s="79" t="n"/>
      <c r="G181" s="79" t="n"/>
      <c r="H181" s="79" t="n"/>
      <c r="I181" s="57" t="n"/>
      <c r="J181" s="57" t="n"/>
      <c r="K181" s="57" t="n"/>
    </row>
    <row r="182" customFormat="1" s="7">
      <c r="C182" s="62" t="n"/>
      <c r="D182" s="62" t="n"/>
      <c r="E182" s="62" t="n"/>
      <c r="F182" s="62" t="n"/>
      <c r="G182" s="62" t="n"/>
      <c r="H182" s="62" t="n"/>
      <c r="I182" s="63" t="n"/>
      <c r="J182" s="63" t="n"/>
      <c r="K182" s="63" t="n"/>
    </row>
    <row r="183">
      <c r="B183" s="4" t="n"/>
      <c r="C183" s="79" t="n"/>
      <c r="D183" s="79" t="n"/>
      <c r="E183" s="79" t="n"/>
      <c r="F183" s="79" t="n"/>
      <c r="G183" s="79" t="n"/>
      <c r="H183" s="79" t="n"/>
      <c r="I183" s="57" t="n"/>
      <c r="J183" s="57" t="n"/>
      <c r="K183" s="57" t="n"/>
    </row>
    <row r="184">
      <c r="B184" t="inlineStr">
        <is>
          <t>Other operating expenses</t>
        </is>
      </c>
      <c r="C184" s="31" t="n">
        <v>7618993</v>
      </c>
      <c r="D184" s="31" t="inlineStr">
        <is>
          <t>-</t>
        </is>
      </c>
      <c r="E184" s="31" t="n">
        <v>8875316</v>
      </c>
      <c r="F184" s="31" t="n">
        <v>8167170</v>
      </c>
      <c r="G184" s="31" t="n">
        <v>9638461</v>
      </c>
      <c r="H184" s="31" t="n">
        <v>12895587</v>
      </c>
      <c r="I184" s="57" t="inlineStr">
        <is>
          <t>-</t>
        </is>
      </c>
      <c r="J184" s="57" t="n">
        <v>19193697</v>
      </c>
      <c r="K184" s="57" t="n">
        <v>351</v>
      </c>
    </row>
    <row r="185">
      <c r="C185" s="79" t="n"/>
      <c r="D185" s="79" t="n"/>
      <c r="E185" s="79" t="n"/>
      <c r="F185" s="79" t="n"/>
      <c r="G185" s="79" t="n"/>
      <c r="H185" s="79" t="n"/>
      <c r="I185" s="40" t="n"/>
      <c r="J185" s="40" t="n"/>
      <c r="K185" s="40" t="n"/>
    </row>
    <row r="186">
      <c r="B186" t="inlineStr">
        <is>
          <t>Establishment expenses</t>
        </is>
      </c>
      <c r="C186" s="31" t="inlineStr">
        <is>
          <t>-</t>
        </is>
      </c>
      <c r="D186" s="31" t="inlineStr">
        <is>
          <t>-</t>
        </is>
      </c>
      <c r="E186" s="31" t="inlineStr">
        <is>
          <t>-</t>
        </is>
      </c>
      <c r="F186" s="31" t="inlineStr">
        <is>
          <t>-</t>
        </is>
      </c>
      <c r="G186" s="31" t="inlineStr">
        <is>
          <t>-</t>
        </is>
      </c>
      <c r="H186" s="31" t="inlineStr">
        <is>
          <t>-</t>
        </is>
      </c>
      <c r="I186" s="57" t="inlineStr">
        <is>
          <t>-</t>
        </is>
      </c>
      <c r="J186" s="57" t="inlineStr">
        <is>
          <t>-</t>
        </is>
      </c>
      <c r="K186" s="57" t="inlineStr">
        <is>
          <t>-</t>
        </is>
      </c>
    </row>
    <row r="187">
      <c r="B187" t="inlineStr">
        <is>
          <t>Maintenance of property, plant, and equipment</t>
        </is>
      </c>
      <c r="C187" s="31" t="inlineStr">
        <is>
          <t>-</t>
        </is>
      </c>
      <c r="D187" s="31" t="n">
        <v>17015935</v>
      </c>
      <c r="E187" s="31" t="inlineStr">
        <is>
          <t>-</t>
        </is>
      </c>
      <c r="F187" s="31" t="inlineStr">
        <is>
          <t>-</t>
        </is>
      </c>
      <c r="G187" s="31" t="inlineStr">
        <is>
          <t>-</t>
        </is>
      </c>
      <c r="H187" s="31" t="inlineStr">
        <is>
          <t>-</t>
        </is>
      </c>
      <c r="I187" s="57" t="inlineStr">
        <is>
          <t>-</t>
        </is>
      </c>
      <c r="J187" s="57" t="inlineStr">
        <is>
          <t>-</t>
        </is>
      </c>
      <c r="K187" s="57" t="inlineStr">
        <is>
          <t>-</t>
        </is>
      </c>
    </row>
    <row r="188">
      <c r="B188" t="inlineStr">
        <is>
          <t>Office administration expenses</t>
        </is>
      </c>
      <c r="C188" s="31" t="inlineStr">
        <is>
          <t>-</t>
        </is>
      </c>
      <c r="D188" s="31" t="inlineStr">
        <is>
          <t>-</t>
        </is>
      </c>
      <c r="E188" s="31" t="inlineStr">
        <is>
          <t>-</t>
        </is>
      </c>
      <c r="F188" s="31" t="inlineStr">
        <is>
          <t>-</t>
        </is>
      </c>
      <c r="G188" s="31" t="inlineStr">
        <is>
          <t>-</t>
        </is>
      </c>
      <c r="H188" s="31" t="inlineStr">
        <is>
          <t>-</t>
        </is>
      </c>
      <c r="I188" s="57" t="inlineStr">
        <is>
          <t>-</t>
        </is>
      </c>
      <c r="J188" s="57" t="inlineStr">
        <is>
          <t>-</t>
        </is>
      </c>
      <c r="K188" s="57" t="inlineStr">
        <is>
          <t>-</t>
        </is>
      </c>
    </row>
    <row r="189">
      <c r="B189" t="inlineStr">
        <is>
          <t>Deposit insurance premium</t>
        </is>
      </c>
      <c r="C189" s="31" t="inlineStr">
        <is>
          <t>-</t>
        </is>
      </c>
      <c r="D189" s="31" t="inlineStr">
        <is>
          <t>-</t>
        </is>
      </c>
      <c r="E189" s="31" t="inlineStr">
        <is>
          <t>-</t>
        </is>
      </c>
      <c r="F189" s="31" t="inlineStr">
        <is>
          <t>-</t>
        </is>
      </c>
      <c r="G189" s="31" t="inlineStr">
        <is>
          <t>-</t>
        </is>
      </c>
      <c r="H189" s="31" t="inlineStr">
        <is>
          <t>-</t>
        </is>
      </c>
      <c r="I189" s="57" t="inlineStr">
        <is>
          <t>-</t>
        </is>
      </c>
      <c r="J189" s="57" t="inlineStr">
        <is>
          <t>-</t>
        </is>
      </c>
      <c r="K189" s="57" t="inlineStr">
        <is>
          <t>-</t>
        </is>
      </c>
    </row>
    <row r="190">
      <c r="B190" t="inlineStr">
        <is>
          <t>Other expenses</t>
        </is>
      </c>
      <c r="C190" s="79" t="inlineStr">
        <is>
          <t>-</t>
        </is>
      </c>
      <c r="D190" s="79" t="inlineStr">
        <is>
          <t>-</t>
        </is>
      </c>
      <c r="E190" s="79" t="inlineStr">
        <is>
          <t>-</t>
        </is>
      </c>
      <c r="F190" s="79" t="inlineStr">
        <is>
          <t>-</t>
        </is>
      </c>
      <c r="G190" s="79" t="inlineStr">
        <is>
          <t>-</t>
        </is>
      </c>
      <c r="H190" s="79" t="inlineStr">
        <is>
          <t>-</t>
        </is>
      </c>
      <c r="I190" s="57" t="inlineStr">
        <is>
          <t>-</t>
        </is>
      </c>
      <c r="J190" s="57" t="inlineStr">
        <is>
          <t>-</t>
        </is>
      </c>
      <c r="K190" s="57" t="inlineStr">
        <is>
          <t>-</t>
        </is>
      </c>
    </row>
    <row r="191">
      <c r="C191" s="79" t="n"/>
      <c r="D191" s="79" t="n"/>
      <c r="E191" s="79" t="n"/>
      <c r="F191" s="79" t="n"/>
      <c r="G191" s="79" t="n"/>
      <c r="H191" s="79" t="n"/>
      <c r="I191" s="57" t="n"/>
      <c r="J191" s="57" t="n"/>
      <c r="K191" s="57" t="n"/>
    </row>
    <row r="192">
      <c r="B192" t="inlineStr">
        <is>
          <t>Growth YoY</t>
        </is>
      </c>
      <c r="C192" s="79" t="inlineStr">
        <is>
          <t>-</t>
        </is>
      </c>
      <c r="D192" s="68" t="inlineStr">
        <is>
          <t>-</t>
        </is>
      </c>
      <c r="E192" s="68" t="inlineStr">
        <is>
          <t>-</t>
        </is>
      </c>
      <c r="F192" s="68" t="inlineStr">
        <is>
          <t>-</t>
        </is>
      </c>
      <c r="G192" s="68" t="inlineStr">
        <is>
          <t>-</t>
        </is>
      </c>
      <c r="H192" s="68" t="inlineStr">
        <is>
          <t>-</t>
        </is>
      </c>
      <c r="I192" s="68" t="inlineStr">
        <is>
          <t>-</t>
        </is>
      </c>
      <c r="J192" s="68" t="inlineStr">
        <is>
          <t>-</t>
        </is>
      </c>
      <c r="K192" s="68" t="inlineStr">
        <is>
          <t>-</t>
        </is>
      </c>
    </row>
    <row r="193">
      <c r="C193" s="79" t="n"/>
      <c r="D193" s="79" t="n"/>
      <c r="E193" s="79" t="n"/>
      <c r="F193" s="79" t="n"/>
      <c r="G193" s="79" t="n"/>
      <c r="H193" s="79" t="n"/>
      <c r="I193" s="57" t="n"/>
      <c r="J193" s="57" t="n"/>
      <c r="K193" s="57" t="n"/>
    </row>
    <row r="194" customFormat="1" s="7">
      <c r="C194" s="62" t="n"/>
      <c r="D194" s="62" t="n"/>
      <c r="E194" s="62" t="n"/>
      <c r="F194" s="62" t="n"/>
      <c r="G194" s="62" t="n"/>
      <c r="H194" s="62" t="n"/>
      <c r="I194" s="63" t="n"/>
      <c r="J194" s="63" t="n"/>
      <c r="K194" s="63" t="n"/>
    </row>
    <row r="195">
      <c r="C195" s="79" t="n"/>
      <c r="D195" s="79" t="n"/>
      <c r="E195" s="79" t="n"/>
      <c r="F195" s="79" t="n"/>
      <c r="G195" s="79" t="n"/>
      <c r="H195" s="79" t="n"/>
      <c r="I195" s="57" t="n"/>
      <c r="J195" s="57" t="n"/>
      <c r="K195" s="57" t="n"/>
    </row>
    <row r="196">
      <c r="B196" t="inlineStr">
        <is>
          <t>Taxes on financial services</t>
        </is>
      </c>
      <c r="C196" s="31" t="n">
        <v>46764237</v>
      </c>
      <c r="D196" s="31" t="n">
        <v>40046006</v>
      </c>
      <c r="E196" s="31" t="n">
        <v>30229632</v>
      </c>
      <c r="F196" s="31" t="n">
        <v>30229632</v>
      </c>
      <c r="G196" s="31" t="n">
        <v>70326837</v>
      </c>
      <c r="H196" s="31" t="n">
        <v>28430146</v>
      </c>
      <c r="I196" s="57" t="inlineStr">
        <is>
          <t>-</t>
        </is>
      </c>
      <c r="J196" s="57" t="n">
        <v>117515492</v>
      </c>
      <c r="K196" s="57" t="n">
        <v>110538774</v>
      </c>
    </row>
    <row r="197">
      <c r="C197" s="79" t="n"/>
      <c r="D197" s="79" t="n"/>
      <c r="E197" s="79" t="n"/>
      <c r="F197" s="79" t="n"/>
      <c r="G197" s="79" t="n"/>
      <c r="H197" s="79" t="n"/>
      <c r="I197" s="40" t="n"/>
      <c r="J197" s="40" t="n"/>
      <c r="K197" s="40" t="n"/>
    </row>
    <row r="198">
      <c r="B198" t="inlineStr">
        <is>
          <t>VAT</t>
        </is>
      </c>
      <c r="C198" s="31" t="n">
        <v>28173266</v>
      </c>
      <c r="D198" s="31" t="n">
        <v>7909962</v>
      </c>
      <c r="E198" s="31" t="n">
        <v>13809327</v>
      </c>
      <c r="F198" s="31" t="n">
        <v>44.01</v>
      </c>
      <c r="G198" s="31" t="n">
        <v>242</v>
      </c>
      <c r="H198" s="31" t="n">
        <v>8345091</v>
      </c>
      <c r="I198" s="40" t="n">
        <v>7226484</v>
      </c>
      <c r="J198" s="40" t="n">
        <v>4264271</v>
      </c>
      <c r="K198" s="40" t="n">
        <v>5422850</v>
      </c>
    </row>
    <row r="199">
      <c r="B199" t="inlineStr">
        <is>
          <t>NBT</t>
        </is>
      </c>
      <c r="C199" s="31" t="n">
        <v>28173266</v>
      </c>
      <c r="D199" s="31" t="inlineStr">
        <is>
          <t>-</t>
        </is>
      </c>
      <c r="E199" s="31" t="inlineStr">
        <is>
          <t>-</t>
        </is>
      </c>
      <c r="F199" s="79" t="inlineStr">
        <is>
          <t>-</t>
        </is>
      </c>
      <c r="G199" s="79" t="inlineStr">
        <is>
          <t>-</t>
        </is>
      </c>
      <c r="H199" s="31" t="inlineStr">
        <is>
          <t>-</t>
        </is>
      </c>
      <c r="I199" s="40" t="inlineStr">
        <is>
          <t>-</t>
        </is>
      </c>
      <c r="J199" s="40" t="inlineStr">
        <is>
          <t>-</t>
        </is>
      </c>
      <c r="K199" s="40" t="inlineStr">
        <is>
          <t>-</t>
        </is>
      </c>
    </row>
    <row r="200">
      <c r="B200" t="inlineStr">
        <is>
          <t>Debt repayment</t>
        </is>
      </c>
      <c r="C200" s="31" t="inlineStr">
        <is>
          <t>-</t>
        </is>
      </c>
      <c r="D200" s="31" t="inlineStr">
        <is>
          <t>-</t>
        </is>
      </c>
      <c r="E200" s="31" t="inlineStr">
        <is>
          <t>-</t>
        </is>
      </c>
      <c r="F200" s="79" t="inlineStr">
        <is>
          <t>-</t>
        </is>
      </c>
      <c r="G200" s="79" t="inlineStr">
        <is>
          <t>-</t>
        </is>
      </c>
      <c r="H200" s="79" t="inlineStr">
        <is>
          <t>-</t>
        </is>
      </c>
      <c r="I200" s="40" t="inlineStr">
        <is>
          <t>-</t>
        </is>
      </c>
      <c r="J200" s="40" t="inlineStr">
        <is>
          <t>-</t>
        </is>
      </c>
      <c r="K200" s="40" t="inlineStr">
        <is>
          <t>-</t>
        </is>
      </c>
    </row>
    <row r="201">
      <c r="C201" s="79" t="n"/>
      <c r="D201" s="79" t="n"/>
      <c r="E201" s="79" t="n"/>
      <c r="F201" s="79" t="n"/>
      <c r="G201" s="79" t="n"/>
      <c r="H201" s="79" t="n"/>
      <c r="I201" s="40" t="n"/>
      <c r="J201" s="40" t="n"/>
      <c r="K201" s="40" t="n"/>
    </row>
    <row r="202">
      <c r="B202" t="inlineStr">
        <is>
          <t>Taxes on interest income</t>
        </is>
      </c>
      <c r="C202" s="81" t="n">
        <v>104049102</v>
      </c>
      <c r="D202" s="81" t="inlineStr">
        <is>
          <t>-</t>
        </is>
      </c>
      <c r="E202" s="81" t="n">
        <v>129287473</v>
      </c>
      <c r="F202" s="81" t="n">
        <v>124087713</v>
      </c>
      <c r="G202" s="81" t="n">
        <v>132818178</v>
      </c>
      <c r="H202" s="81" t="n">
        <v>222393079</v>
      </c>
      <c r="I202" s="94" t="inlineStr">
        <is>
          <t>-</t>
        </is>
      </c>
      <c r="J202" s="94" t="n">
        <v>275217117</v>
      </c>
      <c r="K202" s="94" t="n">
        <v>301366595</v>
      </c>
    </row>
    <row r="203">
      <c r="C203" s="79" t="n"/>
      <c r="D203" s="79" t="n"/>
      <c r="E203" s="79" t="n"/>
      <c r="F203" s="79" t="n"/>
      <c r="G203" s="79" t="n"/>
      <c r="H203" s="79" t="n"/>
      <c r="I203" s="40" t="n"/>
      <c r="J203" s="40" t="n"/>
      <c r="K203" s="40" t="n"/>
    </row>
    <row r="204" customFormat="1" s="7">
      <c r="C204" s="62" t="n"/>
      <c r="D204" s="62" t="n"/>
      <c r="E204" s="62" t="n"/>
      <c r="F204" s="62" t="n"/>
      <c r="G204" s="62" t="n"/>
      <c r="H204" s="62" t="n"/>
      <c r="I204" s="63" t="n"/>
      <c r="J204" s="63" t="n"/>
      <c r="K204" s="63" t="n"/>
    </row>
    <row r="205">
      <c r="C205" s="79" t="n"/>
      <c r="D205" s="79" t="n"/>
      <c r="E205" s="79" t="n"/>
      <c r="F205" s="79" t="n"/>
      <c r="G205" s="79" t="n"/>
      <c r="H205" s="79" t="n"/>
      <c r="I205" s="40" t="n"/>
      <c r="J205" s="40" t="n"/>
      <c r="K205" s="40" t="n"/>
    </row>
    <row r="206">
      <c r="B206" t="inlineStr">
        <is>
          <t>Income tax</t>
        </is>
      </c>
      <c r="C206" s="79" t="n">
        <v>6653817</v>
      </c>
      <c r="D206" s="79" t="n">
        <v>25591208</v>
      </c>
      <c r="E206" s="79" t="n">
        <v>5563500</v>
      </c>
      <c r="F206" s="79" t="n">
        <v>7433063</v>
      </c>
      <c r="G206" s="79" t="n">
        <v>8667036</v>
      </c>
      <c r="H206" s="79" t="n">
        <v>105566</v>
      </c>
      <c r="I206" s="57" t="n">
        <v>31880160</v>
      </c>
      <c r="J206" s="57" t="n">
        <v>42121945</v>
      </c>
      <c r="K206" s="57" t="n">
        <v>352</v>
      </c>
    </row>
    <row r="207">
      <c r="B207" t="inlineStr">
        <is>
          <t>As a % pf PBT</t>
        </is>
      </c>
      <c r="C207" s="81" t="inlineStr">
        <is>
          <t>-</t>
        </is>
      </c>
      <c r="D207" s="81" t="inlineStr">
        <is>
          <t>-</t>
        </is>
      </c>
      <c r="E207" s="81" t="inlineStr">
        <is>
          <t>-</t>
        </is>
      </c>
      <c r="F207" s="81" t="inlineStr">
        <is>
          <t>-</t>
        </is>
      </c>
      <c r="G207" s="81" t="inlineStr">
        <is>
          <t>-</t>
        </is>
      </c>
      <c r="H207" s="81" t="inlineStr">
        <is>
          <t>-</t>
        </is>
      </c>
      <c r="I207" s="93" t="inlineStr">
        <is>
          <t>-</t>
        </is>
      </c>
      <c r="J207" s="93" t="inlineStr">
        <is>
          <t>-</t>
        </is>
      </c>
      <c r="K207" s="93" t="inlineStr">
        <is>
          <t>-</t>
        </is>
      </c>
    </row>
    <row r="208">
      <c r="C208" s="79" t="n"/>
      <c r="D208" s="79" t="n"/>
      <c r="E208" s="79" t="n"/>
      <c r="F208" s="79" t="n"/>
      <c r="G208" s="79" t="n"/>
      <c r="H208" s="79" t="n"/>
      <c r="I208" s="40" t="n"/>
      <c r="J208" s="40" t="n"/>
      <c r="K208" s="40" t="n"/>
    </row>
    <row r="209">
      <c r="C209" s="79" t="n"/>
      <c r="D209" s="79" t="n"/>
      <c r="E209" s="79" t="n"/>
      <c r="F209" s="79" t="n"/>
      <c r="G209" s="79" t="n"/>
      <c r="H209" s="79" t="n"/>
      <c r="I209" s="40" t="n"/>
      <c r="J209" s="40" t="n"/>
      <c r="K209" s="40" t="n"/>
    </row>
    <row r="210">
      <c r="C210" s="79" t="n"/>
      <c r="D210" s="79" t="n"/>
      <c r="E210" s="79" t="n"/>
      <c r="F210" s="79" t="n"/>
      <c r="G210" s="79" t="n"/>
      <c r="H210" s="79" t="n"/>
      <c r="I210" s="40" t="n"/>
      <c r="J210" s="40" t="n"/>
      <c r="K210" s="40" t="n"/>
    </row>
    <row r="211">
      <c r="C211" s="79" t="n"/>
      <c r="D211" s="79" t="n"/>
      <c r="E211" s="79" t="n"/>
      <c r="F211" s="79" t="n"/>
      <c r="G211" s="79" t="n"/>
      <c r="H211" s="79" t="n"/>
      <c r="I211" s="40" t="n"/>
      <c r="J211" s="40" t="n"/>
      <c r="K211" s="40" t="n"/>
    </row>
    <row r="212">
      <c r="C212" s="79" t="n"/>
      <c r="D212" s="79" t="n"/>
      <c r="E212" s="79" t="n"/>
      <c r="F212" s="79" t="n"/>
      <c r="G212" s="79" t="n"/>
      <c r="H212" s="79" t="n"/>
      <c r="I212" s="40" t="n"/>
      <c r="J212" s="40" t="n"/>
      <c r="K212" s="40" t="n"/>
    </row>
    <row r="213" customFormat="1" s="8">
      <c r="B213" s="11" t="inlineStr">
        <is>
          <t>BALANCE SHEET</t>
        </is>
      </c>
      <c r="C213" s="65" t="n"/>
      <c r="D213" s="65" t="n"/>
      <c r="E213" s="65" t="n"/>
      <c r="F213" s="65" t="n"/>
      <c r="G213" s="65" t="n"/>
      <c r="H213" s="65" t="n"/>
      <c r="I213" s="66" t="n"/>
      <c r="J213" s="66" t="n"/>
      <c r="K213" s="66" t="n"/>
    </row>
    <row r="214" customFormat="1" s="7">
      <c r="C214" s="62" t="n"/>
      <c r="D214" s="62" t="n"/>
      <c r="E214" s="62" t="n"/>
      <c r="F214" s="62" t="n"/>
      <c r="G214" s="62" t="n"/>
      <c r="H214" s="62" t="n"/>
      <c r="I214" s="63" t="n"/>
      <c r="J214" s="63" t="n"/>
      <c r="K214" s="63" t="n"/>
    </row>
    <row r="215">
      <c r="C215" s="79" t="n"/>
      <c r="D215" s="79" t="n"/>
      <c r="E215" s="79" t="n"/>
      <c r="F215" s="79" t="n"/>
      <c r="G215" s="79" t="n"/>
      <c r="H215" s="79" t="n"/>
      <c r="I215" s="40" t="n"/>
      <c r="J215" s="40" t="n"/>
      <c r="K215" s="40" t="n"/>
    </row>
    <row r="216">
      <c r="B216" s="4" t="inlineStr">
        <is>
          <t>Cash and cash equivalents</t>
        </is>
      </c>
      <c r="C216" s="31" t="n">
        <v>3031093</v>
      </c>
      <c r="D216" s="31" t="n">
        <v>44355962</v>
      </c>
      <c r="E216" s="31" t="n">
        <v>53681118</v>
      </c>
      <c r="F216" s="31" t="n">
        <v>50250627</v>
      </c>
      <c r="G216" s="31" t="n">
        <v>69335379</v>
      </c>
      <c r="H216" s="31" t="n">
        <v>149393561</v>
      </c>
      <c r="I216" s="57" t="n">
        <v>159701507</v>
      </c>
      <c r="J216" s="57" t="n">
        <v>86848291</v>
      </c>
      <c r="K216" s="57" t="n">
        <v>88857011</v>
      </c>
    </row>
    <row r="217">
      <c r="C217" s="79" t="n"/>
      <c r="D217" s="79" t="n"/>
      <c r="E217" s="79" t="n"/>
      <c r="F217" s="79" t="n"/>
      <c r="G217" s="79" t="n"/>
      <c r="H217" s="79" t="n"/>
      <c r="I217" s="40" t="n"/>
      <c r="J217" s="40" t="n"/>
      <c r="K217" s="40" t="n"/>
    </row>
    <row r="218">
      <c r="B218" t="inlineStr">
        <is>
          <t>Cash in hand</t>
        </is>
      </c>
      <c r="C218" s="86" t="inlineStr">
        <is>
          <t>-</t>
        </is>
      </c>
      <c r="D218" s="86" t="inlineStr">
        <is>
          <t>-</t>
        </is>
      </c>
      <c r="E218" s="86" t="inlineStr">
        <is>
          <t>-</t>
        </is>
      </c>
      <c r="F218" s="86" t="inlineStr">
        <is>
          <t>-</t>
        </is>
      </c>
      <c r="G218" s="86" t="inlineStr">
        <is>
          <t>-</t>
        </is>
      </c>
      <c r="H218" s="86" t="inlineStr">
        <is>
          <t>-</t>
        </is>
      </c>
      <c r="I218" s="64" t="inlineStr">
        <is>
          <t>-</t>
        </is>
      </c>
      <c r="J218" s="64" t="inlineStr">
        <is>
          <t>-</t>
        </is>
      </c>
      <c r="K218" s="64" t="inlineStr">
        <is>
          <t>-</t>
        </is>
      </c>
    </row>
    <row r="219">
      <c r="B219" s="24" t="inlineStr">
        <is>
          <t>Coins and notes held in local currency</t>
        </is>
      </c>
      <c r="C219" s="31" t="inlineStr">
        <is>
          <t>-</t>
        </is>
      </c>
      <c r="D219" s="31" t="inlineStr">
        <is>
          <t>-</t>
        </is>
      </c>
      <c r="E219" s="31" t="inlineStr">
        <is>
          <t>-</t>
        </is>
      </c>
      <c r="F219" s="31" t="inlineStr">
        <is>
          <t>-</t>
        </is>
      </c>
      <c r="G219" s="31" t="inlineStr">
        <is>
          <t>-</t>
        </is>
      </c>
      <c r="H219" s="31" t="inlineStr">
        <is>
          <t>-</t>
        </is>
      </c>
      <c r="I219" s="40" t="inlineStr">
        <is>
          <t>-</t>
        </is>
      </c>
      <c r="J219" s="40" t="inlineStr">
        <is>
          <t>-</t>
        </is>
      </c>
      <c r="K219" s="40" t="inlineStr">
        <is>
          <t>-</t>
        </is>
      </c>
    </row>
    <row r="220">
      <c r="B220" s="24" t="inlineStr">
        <is>
          <t>Coins and notes held in foreign currency</t>
        </is>
      </c>
      <c r="C220" s="31" t="inlineStr">
        <is>
          <t>-</t>
        </is>
      </c>
      <c r="D220" s="31" t="inlineStr">
        <is>
          <t>-</t>
        </is>
      </c>
      <c r="E220" s="31" t="inlineStr">
        <is>
          <t>-</t>
        </is>
      </c>
      <c r="F220" s="31" t="inlineStr">
        <is>
          <t>-</t>
        </is>
      </c>
      <c r="G220" s="31" t="inlineStr">
        <is>
          <t>-</t>
        </is>
      </c>
      <c r="H220" s="31" t="inlineStr">
        <is>
          <t>-</t>
        </is>
      </c>
      <c r="I220" s="40" t="inlineStr">
        <is>
          <t>-</t>
        </is>
      </c>
      <c r="J220" s="40" t="inlineStr">
        <is>
          <t>-</t>
        </is>
      </c>
      <c r="K220" s="40" t="inlineStr">
        <is>
          <t>-</t>
        </is>
      </c>
    </row>
    <row r="221">
      <c r="B221" t="inlineStr">
        <is>
          <t>Balances with banks</t>
        </is>
      </c>
      <c r="C221" s="86" t="inlineStr">
        <is>
          <t>-</t>
        </is>
      </c>
      <c r="D221" s="86" t="inlineStr">
        <is>
          <t>-</t>
        </is>
      </c>
      <c r="E221" s="86" t="inlineStr">
        <is>
          <t>-</t>
        </is>
      </c>
      <c r="F221" s="86" t="inlineStr">
        <is>
          <t>-</t>
        </is>
      </c>
      <c r="G221" s="86" t="inlineStr">
        <is>
          <t>-</t>
        </is>
      </c>
      <c r="H221" s="86" t="inlineStr">
        <is>
          <t>-</t>
        </is>
      </c>
      <c r="I221" s="64" t="inlineStr">
        <is>
          <t>-</t>
        </is>
      </c>
      <c r="J221" s="64" t="inlineStr">
        <is>
          <t>-</t>
        </is>
      </c>
      <c r="K221" s="64" t="inlineStr">
        <is>
          <t>-</t>
        </is>
      </c>
    </row>
    <row r="222">
      <c r="B222" s="24" t="inlineStr">
        <is>
          <t>Local banks</t>
        </is>
      </c>
      <c r="C222" s="31" t="inlineStr">
        <is>
          <t>-</t>
        </is>
      </c>
      <c r="D222" s="31" t="inlineStr">
        <is>
          <t>-</t>
        </is>
      </c>
      <c r="E222" s="31" t="inlineStr">
        <is>
          <t>-</t>
        </is>
      </c>
      <c r="F222" s="31" t="inlineStr">
        <is>
          <t>-</t>
        </is>
      </c>
      <c r="G222" s="31" t="inlineStr">
        <is>
          <t>-</t>
        </is>
      </c>
      <c r="H222" s="31" t="inlineStr">
        <is>
          <t>-</t>
        </is>
      </c>
      <c r="I222" s="40" t="inlineStr">
        <is>
          <t>-</t>
        </is>
      </c>
      <c r="J222" s="40" t="inlineStr">
        <is>
          <t>-</t>
        </is>
      </c>
      <c r="K222" s="40" t="inlineStr">
        <is>
          <t>-</t>
        </is>
      </c>
    </row>
    <row r="223">
      <c r="B223" s="24" t="inlineStr">
        <is>
          <t>Foreign banks</t>
        </is>
      </c>
      <c r="C223" s="31" t="inlineStr">
        <is>
          <t>-</t>
        </is>
      </c>
      <c r="D223" s="31" t="inlineStr">
        <is>
          <t>-</t>
        </is>
      </c>
      <c r="E223" s="31" t="inlineStr">
        <is>
          <t>-</t>
        </is>
      </c>
      <c r="F223" s="31" t="inlineStr">
        <is>
          <t>-</t>
        </is>
      </c>
      <c r="G223" s="31" t="inlineStr">
        <is>
          <t>-</t>
        </is>
      </c>
      <c r="H223" s="31" t="inlineStr">
        <is>
          <t>-</t>
        </is>
      </c>
      <c r="I223" s="40" t="inlineStr">
        <is>
          <t>-</t>
        </is>
      </c>
      <c r="J223" s="40" t="inlineStr">
        <is>
          <t>-</t>
        </is>
      </c>
      <c r="K223" s="40" t="inlineStr">
        <is>
          <t>-</t>
        </is>
      </c>
    </row>
    <row r="224">
      <c r="B224" t="inlineStr">
        <is>
          <t>Money at call and at short notice</t>
        </is>
      </c>
      <c r="C224" s="31" t="inlineStr">
        <is>
          <t>-</t>
        </is>
      </c>
      <c r="D224" s="31" t="inlineStr">
        <is>
          <t>-</t>
        </is>
      </c>
      <c r="E224" s="31" t="inlineStr">
        <is>
          <t>-</t>
        </is>
      </c>
      <c r="F224" s="31" t="inlineStr">
        <is>
          <t>-</t>
        </is>
      </c>
      <c r="G224" s="31" t="inlineStr">
        <is>
          <t>-</t>
        </is>
      </c>
      <c r="H224" s="31" t="inlineStr">
        <is>
          <t>-</t>
        </is>
      </c>
      <c r="I224" s="40" t="inlineStr">
        <is>
          <t>-</t>
        </is>
      </c>
      <c r="J224" s="40" t="inlineStr">
        <is>
          <t>-</t>
        </is>
      </c>
      <c r="K224" s="40" t="inlineStr">
        <is>
          <t>-</t>
        </is>
      </c>
    </row>
    <row r="225">
      <c r="B225" t="inlineStr">
        <is>
          <t>Gross cash and cash equivalents (*)</t>
        </is>
      </c>
      <c r="C225" s="86" t="inlineStr">
        <is>
          <t>-</t>
        </is>
      </c>
      <c r="D225" s="86" t="n">
        <v>44355962</v>
      </c>
      <c r="E225" s="86" t="n">
        <v>53681118</v>
      </c>
      <c r="F225" s="86" t="n">
        <v>50250627</v>
      </c>
      <c r="G225" s="86" t="n">
        <v>69335379</v>
      </c>
      <c r="H225" s="86" t="n">
        <v>149393561</v>
      </c>
      <c r="I225" s="64" t="n">
        <v>159701507</v>
      </c>
      <c r="J225" s="64" t="n">
        <v>86848291</v>
      </c>
      <c r="K225" s="64" t="n">
        <v>88857011</v>
      </c>
    </row>
    <row r="226">
      <c r="B226" t="inlineStr">
        <is>
          <t>Less: Provision for impairment</t>
        </is>
      </c>
      <c r="C226" s="31" t="inlineStr">
        <is>
          <t>-</t>
        </is>
      </c>
      <c r="D226" s="31" t="inlineStr">
        <is>
          <t>-</t>
        </is>
      </c>
      <c r="E226" s="31" t="inlineStr">
        <is>
          <t>-</t>
        </is>
      </c>
      <c r="F226" s="31" t="inlineStr">
        <is>
          <t>-</t>
        </is>
      </c>
      <c r="G226" s="31" t="inlineStr">
        <is>
          <t>-</t>
        </is>
      </c>
      <c r="H226" s="31" t="inlineStr">
        <is>
          <t>-</t>
        </is>
      </c>
      <c r="I226" s="40" t="inlineStr">
        <is>
          <t>-</t>
        </is>
      </c>
      <c r="J226" s="40" t="inlineStr">
        <is>
          <t>-</t>
        </is>
      </c>
      <c r="K226" s="40" t="inlineStr">
        <is>
          <t>-</t>
        </is>
      </c>
    </row>
    <row r="227">
      <c r="C227" s="79" t="n"/>
      <c r="D227" s="79" t="n"/>
      <c r="E227" s="79" t="n"/>
      <c r="F227" s="79" t="n"/>
      <c r="G227" s="79" t="n"/>
      <c r="H227" s="79" t="n"/>
      <c r="I227" s="40" t="n"/>
      <c r="J227" s="40" t="n"/>
      <c r="K227" s="40" t="n"/>
    </row>
    <row r="228" customFormat="1" s="33">
      <c r="B228" s="33" t="inlineStr">
        <is>
          <t>Check</t>
        </is>
      </c>
      <c r="C228" s="79" t="n">
        <v>-857269981</v>
      </c>
      <c r="D228" s="79" t="n">
        <v>-994370875</v>
      </c>
      <c r="E228" s="79" t="n">
        <v>-1068982587</v>
      </c>
      <c r="F228" s="79" t="n">
        <v>-1286616399</v>
      </c>
      <c r="G228" s="79" t="n">
        <v>0</v>
      </c>
      <c r="H228" s="79" t="n">
        <v>0</v>
      </c>
      <c r="I228" s="40" t="inlineStr">
        <is>
          <t>-</t>
        </is>
      </c>
      <c r="J228" s="40" t="inlineStr">
        <is>
          <t>-</t>
        </is>
      </c>
      <c r="K228" s="40" t="inlineStr">
        <is>
          <t>-</t>
        </is>
      </c>
    </row>
    <row r="229">
      <c r="C229" s="79" t="n"/>
      <c r="D229" s="79" t="n"/>
      <c r="E229" s="79" t="n"/>
      <c r="F229" s="79" t="n"/>
      <c r="G229" s="79" t="n"/>
      <c r="H229" s="79" t="n"/>
      <c r="I229" s="40" t="n"/>
      <c r="J229" s="40" t="n"/>
      <c r="K229" s="40" t="n"/>
    </row>
    <row r="230">
      <c r="B230" t="inlineStr">
        <is>
          <t>Cash as a % of deposits</t>
        </is>
      </c>
      <c r="C230" s="81" t="inlineStr">
        <is>
          <t>-</t>
        </is>
      </c>
      <c r="D230" s="81" t="inlineStr">
        <is>
          <t>-</t>
        </is>
      </c>
      <c r="E230" s="81" t="inlineStr">
        <is>
          <t>-</t>
        </is>
      </c>
      <c r="F230" s="81" t="inlineStr">
        <is>
          <t>-</t>
        </is>
      </c>
      <c r="G230" s="81" t="inlineStr">
        <is>
          <t>-</t>
        </is>
      </c>
      <c r="H230" s="81" t="inlineStr">
        <is>
          <t>-</t>
        </is>
      </c>
      <c r="I230" s="40" t="inlineStr">
        <is>
          <t>-</t>
        </is>
      </c>
      <c r="J230" s="40" t="inlineStr">
        <is>
          <t>-</t>
        </is>
      </c>
      <c r="K230" s="40" t="inlineStr">
        <is>
          <t>-</t>
        </is>
      </c>
    </row>
    <row r="231">
      <c r="C231" s="79" t="n"/>
      <c r="D231" s="79" t="n"/>
      <c r="E231" s="79" t="n"/>
      <c r="F231" s="79" t="n"/>
      <c r="G231" s="79" t="n"/>
      <c r="H231" s="79" t="n"/>
      <c r="I231" s="40" t="n"/>
      <c r="J231" s="40" t="n"/>
      <c r="K231" s="40" t="n"/>
    </row>
    <row r="232" customFormat="1" s="76">
      <c r="C232" s="77" t="n"/>
      <c r="D232" s="77" t="n"/>
      <c r="E232" s="77" t="n"/>
      <c r="F232" s="77" t="n"/>
      <c r="G232" s="77" t="n"/>
      <c r="H232" s="77" t="n"/>
      <c r="I232" s="78" t="n"/>
      <c r="J232" s="78" t="n"/>
      <c r="K232" s="78" t="n"/>
    </row>
    <row r="233">
      <c r="C233" s="79" t="n"/>
      <c r="D233" s="79" t="n"/>
      <c r="E233" s="79" t="n"/>
      <c r="F233" s="79" t="n"/>
      <c r="G233" s="79" t="n"/>
      <c r="H233" s="79" t="n"/>
      <c r="I233" s="40" t="n"/>
      <c r="J233" s="40" t="n"/>
      <c r="K233" s="40" t="n"/>
    </row>
    <row r="234">
      <c r="B234" t="inlineStr">
        <is>
          <t>Balances with Central Banks</t>
        </is>
      </c>
      <c r="C234" s="31" t="inlineStr">
        <is>
          <t>-</t>
        </is>
      </c>
      <c r="D234" s="31" t="n">
        <v>55605535</v>
      </c>
      <c r="E234" s="31" t="n">
        <v>46101232</v>
      </c>
      <c r="F234" s="31" t="n">
        <v>110971105</v>
      </c>
      <c r="G234" s="31" t="n">
        <v>241</v>
      </c>
      <c r="H234" s="31" t="n">
        <v>66439459</v>
      </c>
      <c r="I234" s="57" t="n">
        <v>621633503</v>
      </c>
      <c r="J234" s="57" t="n">
        <v>45270068</v>
      </c>
      <c r="K234" s="57" t="n">
        <v>47809989</v>
      </c>
    </row>
    <row r="235">
      <c r="C235" s="79" t="n"/>
      <c r="D235" s="79" t="n"/>
      <c r="E235" s="79" t="n"/>
      <c r="F235" s="79" t="n"/>
      <c r="G235" s="79" t="n"/>
      <c r="H235" s="79" t="n"/>
      <c r="I235" s="40" t="n"/>
      <c r="J235" s="40" t="n"/>
      <c r="K235" s="40" t="n"/>
    </row>
    <row r="236">
      <c r="B236" t="inlineStr">
        <is>
          <t>Statutory balances with Central Banks</t>
        </is>
      </c>
      <c r="C236" s="79" t="inlineStr">
        <is>
          <t>-</t>
        </is>
      </c>
      <c r="D236" s="79" t="n">
        <v>55605535</v>
      </c>
      <c r="E236" s="79" t="n">
        <v>46101232</v>
      </c>
      <c r="F236" s="79" t="n">
        <v>110971105</v>
      </c>
      <c r="G236" s="79" t="n">
        <v>241</v>
      </c>
      <c r="H236" s="79" t="n">
        <v>66439459</v>
      </c>
      <c r="I236" s="40" t="n">
        <v>621633503</v>
      </c>
      <c r="J236" s="40" t="n">
        <v>45270068</v>
      </c>
      <c r="K236" s="40" t="n">
        <v>47809989</v>
      </c>
    </row>
    <row r="237">
      <c r="B237" s="24" t="inlineStr">
        <is>
          <t>Balances with Central Bank of Sri Lanka</t>
        </is>
      </c>
      <c r="C237" s="31" t="inlineStr">
        <is>
          <t>-</t>
        </is>
      </c>
      <c r="D237" s="31" t="inlineStr">
        <is>
          <t>-</t>
        </is>
      </c>
      <c r="E237" s="31" t="inlineStr">
        <is>
          <t>-</t>
        </is>
      </c>
      <c r="F237" s="31" t="inlineStr">
        <is>
          <t>-</t>
        </is>
      </c>
      <c r="G237" s="31" t="inlineStr">
        <is>
          <t>-</t>
        </is>
      </c>
      <c r="H237" s="31" t="inlineStr">
        <is>
          <t>-</t>
        </is>
      </c>
      <c r="I237" s="40" t="inlineStr">
        <is>
          <t>-</t>
        </is>
      </c>
      <c r="J237" s="40" t="inlineStr">
        <is>
          <t>-</t>
        </is>
      </c>
      <c r="K237" s="40" t="inlineStr">
        <is>
          <t>-</t>
        </is>
      </c>
    </row>
    <row r="238">
      <c r="B238" s="24" t="inlineStr">
        <is>
          <t>Balances with Bangladesh Bank</t>
        </is>
      </c>
      <c r="C238" s="31" t="inlineStr">
        <is>
          <t>-</t>
        </is>
      </c>
      <c r="D238" s="31" t="inlineStr">
        <is>
          <t>-</t>
        </is>
      </c>
      <c r="E238" s="31" t="inlineStr">
        <is>
          <t>-</t>
        </is>
      </c>
      <c r="F238" s="31" t="inlineStr">
        <is>
          <t>-</t>
        </is>
      </c>
      <c r="G238" s="31" t="inlineStr">
        <is>
          <t>-</t>
        </is>
      </c>
      <c r="H238" s="31" t="inlineStr">
        <is>
          <t>-</t>
        </is>
      </c>
      <c r="I238" s="40" t="inlineStr">
        <is>
          <t>-</t>
        </is>
      </c>
      <c r="J238" s="40" t="inlineStr">
        <is>
          <t>-</t>
        </is>
      </c>
      <c r="K238" s="40" t="inlineStr">
        <is>
          <t>-</t>
        </is>
      </c>
    </row>
    <row r="239">
      <c r="B239" s="24" t="inlineStr">
        <is>
          <t>Balances with Maldives Monetary Authority</t>
        </is>
      </c>
      <c r="C239" s="31" t="inlineStr">
        <is>
          <t>-</t>
        </is>
      </c>
      <c r="D239" s="31" t="inlineStr">
        <is>
          <t>-</t>
        </is>
      </c>
      <c r="E239" s="31" t="inlineStr">
        <is>
          <t>-</t>
        </is>
      </c>
      <c r="F239" s="31" t="inlineStr">
        <is>
          <t>-</t>
        </is>
      </c>
      <c r="G239" s="31" t="inlineStr">
        <is>
          <t>-</t>
        </is>
      </c>
      <c r="H239" s="31" t="inlineStr">
        <is>
          <t>-</t>
        </is>
      </c>
      <c r="I239" s="40" t="inlineStr">
        <is>
          <t>-</t>
        </is>
      </c>
      <c r="J239" s="40" t="inlineStr">
        <is>
          <t>-</t>
        </is>
      </c>
      <c r="K239" s="40" t="inlineStr">
        <is>
          <t>-</t>
        </is>
      </c>
    </row>
    <row r="240">
      <c r="B240" t="inlineStr">
        <is>
          <t>Non-statutory balances with Central Banks</t>
        </is>
      </c>
      <c r="C240" s="79" t="inlineStr">
        <is>
          <t>-</t>
        </is>
      </c>
      <c r="D240" s="79" t="n">
        <v>55605535</v>
      </c>
      <c r="E240" s="79" t="n">
        <v>46101232</v>
      </c>
      <c r="F240" s="79" t="n">
        <v>110971105</v>
      </c>
      <c r="G240" s="79" t="n">
        <v>241</v>
      </c>
      <c r="H240" s="79" t="n">
        <v>66439459</v>
      </c>
      <c r="I240" s="40" t="n">
        <v>621633503</v>
      </c>
      <c r="J240" s="40" t="n">
        <v>45270068</v>
      </c>
      <c r="K240" s="40" t="n">
        <v>47809989</v>
      </c>
    </row>
    <row r="241">
      <c r="B241" s="24" t="inlineStr">
        <is>
          <t>Balances with Central Bank of Sri Lanka</t>
        </is>
      </c>
      <c r="C241" s="79" t="inlineStr">
        <is>
          <t>-</t>
        </is>
      </c>
      <c r="D241" s="79" t="inlineStr">
        <is>
          <t>-</t>
        </is>
      </c>
      <c r="E241" s="31" t="inlineStr">
        <is>
          <t>-</t>
        </is>
      </c>
      <c r="F241" s="31" t="inlineStr">
        <is>
          <t>-</t>
        </is>
      </c>
      <c r="G241" s="31" t="inlineStr">
        <is>
          <t>-</t>
        </is>
      </c>
      <c r="H241" s="31" t="inlineStr">
        <is>
          <t>-</t>
        </is>
      </c>
      <c r="I241" s="40" t="inlineStr">
        <is>
          <t>-</t>
        </is>
      </c>
      <c r="J241" s="40" t="inlineStr">
        <is>
          <t>-</t>
        </is>
      </c>
      <c r="K241" s="40" t="inlineStr">
        <is>
          <t>-</t>
        </is>
      </c>
    </row>
    <row r="242">
      <c r="B242" s="24" t="inlineStr">
        <is>
          <t>Balances with Bangladesh Bank</t>
        </is>
      </c>
      <c r="C242" s="79" t="inlineStr">
        <is>
          <t>-</t>
        </is>
      </c>
      <c r="D242" s="79" t="inlineStr">
        <is>
          <t>-</t>
        </is>
      </c>
      <c r="E242" s="31" t="inlineStr">
        <is>
          <t>-</t>
        </is>
      </c>
      <c r="F242" s="31" t="inlineStr">
        <is>
          <t>-</t>
        </is>
      </c>
      <c r="G242" s="31" t="inlineStr">
        <is>
          <t>-</t>
        </is>
      </c>
      <c r="H242" s="31" t="inlineStr">
        <is>
          <t>-</t>
        </is>
      </c>
      <c r="I242" s="40" t="inlineStr">
        <is>
          <t>-</t>
        </is>
      </c>
      <c r="J242" s="40" t="inlineStr">
        <is>
          <t>-</t>
        </is>
      </c>
      <c r="K242" s="40" t="inlineStr">
        <is>
          <t>-</t>
        </is>
      </c>
    </row>
    <row r="243">
      <c r="B243" s="24" t="inlineStr">
        <is>
          <t>Balances with Maldives Monetary Authority</t>
        </is>
      </c>
      <c r="C243" s="79" t="inlineStr">
        <is>
          <t>-</t>
        </is>
      </c>
      <c r="D243" s="79" t="inlineStr">
        <is>
          <t>-</t>
        </is>
      </c>
      <c r="E243" s="31" t="inlineStr">
        <is>
          <t>-</t>
        </is>
      </c>
      <c r="F243" s="31" t="inlineStr">
        <is>
          <t>-</t>
        </is>
      </c>
      <c r="G243" s="31" t="inlineStr">
        <is>
          <t>-</t>
        </is>
      </c>
      <c r="H243" s="31" t="inlineStr">
        <is>
          <t>-</t>
        </is>
      </c>
      <c r="I243" s="40" t="inlineStr">
        <is>
          <t>-</t>
        </is>
      </c>
      <c r="J243" s="40" t="inlineStr">
        <is>
          <t>-</t>
        </is>
      </c>
      <c r="K243" s="40" t="inlineStr">
        <is>
          <t>-</t>
        </is>
      </c>
    </row>
    <row r="244">
      <c r="C244" s="79" t="n"/>
      <c r="D244" s="79" t="n"/>
      <c r="E244" s="79" t="n"/>
      <c r="F244" s="79" t="n"/>
      <c r="G244" s="79" t="n"/>
      <c r="H244" s="79" t="n"/>
      <c r="I244" s="40" t="n"/>
      <c r="J244" s="40" t="n"/>
      <c r="K244" s="40" t="n"/>
    </row>
    <row r="245" customFormat="1" s="33">
      <c r="B245" s="80" t="inlineStr">
        <is>
          <t>Check</t>
        </is>
      </c>
      <c r="C245" s="79" t="n">
        <v>-857269981</v>
      </c>
      <c r="D245" s="79" t="n">
        <v>-994370875</v>
      </c>
      <c r="E245" s="79" t="n">
        <v>-1068982587</v>
      </c>
      <c r="F245" s="79" t="n">
        <v>-1286616399</v>
      </c>
      <c r="G245" s="79" t="n">
        <v>0</v>
      </c>
      <c r="H245" s="79" t="n">
        <v>0</v>
      </c>
      <c r="I245" s="40" t="inlineStr">
        <is>
          <t>-</t>
        </is>
      </c>
      <c r="J245" s="40" t="inlineStr">
        <is>
          <t>-</t>
        </is>
      </c>
      <c r="K245" s="40" t="inlineStr">
        <is>
          <t>-</t>
        </is>
      </c>
    </row>
    <row r="246">
      <c r="C246" s="79" t="n"/>
      <c r="D246" s="79" t="n"/>
      <c r="E246" s="79" t="n"/>
      <c r="F246" s="79" t="n"/>
      <c r="G246" s="79" t="n"/>
      <c r="H246" s="79" t="n"/>
      <c r="I246" s="40" t="n"/>
      <c r="J246" s="40" t="n"/>
      <c r="K246" s="40" t="n"/>
    </row>
    <row r="247">
      <c r="B247" t="inlineStr">
        <is>
          <t>As a % of deposits</t>
        </is>
      </c>
      <c r="C247" s="81" t="inlineStr">
        <is>
          <t>-</t>
        </is>
      </c>
      <c r="D247" s="81" t="inlineStr">
        <is>
          <t>-</t>
        </is>
      </c>
      <c r="E247" s="81" t="inlineStr">
        <is>
          <t>-</t>
        </is>
      </c>
      <c r="F247" s="81" t="inlineStr">
        <is>
          <t>-</t>
        </is>
      </c>
      <c r="G247" s="81" t="inlineStr">
        <is>
          <t>-</t>
        </is>
      </c>
      <c r="H247" s="81" t="inlineStr">
        <is>
          <t>-</t>
        </is>
      </c>
      <c r="I247" s="94" t="inlineStr">
        <is>
          <t>-</t>
        </is>
      </c>
      <c r="J247" s="94" t="inlineStr">
        <is>
          <t>-</t>
        </is>
      </c>
      <c r="K247" s="94" t="inlineStr">
        <is>
          <t>-</t>
        </is>
      </c>
    </row>
    <row r="248">
      <c r="B248" t="inlineStr">
        <is>
          <t>As a % of gross loans</t>
        </is>
      </c>
      <c r="C248" s="81" t="inlineStr">
        <is>
          <t>-</t>
        </is>
      </c>
      <c r="D248" s="81" t="inlineStr">
        <is>
          <t>-</t>
        </is>
      </c>
      <c r="E248" s="81" t="inlineStr">
        <is>
          <t>-</t>
        </is>
      </c>
      <c r="F248" s="81" t="inlineStr">
        <is>
          <t>-</t>
        </is>
      </c>
      <c r="G248" s="81" t="inlineStr">
        <is>
          <t>-</t>
        </is>
      </c>
      <c r="H248" s="81" t="inlineStr">
        <is>
          <t>-</t>
        </is>
      </c>
      <c r="I248" s="94" t="inlineStr">
        <is>
          <t>-</t>
        </is>
      </c>
      <c r="J248" s="94" t="inlineStr">
        <is>
          <t>-</t>
        </is>
      </c>
      <c r="K248" s="94" t="inlineStr">
        <is>
          <t>-</t>
        </is>
      </c>
    </row>
    <row r="249">
      <c r="C249" s="79" t="n"/>
      <c r="D249" s="79" t="n"/>
      <c r="E249" s="79" t="n"/>
      <c r="F249" s="79" t="n"/>
      <c r="G249" s="79" t="n"/>
      <c r="H249" s="79" t="n"/>
      <c r="I249" s="40" t="n"/>
      <c r="J249" s="40" t="n"/>
      <c r="K249" s="40" t="n"/>
    </row>
    <row r="250" customFormat="1" s="76">
      <c r="C250" s="77" t="n"/>
      <c r="D250" s="77" t="n"/>
      <c r="E250" s="77" t="n"/>
      <c r="F250" s="77" t="n"/>
      <c r="G250" s="77" t="n"/>
      <c r="H250" s="77" t="n"/>
      <c r="I250" s="78" t="n"/>
      <c r="J250" s="78" t="n"/>
      <c r="K250" s="78" t="n"/>
    </row>
    <row r="251">
      <c r="C251" s="79" t="n"/>
      <c r="D251" s="79" t="n"/>
      <c r="E251" s="79" t="n"/>
      <c r="F251" s="79" t="n"/>
      <c r="G251" s="79" t="n"/>
      <c r="H251" s="79" t="n"/>
      <c r="I251" s="40" t="n"/>
      <c r="J251" s="40" t="n"/>
      <c r="K251" s="40" t="n"/>
    </row>
    <row r="252">
      <c r="B252" t="inlineStr">
        <is>
          <t>Placements with banks</t>
        </is>
      </c>
      <c r="C252" s="31" t="inlineStr">
        <is>
          <t>-</t>
        </is>
      </c>
      <c r="D252" s="31" t="n">
        <v>23989815</v>
      </c>
      <c r="E252" s="31" t="n">
        <v>24203909</v>
      </c>
      <c r="F252" s="31" t="n">
        <v>-34.06</v>
      </c>
      <c r="G252" s="31" t="n">
        <v>241</v>
      </c>
      <c r="H252" s="31" t="n">
        <v>95899645</v>
      </c>
      <c r="I252" s="57" t="n">
        <v>81506653</v>
      </c>
      <c r="J252" s="57" t="n">
        <v>99303303</v>
      </c>
      <c r="K252" s="57" t="n">
        <v>110223171</v>
      </c>
    </row>
    <row r="253">
      <c r="C253" s="79" t="n"/>
      <c r="D253" s="79" t="n"/>
      <c r="E253" s="79" t="n"/>
      <c r="F253" s="79" t="n"/>
      <c r="G253" s="79" t="n"/>
      <c r="H253" s="79" t="n"/>
      <c r="I253" s="40" t="n"/>
      <c r="J253" s="40" t="n"/>
      <c r="K253" s="40" t="n"/>
    </row>
    <row r="254">
      <c r="B254" t="inlineStr">
        <is>
          <t>Placements within Sri Lanka</t>
        </is>
      </c>
      <c r="C254" s="79" t="inlineStr">
        <is>
          <t>-</t>
        </is>
      </c>
      <c r="D254" s="79" t="inlineStr">
        <is>
          <t>-</t>
        </is>
      </c>
      <c r="E254" s="31" t="inlineStr">
        <is>
          <t>-</t>
        </is>
      </c>
      <c r="F254" s="31" t="inlineStr">
        <is>
          <t>-</t>
        </is>
      </c>
      <c r="G254" s="31" t="inlineStr">
        <is>
          <t>-</t>
        </is>
      </c>
      <c r="H254" s="79" t="inlineStr">
        <is>
          <t>-</t>
        </is>
      </c>
      <c r="I254" s="40" t="inlineStr">
        <is>
          <t>-</t>
        </is>
      </c>
      <c r="J254" s="40" t="inlineStr">
        <is>
          <t>-</t>
        </is>
      </c>
      <c r="K254" s="40" t="inlineStr">
        <is>
          <t>-</t>
        </is>
      </c>
    </row>
    <row r="255">
      <c r="B255" t="inlineStr">
        <is>
          <t>Placements outside Sri Lanka</t>
        </is>
      </c>
      <c r="C255" s="79" t="inlineStr">
        <is>
          <t>-</t>
        </is>
      </c>
      <c r="D255" s="79" t="inlineStr">
        <is>
          <t>-</t>
        </is>
      </c>
      <c r="E255" s="31" t="inlineStr">
        <is>
          <t>-</t>
        </is>
      </c>
      <c r="F255" s="31" t="inlineStr">
        <is>
          <t>-</t>
        </is>
      </c>
      <c r="G255" s="31" t="inlineStr">
        <is>
          <t>-</t>
        </is>
      </c>
      <c r="H255" s="31" t="inlineStr">
        <is>
          <t>-</t>
        </is>
      </c>
      <c r="I255" s="40" t="inlineStr">
        <is>
          <t>-</t>
        </is>
      </c>
      <c r="J255" s="40" t="inlineStr">
        <is>
          <t>-</t>
        </is>
      </c>
      <c r="K255" s="40" t="inlineStr">
        <is>
          <t>-</t>
        </is>
      </c>
    </row>
    <row r="256">
      <c r="B256" t="inlineStr">
        <is>
          <t>Less: provision for impairments</t>
        </is>
      </c>
      <c r="C256" s="79" t="inlineStr">
        <is>
          <t>-</t>
        </is>
      </c>
      <c r="D256" s="79" t="inlineStr">
        <is>
          <t>-</t>
        </is>
      </c>
      <c r="E256" s="31" t="inlineStr">
        <is>
          <t>-</t>
        </is>
      </c>
      <c r="F256" s="31" t="inlineStr">
        <is>
          <t>-</t>
        </is>
      </c>
      <c r="G256" s="31" t="inlineStr">
        <is>
          <t>-</t>
        </is>
      </c>
      <c r="H256" s="31" t="inlineStr">
        <is>
          <t>-</t>
        </is>
      </c>
      <c r="I256" s="40" t="inlineStr">
        <is>
          <t>-</t>
        </is>
      </c>
      <c r="J256" s="40" t="inlineStr">
        <is>
          <t>-</t>
        </is>
      </c>
      <c r="K256" s="40" t="inlineStr">
        <is>
          <t>-</t>
        </is>
      </c>
    </row>
    <row r="257">
      <c r="C257" s="79" t="n"/>
      <c r="D257" s="79" t="n"/>
      <c r="E257" s="79" t="n"/>
      <c r="F257" s="79" t="n"/>
      <c r="G257" s="79" t="n"/>
      <c r="H257" s="79" t="n"/>
      <c r="I257" s="40" t="n"/>
      <c r="J257" s="40" t="n"/>
      <c r="K257" s="40" t="n"/>
    </row>
    <row r="258" customFormat="1" s="33">
      <c r="B258" s="33" t="inlineStr">
        <is>
          <t>Check</t>
        </is>
      </c>
      <c r="C258" s="79" t="n">
        <v>-857269981</v>
      </c>
      <c r="D258" s="79" t="n">
        <v>-994370875</v>
      </c>
      <c r="E258" s="79" t="n">
        <v>-1068982587</v>
      </c>
      <c r="F258" s="79" t="n">
        <v>-1286616399</v>
      </c>
      <c r="G258" s="79" t="n">
        <v>0</v>
      </c>
      <c r="H258" s="79" t="n">
        <v>0</v>
      </c>
      <c r="I258" s="40" t="inlineStr">
        <is>
          <t>-</t>
        </is>
      </c>
      <c r="J258" s="40" t="inlineStr">
        <is>
          <t>-</t>
        </is>
      </c>
      <c r="K258" s="40" t="inlineStr">
        <is>
          <t>-</t>
        </is>
      </c>
    </row>
    <row r="259">
      <c r="C259" s="79" t="n"/>
      <c r="D259" s="79" t="n"/>
      <c r="E259" s="79" t="n"/>
      <c r="F259" s="79" t="n"/>
      <c r="G259" s="79" t="n"/>
      <c r="H259" s="79" t="n"/>
      <c r="I259" s="40" t="n"/>
      <c r="J259" s="40" t="n"/>
      <c r="K259" s="40" t="n"/>
    </row>
    <row r="260">
      <c r="B260" t="inlineStr">
        <is>
          <t>Growth YoY</t>
        </is>
      </c>
      <c r="C260" s="79" t="inlineStr">
        <is>
          <t>-</t>
        </is>
      </c>
      <c r="D260" s="68" t="inlineStr">
        <is>
          <t>-</t>
        </is>
      </c>
      <c r="E260" s="68" t="inlineStr">
        <is>
          <t>-</t>
        </is>
      </c>
      <c r="F260" s="68" t="inlineStr">
        <is>
          <t>-</t>
        </is>
      </c>
      <c r="G260" s="68" t="inlineStr">
        <is>
          <t>-</t>
        </is>
      </c>
      <c r="H260" s="68" t="inlineStr">
        <is>
          <t>-</t>
        </is>
      </c>
      <c r="I260" s="93" t="inlineStr">
        <is>
          <t>-</t>
        </is>
      </c>
      <c r="J260" s="93" t="inlineStr">
        <is>
          <t>-</t>
        </is>
      </c>
      <c r="K260" s="93" t="inlineStr">
        <is>
          <t>-</t>
        </is>
      </c>
    </row>
    <row r="261">
      <c r="C261" s="79" t="n"/>
      <c r="D261" s="79" t="n"/>
      <c r="E261" s="79" t="n"/>
      <c r="F261" s="79" t="n"/>
      <c r="G261" s="79" t="n"/>
      <c r="H261" s="79" t="n"/>
      <c r="I261" s="40" t="n"/>
      <c r="J261" s="40" t="n"/>
      <c r="K261" s="40" t="n"/>
    </row>
    <row r="262" customFormat="1" s="76">
      <c r="C262" s="77" t="n"/>
      <c r="D262" s="77" t="n"/>
      <c r="E262" s="77" t="n"/>
      <c r="F262" s="77" t="n"/>
      <c r="G262" s="77" t="n"/>
      <c r="H262" s="77" t="n"/>
      <c r="I262" s="78" t="n"/>
      <c r="J262" s="78" t="n"/>
      <c r="K262" s="78" t="n"/>
    </row>
    <row r="263">
      <c r="C263" s="79" t="n"/>
      <c r="D263" s="79" t="n"/>
      <c r="E263" s="79" t="n"/>
      <c r="F263" s="79" t="n"/>
      <c r="G263" s="79" t="n"/>
      <c r="H263" s="79" t="n"/>
      <c r="I263" s="40" t="n"/>
      <c r="J263" s="40" t="n"/>
      <c r="K263" s="40" t="n"/>
    </row>
    <row r="264">
      <c r="B264" t="inlineStr">
        <is>
          <t>Securities purchased under resale agreements</t>
        </is>
      </c>
      <c r="C264" s="31" t="n">
        <v>57518</v>
      </c>
      <c r="D264" s="31" t="n">
        <v>9513512</v>
      </c>
      <c r="E264" s="31" t="n">
        <v>13147584</v>
      </c>
      <c r="F264" s="31" t="n">
        <v>13147534</v>
      </c>
      <c r="G264" s="31" t="n">
        <v>3000490</v>
      </c>
      <c r="H264" s="31" t="n">
        <v>1517308</v>
      </c>
      <c r="I264" s="57" t="n">
        <v>31138729</v>
      </c>
      <c r="J264" s="57" t="n">
        <v>28655962</v>
      </c>
      <c r="K264" s="57" t="n">
        <v>17446102</v>
      </c>
    </row>
    <row r="265">
      <c r="B265" t="inlineStr">
        <is>
          <t>Growth YoY</t>
        </is>
      </c>
      <c r="C265" s="79" t="inlineStr">
        <is>
          <t>-</t>
        </is>
      </c>
      <c r="D265" s="68" t="inlineStr">
        <is>
          <t>-</t>
        </is>
      </c>
      <c r="E265" s="68" t="inlineStr">
        <is>
          <t>-</t>
        </is>
      </c>
      <c r="F265" s="68" t="inlineStr">
        <is>
          <t>-</t>
        </is>
      </c>
      <c r="G265" s="68" t="inlineStr">
        <is>
          <t>-</t>
        </is>
      </c>
      <c r="H265" s="68" t="inlineStr">
        <is>
          <t>-</t>
        </is>
      </c>
      <c r="I265" s="93" t="inlineStr">
        <is>
          <t>-</t>
        </is>
      </c>
      <c r="J265" s="93" t="inlineStr">
        <is>
          <t>-</t>
        </is>
      </c>
      <c r="K265" s="93" t="inlineStr">
        <is>
          <t>-</t>
        </is>
      </c>
    </row>
    <row r="266">
      <c r="B266" t="inlineStr">
        <is>
          <t>Derivative financial assets</t>
        </is>
      </c>
      <c r="C266" s="31" t="inlineStr">
        <is>
          <t>-</t>
        </is>
      </c>
      <c r="D266" s="31" t="n">
        <v>7909962</v>
      </c>
      <c r="E266" s="31" t="n">
        <v>13809327</v>
      </c>
      <c r="F266" s="31" t="n">
        <v>44.01</v>
      </c>
      <c r="G266" s="31" t="n">
        <v>242</v>
      </c>
      <c r="H266" s="31" t="n">
        <v>8345091</v>
      </c>
      <c r="I266" s="57" t="n">
        <v>7226484</v>
      </c>
      <c r="J266" s="57" t="n">
        <v>4264271</v>
      </c>
      <c r="K266" s="57" t="n">
        <v>5422850</v>
      </c>
    </row>
    <row r="267">
      <c r="B267" t="inlineStr">
        <is>
          <t>Growth YoY</t>
        </is>
      </c>
      <c r="C267" s="79" t="inlineStr">
        <is>
          <t>-</t>
        </is>
      </c>
      <c r="D267" s="68" t="inlineStr">
        <is>
          <t>-</t>
        </is>
      </c>
      <c r="E267" s="68" t="inlineStr">
        <is>
          <t>-</t>
        </is>
      </c>
      <c r="F267" s="68" t="inlineStr">
        <is>
          <t>-</t>
        </is>
      </c>
      <c r="G267" s="68" t="inlineStr">
        <is>
          <t>-</t>
        </is>
      </c>
      <c r="H267" s="68" t="inlineStr">
        <is>
          <t>-</t>
        </is>
      </c>
      <c r="I267" s="93" t="inlineStr">
        <is>
          <t>-</t>
        </is>
      </c>
      <c r="J267" s="93" t="inlineStr">
        <is>
          <t>-</t>
        </is>
      </c>
      <c r="K267" s="93" t="inlineStr">
        <is>
          <t>-</t>
        </is>
      </c>
    </row>
    <row r="268">
      <c r="C268" s="79" t="n"/>
      <c r="D268" s="79" t="n"/>
      <c r="E268" s="79" t="n"/>
      <c r="F268" s="79" t="n"/>
      <c r="G268" s="79" t="n"/>
      <c r="H268" s="79" t="n"/>
      <c r="I268" s="40" t="n"/>
      <c r="J268" s="40" t="n"/>
      <c r="K268" s="40" t="n"/>
    </row>
    <row r="269" customFormat="1" s="76">
      <c r="C269" s="77" t="n"/>
      <c r="D269" s="77" t="n"/>
      <c r="E269" s="77" t="n"/>
      <c r="F269" s="77" t="n"/>
      <c r="G269" s="77" t="n"/>
      <c r="H269" s="77" t="n"/>
      <c r="I269" s="78" t="n"/>
      <c r="J269" s="78" t="n"/>
      <c r="K269" s="78" t="n"/>
    </row>
    <row r="270">
      <c r="C270" s="79" t="n"/>
      <c r="D270" s="79" t="n"/>
      <c r="E270" s="79" t="n"/>
      <c r="F270" s="79" t="n"/>
      <c r="G270" s="79" t="n"/>
      <c r="H270" s="79" t="n"/>
      <c r="I270" s="40" t="n"/>
      <c r="J270" s="40" t="n"/>
      <c r="K270" s="40" t="n"/>
    </row>
    <row r="271">
      <c r="B271" t="inlineStr">
        <is>
          <t>Financial assets recognised through profit or loss – measured at fair value</t>
        </is>
      </c>
      <c r="C271" s="31" t="n">
        <v>148381</v>
      </c>
      <c r="D271" s="31" t="n">
        <v>5520167</v>
      </c>
      <c r="E271" s="31" t="n">
        <v>21468033</v>
      </c>
      <c r="F271" s="31" t="n">
        <v>63.92</v>
      </c>
      <c r="G271" s="31" t="n">
        <v>242</v>
      </c>
      <c r="H271" s="31" t="n">
        <v>24873057</v>
      </c>
      <c r="I271" s="57" t="n">
        <v>29449653</v>
      </c>
      <c r="J271" s="57" t="n">
        <v>9167346</v>
      </c>
      <c r="K271" s="57" t="n">
        <v>111753532</v>
      </c>
    </row>
    <row r="272">
      <c r="C272" s="79" t="n"/>
      <c r="D272" s="79" t="n"/>
      <c r="E272" s="79" t="n"/>
      <c r="F272" s="79" t="n"/>
      <c r="G272" s="79" t="n"/>
      <c r="H272" s="79" t="n"/>
      <c r="I272" s="40" t="n"/>
      <c r="J272" s="40" t="n"/>
      <c r="K272" s="40" t="n"/>
    </row>
    <row r="273">
      <c r="B273" t="inlineStr">
        <is>
          <t>Government securities</t>
        </is>
      </c>
      <c r="C273" s="47" t="inlineStr">
        <is>
          <t>-</t>
        </is>
      </c>
      <c r="D273" s="47" t="inlineStr">
        <is>
          <t>-</t>
        </is>
      </c>
      <c r="E273" s="47" t="inlineStr">
        <is>
          <t>-</t>
        </is>
      </c>
      <c r="F273" s="47" t="inlineStr">
        <is>
          <t>-</t>
        </is>
      </c>
      <c r="G273" s="47" t="inlineStr">
        <is>
          <t>-</t>
        </is>
      </c>
      <c r="H273" s="47" t="inlineStr">
        <is>
          <t>-</t>
        </is>
      </c>
      <c r="I273" s="47" t="inlineStr">
        <is>
          <t>-</t>
        </is>
      </c>
      <c r="J273" s="47" t="inlineStr">
        <is>
          <t>-</t>
        </is>
      </c>
      <c r="K273" s="47" t="inlineStr">
        <is>
          <t>-</t>
        </is>
      </c>
    </row>
    <row r="274">
      <c r="B274" s="24" t="inlineStr">
        <is>
          <t>Treasury bills</t>
        </is>
      </c>
      <c r="C274" s="31" t="inlineStr">
        <is>
          <t>-</t>
        </is>
      </c>
      <c r="D274" s="31" t="inlineStr">
        <is>
          <t>-</t>
        </is>
      </c>
      <c r="E274" s="31" t="inlineStr">
        <is>
          <t>-</t>
        </is>
      </c>
      <c r="F274" s="31" t="inlineStr">
        <is>
          <t>-</t>
        </is>
      </c>
      <c r="G274" s="31" t="inlineStr">
        <is>
          <t>-</t>
        </is>
      </c>
      <c r="H274" s="31" t="inlineStr">
        <is>
          <t>-</t>
        </is>
      </c>
      <c r="I274" s="57" t="inlineStr">
        <is>
          <t>-</t>
        </is>
      </c>
      <c r="J274" s="57" t="inlineStr">
        <is>
          <t>-</t>
        </is>
      </c>
      <c r="K274" s="57" t="inlineStr">
        <is>
          <t>-</t>
        </is>
      </c>
    </row>
    <row r="275">
      <c r="B275" s="24" t="inlineStr">
        <is>
          <t>Treasury bonds</t>
        </is>
      </c>
      <c r="C275" s="31" t="inlineStr">
        <is>
          <t>-</t>
        </is>
      </c>
      <c r="D275" s="31" t="inlineStr">
        <is>
          <t>-</t>
        </is>
      </c>
      <c r="E275" s="31" t="inlineStr">
        <is>
          <t>-</t>
        </is>
      </c>
      <c r="F275" s="31" t="inlineStr">
        <is>
          <t>-</t>
        </is>
      </c>
      <c r="G275" s="31" t="inlineStr">
        <is>
          <t>-</t>
        </is>
      </c>
      <c r="H275" s="31" t="inlineStr">
        <is>
          <t>-</t>
        </is>
      </c>
      <c r="I275" s="57" t="inlineStr">
        <is>
          <t>-</t>
        </is>
      </c>
      <c r="J275" s="57" t="inlineStr">
        <is>
          <t>-</t>
        </is>
      </c>
      <c r="K275" s="57" t="inlineStr">
        <is>
          <t>-</t>
        </is>
      </c>
    </row>
    <row r="276">
      <c r="B276" t="inlineStr">
        <is>
          <t>Equity securities</t>
        </is>
      </c>
      <c r="C276" s="31" t="inlineStr">
        <is>
          <t>-</t>
        </is>
      </c>
      <c r="D276" s="31" t="inlineStr">
        <is>
          <t>-</t>
        </is>
      </c>
      <c r="E276" s="31" t="inlineStr">
        <is>
          <t>-</t>
        </is>
      </c>
      <c r="F276" s="31" t="inlineStr">
        <is>
          <t>-</t>
        </is>
      </c>
      <c r="G276" s="31" t="inlineStr">
        <is>
          <t>-</t>
        </is>
      </c>
      <c r="H276" s="31" t="inlineStr">
        <is>
          <t>-</t>
        </is>
      </c>
      <c r="I276" s="57" t="inlineStr">
        <is>
          <t>-</t>
        </is>
      </c>
      <c r="J276" s="57" t="inlineStr">
        <is>
          <t>-</t>
        </is>
      </c>
      <c r="K276" s="57" t="inlineStr">
        <is>
          <t>-</t>
        </is>
      </c>
    </row>
    <row r="277">
      <c r="C277" s="79" t="n"/>
      <c r="D277" s="79" t="n"/>
      <c r="E277" s="79" t="n"/>
      <c r="F277" s="79" t="n"/>
      <c r="G277" s="79" t="n"/>
      <c r="H277" s="79" t="n"/>
      <c r="I277" s="40" t="n"/>
      <c r="J277" s="40" t="n"/>
      <c r="K277" s="40" t="n"/>
    </row>
    <row r="278" customFormat="1" s="33">
      <c r="B278" s="33" t="inlineStr">
        <is>
          <t>Check</t>
        </is>
      </c>
      <c r="C278" s="79" t="n">
        <v>-857269981</v>
      </c>
      <c r="D278" s="79" t="n">
        <v>-994370875</v>
      </c>
      <c r="E278" s="79" t="n">
        <v>-1068982587</v>
      </c>
      <c r="F278" s="79" t="n">
        <v>-1286616399</v>
      </c>
      <c r="G278" s="79" t="n">
        <v>0</v>
      </c>
      <c r="H278" s="79" t="n">
        <v>0</v>
      </c>
      <c r="I278" s="40" t="inlineStr">
        <is>
          <t>-</t>
        </is>
      </c>
      <c r="J278" s="40" t="inlineStr">
        <is>
          <t>-</t>
        </is>
      </c>
      <c r="K278" s="40" t="inlineStr">
        <is>
          <t>-</t>
        </is>
      </c>
    </row>
    <row r="279">
      <c r="C279" s="79" t="n"/>
      <c r="D279" s="79" t="n"/>
      <c r="E279" s="79" t="n"/>
      <c r="F279" s="79" t="n"/>
      <c r="G279" s="79" t="n"/>
      <c r="H279" s="79" t="n"/>
      <c r="I279" s="40" t="n"/>
      <c r="J279" s="40" t="n"/>
      <c r="K279" s="40" t="n"/>
    </row>
    <row r="280">
      <c r="B280" t="inlineStr">
        <is>
          <t>T Bills - Growth YoY</t>
        </is>
      </c>
      <c r="C280" t="inlineStr">
        <is>
          <t>-</t>
        </is>
      </c>
      <c r="D280" s="68" t="inlineStr">
        <is>
          <t>-</t>
        </is>
      </c>
      <c r="E280" s="68" t="inlineStr">
        <is>
          <t>-</t>
        </is>
      </c>
      <c r="F280" s="68" t="inlineStr">
        <is>
          <t>-</t>
        </is>
      </c>
      <c r="G280" s="68" t="inlineStr">
        <is>
          <t>-</t>
        </is>
      </c>
      <c r="H280" s="68" t="inlineStr">
        <is>
          <t>-</t>
        </is>
      </c>
      <c r="I280" s="93" t="inlineStr">
        <is>
          <t>-</t>
        </is>
      </c>
      <c r="J280" s="93" t="inlineStr">
        <is>
          <t>-</t>
        </is>
      </c>
      <c r="K280" s="93" t="inlineStr">
        <is>
          <t>-</t>
        </is>
      </c>
    </row>
    <row r="281">
      <c r="B281" t="inlineStr">
        <is>
          <t>T Bonds - Growth YoY</t>
        </is>
      </c>
      <c r="C281" s="79" t="inlineStr">
        <is>
          <t>-</t>
        </is>
      </c>
      <c r="D281" s="68" t="inlineStr">
        <is>
          <t>-</t>
        </is>
      </c>
      <c r="E281" s="68" t="inlineStr">
        <is>
          <t>-</t>
        </is>
      </c>
      <c r="F281" s="68" t="inlineStr">
        <is>
          <t>-</t>
        </is>
      </c>
      <c r="G281" s="68" t="inlineStr">
        <is>
          <t>-</t>
        </is>
      </c>
      <c r="H281" s="68" t="inlineStr">
        <is>
          <t>-</t>
        </is>
      </c>
      <c r="I281" s="93" t="inlineStr">
        <is>
          <t>-</t>
        </is>
      </c>
      <c r="J281" s="93" t="inlineStr">
        <is>
          <t>-</t>
        </is>
      </c>
      <c r="K281" s="93" t="inlineStr">
        <is>
          <t>-</t>
        </is>
      </c>
    </row>
    <row r="282">
      <c r="B282" t="inlineStr">
        <is>
          <t>Equity - Growth YoY</t>
        </is>
      </c>
      <c r="C282" s="79" t="inlineStr">
        <is>
          <t>-</t>
        </is>
      </c>
      <c r="D282" s="68" t="inlineStr">
        <is>
          <t>-</t>
        </is>
      </c>
      <c r="E282" s="68" t="inlineStr">
        <is>
          <t>-</t>
        </is>
      </c>
      <c r="F282" s="68" t="inlineStr">
        <is>
          <t>-</t>
        </is>
      </c>
      <c r="G282" s="68" t="inlineStr">
        <is>
          <t>-</t>
        </is>
      </c>
      <c r="H282" s="68" t="inlineStr">
        <is>
          <t>-</t>
        </is>
      </c>
      <c r="I282" s="93" t="inlineStr">
        <is>
          <t>-</t>
        </is>
      </c>
      <c r="J282" s="93" t="inlineStr">
        <is>
          <t>-</t>
        </is>
      </c>
      <c r="K282" s="93" t="inlineStr">
        <is>
          <t>-</t>
        </is>
      </c>
    </row>
    <row r="283">
      <c r="C283" s="79" t="n"/>
      <c r="D283" s="79" t="n"/>
      <c r="E283" s="79" t="n"/>
      <c r="F283" s="79" t="n"/>
      <c r="G283" s="79" t="n"/>
      <c r="H283" s="79" t="n"/>
      <c r="I283" s="40" t="n"/>
      <c r="J283" s="40" t="n"/>
      <c r="K283" s="40" t="n"/>
    </row>
    <row r="284">
      <c r="C284" s="79" t="n"/>
      <c r="D284" s="79" t="n"/>
      <c r="E284" s="79" t="n"/>
      <c r="F284" s="79" t="n"/>
      <c r="G284" s="79" t="n"/>
      <c r="H284" s="79" t="n"/>
      <c r="I284" s="40" t="n"/>
      <c r="J284" s="40" t="n"/>
      <c r="K284" s="40" t="n"/>
    </row>
    <row r="285">
      <c r="C285" s="79" t="n"/>
      <c r="D285" s="79" t="n"/>
      <c r="E285" s="79" t="n"/>
      <c r="F285" s="79" t="n"/>
      <c r="G285" s="79" t="n"/>
      <c r="H285" s="79" t="n"/>
      <c r="I285" s="40" t="n"/>
      <c r="J285" s="40" t="n"/>
      <c r="K285" s="40" t="n"/>
    </row>
    <row r="286">
      <c r="C286" s="79" t="n"/>
      <c r="D286" s="79" t="n"/>
      <c r="E286" s="79" t="n"/>
      <c r="F286" s="79" t="n"/>
      <c r="G286" s="79" t="n"/>
      <c r="H286" s="79" t="n"/>
      <c r="I286" s="40" t="n"/>
      <c r="J286" s="40" t="n"/>
      <c r="K286" s="40" t="n"/>
    </row>
    <row r="287" customFormat="1" s="76">
      <c r="C287" s="77" t="n"/>
      <c r="D287" s="77" t="n"/>
      <c r="E287" s="77" t="n"/>
      <c r="F287" s="77" t="n"/>
      <c r="G287" s="77" t="n"/>
      <c r="H287" s="77" t="n"/>
      <c r="I287" s="78" t="n"/>
      <c r="J287" s="78" t="n"/>
      <c r="K287" s="78" t="n"/>
    </row>
    <row r="288">
      <c r="C288" s="79" t="n"/>
      <c r="D288" s="79" t="n"/>
      <c r="E288" s="79" t="n"/>
      <c r="F288" s="79" t="n"/>
      <c r="G288" s="79" t="n"/>
      <c r="H288" s="79" t="n"/>
      <c r="I288" s="40" t="n"/>
      <c r="J288" s="40" t="n"/>
      <c r="K288" s="40" t="n"/>
    </row>
    <row r="289">
      <c r="B289" t="inlineStr">
        <is>
          <t>Financial assets at amortised cost – loans and advances to other customers</t>
        </is>
      </c>
      <c r="C289" s="31" t="inlineStr">
        <is>
          <t>-</t>
        </is>
      </c>
      <c r="D289" s="31" t="n">
        <v>867611976</v>
      </c>
      <c r="E289" s="31" t="n">
        <v>893919311</v>
      </c>
      <c r="F289" s="31" t="n">
        <v>1.77</v>
      </c>
      <c r="G289" s="31" t="n">
        <v>246</v>
      </c>
      <c r="H289" s="31" t="n">
        <v>1130442579</v>
      </c>
      <c r="I289" s="57" t="n">
        <v>1176360000</v>
      </c>
      <c r="J289" s="57" t="n">
        <v>1384524660</v>
      </c>
      <c r="K289" s="57" t="n">
        <v>1958506596</v>
      </c>
    </row>
    <row r="290" customFormat="1" s="33">
      <c r="B290" s="33" t="inlineStr">
        <is>
          <t>Check</t>
        </is>
      </c>
      <c r="C290" s="79" t="n">
        <v>-857269981</v>
      </c>
      <c r="D290" s="79" t="n">
        <v>-994370875</v>
      </c>
      <c r="E290" s="79" t="n">
        <v>-1068982587</v>
      </c>
      <c r="F290" s="79" t="n">
        <v>-1286616399</v>
      </c>
      <c r="G290" s="79" t="n">
        <v>0</v>
      </c>
      <c r="H290" s="79" t="n">
        <v>0</v>
      </c>
      <c r="I290" s="79" t="inlineStr">
        <is>
          <t>-</t>
        </is>
      </c>
      <c r="J290" s="79" t="inlineStr">
        <is>
          <t>-</t>
        </is>
      </c>
      <c r="K290" s="79" t="inlineStr">
        <is>
          <t>-</t>
        </is>
      </c>
    </row>
    <row r="291">
      <c r="C291" s="79" t="n"/>
      <c r="D291" s="79" t="n"/>
      <c r="E291" s="79" t="n"/>
      <c r="F291" s="79" t="n"/>
      <c r="G291" s="79" t="n"/>
      <c r="H291" s="79" t="n"/>
      <c r="I291" s="40" t="n"/>
      <c r="J291" s="40" t="n"/>
      <c r="K291" s="40" t="n"/>
    </row>
    <row r="292">
      <c r="B292" s="3" t="inlineStr">
        <is>
          <t>Gross Loans and advances</t>
        </is>
      </c>
      <c r="C292" s="79" t="inlineStr">
        <is>
          <t>-</t>
        </is>
      </c>
      <c r="D292" s="79" t="inlineStr">
        <is>
          <t>-</t>
        </is>
      </c>
      <c r="E292" s="79" t="inlineStr">
        <is>
          <t>-</t>
        </is>
      </c>
      <c r="F292" s="79" t="inlineStr">
        <is>
          <t>-</t>
        </is>
      </c>
      <c r="G292" s="79" t="inlineStr">
        <is>
          <t>-</t>
        </is>
      </c>
      <c r="H292" s="79" t="inlineStr">
        <is>
          <t>-</t>
        </is>
      </c>
      <c r="I292" s="40" t="inlineStr">
        <is>
          <t>-</t>
        </is>
      </c>
      <c r="J292" s="40" t="inlineStr">
        <is>
          <t>-</t>
        </is>
      </c>
      <c r="K292" s="40" t="inlineStr">
        <is>
          <t>-</t>
        </is>
      </c>
    </row>
    <row r="293">
      <c r="B293" t="inlineStr">
        <is>
          <t>Overdrafts</t>
        </is>
      </c>
      <c r="C293" s="31" t="inlineStr">
        <is>
          <t>-</t>
        </is>
      </c>
      <c r="D293" s="31" t="inlineStr">
        <is>
          <t>-</t>
        </is>
      </c>
      <c r="E293" s="31" t="inlineStr">
        <is>
          <t>-</t>
        </is>
      </c>
      <c r="F293" s="31" t="inlineStr">
        <is>
          <t>-</t>
        </is>
      </c>
      <c r="G293" s="31" t="inlineStr">
        <is>
          <t>-</t>
        </is>
      </c>
      <c r="H293" s="31" t="inlineStr">
        <is>
          <t>-</t>
        </is>
      </c>
      <c r="I293" s="57" t="inlineStr">
        <is>
          <t>-</t>
        </is>
      </c>
      <c r="J293" s="57" t="inlineStr">
        <is>
          <t>-</t>
        </is>
      </c>
      <c r="K293" s="57" t="inlineStr">
        <is>
          <t>-</t>
        </is>
      </c>
    </row>
    <row r="294">
      <c r="B294" t="inlineStr">
        <is>
          <t>Trade finance</t>
        </is>
      </c>
      <c r="C294" s="31" t="inlineStr">
        <is>
          <t>-</t>
        </is>
      </c>
      <c r="D294" s="31" t="inlineStr">
        <is>
          <t>-</t>
        </is>
      </c>
      <c r="E294" s="31" t="inlineStr">
        <is>
          <t>-</t>
        </is>
      </c>
      <c r="F294" s="31" t="inlineStr">
        <is>
          <t>-</t>
        </is>
      </c>
      <c r="G294" s="31" t="inlineStr">
        <is>
          <t>-</t>
        </is>
      </c>
      <c r="H294" s="31" t="inlineStr">
        <is>
          <t>-</t>
        </is>
      </c>
      <c r="I294" s="57" t="inlineStr">
        <is>
          <t>-</t>
        </is>
      </c>
      <c r="J294" s="57" t="inlineStr">
        <is>
          <t>-</t>
        </is>
      </c>
      <c r="K294" s="57" t="inlineStr">
        <is>
          <t>-</t>
        </is>
      </c>
    </row>
    <row r="295">
      <c r="B295" t="inlineStr">
        <is>
          <t>Lease/hire purchase receivable</t>
        </is>
      </c>
      <c r="C295" s="31" t="inlineStr">
        <is>
          <t>-</t>
        </is>
      </c>
      <c r="D295" s="31" t="inlineStr">
        <is>
          <t>-</t>
        </is>
      </c>
      <c r="E295" s="31" t="inlineStr">
        <is>
          <t>-</t>
        </is>
      </c>
      <c r="F295" s="31" t="inlineStr">
        <is>
          <t>-</t>
        </is>
      </c>
      <c r="G295" s="31" t="inlineStr">
        <is>
          <t>-</t>
        </is>
      </c>
      <c r="H295" s="31" t="inlineStr">
        <is>
          <t>-</t>
        </is>
      </c>
      <c r="I295" s="57" t="inlineStr">
        <is>
          <t>-</t>
        </is>
      </c>
      <c r="J295" s="57" t="inlineStr">
        <is>
          <t>-</t>
        </is>
      </c>
      <c r="K295" s="57" t="inlineStr">
        <is>
          <t>-</t>
        </is>
      </c>
    </row>
    <row r="296">
      <c r="B296" t="inlineStr">
        <is>
          <t>Credit cards</t>
        </is>
      </c>
      <c r="C296" s="31" t="inlineStr">
        <is>
          <t>-</t>
        </is>
      </c>
      <c r="D296" s="31" t="inlineStr">
        <is>
          <t>-</t>
        </is>
      </c>
      <c r="E296" s="31" t="inlineStr">
        <is>
          <t>-</t>
        </is>
      </c>
      <c r="F296" s="31" t="inlineStr">
        <is>
          <t>-</t>
        </is>
      </c>
      <c r="G296" s="31" t="inlineStr">
        <is>
          <t>-</t>
        </is>
      </c>
      <c r="H296" s="31" t="inlineStr">
        <is>
          <t>-</t>
        </is>
      </c>
      <c r="I296" s="57" t="inlineStr">
        <is>
          <t>-</t>
        </is>
      </c>
      <c r="J296" s="57" t="inlineStr">
        <is>
          <t>-</t>
        </is>
      </c>
      <c r="K296" s="57" t="inlineStr">
        <is>
          <t>-</t>
        </is>
      </c>
    </row>
    <row r="297">
      <c r="B297" t="inlineStr">
        <is>
          <t>Pawning</t>
        </is>
      </c>
      <c r="C297" s="31" t="inlineStr">
        <is>
          <t>-</t>
        </is>
      </c>
      <c r="D297" s="31" t="inlineStr">
        <is>
          <t>-</t>
        </is>
      </c>
      <c r="E297" s="31" t="inlineStr">
        <is>
          <t>-</t>
        </is>
      </c>
      <c r="F297" s="31" t="inlineStr">
        <is>
          <t>-</t>
        </is>
      </c>
      <c r="G297" s="31" t="inlineStr">
        <is>
          <t>-</t>
        </is>
      </c>
      <c r="H297" s="31" t="inlineStr">
        <is>
          <t>-</t>
        </is>
      </c>
      <c r="I297" s="57" t="inlineStr">
        <is>
          <t>-</t>
        </is>
      </c>
      <c r="J297" s="57" t="inlineStr">
        <is>
          <t>-</t>
        </is>
      </c>
      <c r="K297" s="57" t="inlineStr">
        <is>
          <t>-</t>
        </is>
      </c>
    </row>
    <row r="298">
      <c r="B298" t="inlineStr">
        <is>
          <t>Staff loans</t>
        </is>
      </c>
      <c r="C298" s="31" t="inlineStr">
        <is>
          <t>-</t>
        </is>
      </c>
      <c r="D298" s="31" t="inlineStr">
        <is>
          <t>-</t>
        </is>
      </c>
      <c r="E298" s="31" t="inlineStr">
        <is>
          <t>-</t>
        </is>
      </c>
      <c r="F298" s="31" t="inlineStr">
        <is>
          <t>-</t>
        </is>
      </c>
      <c r="G298" s="31" t="inlineStr">
        <is>
          <t>-</t>
        </is>
      </c>
      <c r="H298" s="31" t="inlineStr">
        <is>
          <t>-</t>
        </is>
      </c>
      <c r="I298" s="57" t="inlineStr">
        <is>
          <t>-</t>
        </is>
      </c>
      <c r="J298" s="57" t="inlineStr">
        <is>
          <t>-</t>
        </is>
      </c>
      <c r="K298" s="57" t="inlineStr">
        <is>
          <t>-</t>
        </is>
      </c>
    </row>
    <row r="299">
      <c r="B299" t="inlineStr">
        <is>
          <t>Housing loans</t>
        </is>
      </c>
      <c r="C299" s="31" t="inlineStr">
        <is>
          <t>-</t>
        </is>
      </c>
      <c r="D299" s="31" t="inlineStr">
        <is>
          <t>-</t>
        </is>
      </c>
      <c r="E299" s="31" t="inlineStr">
        <is>
          <t>-</t>
        </is>
      </c>
      <c r="F299" s="31" t="inlineStr">
        <is>
          <t>-</t>
        </is>
      </c>
      <c r="G299" s="31" t="inlineStr">
        <is>
          <t>-</t>
        </is>
      </c>
      <c r="H299" s="31" t="inlineStr">
        <is>
          <t>-</t>
        </is>
      </c>
      <c r="I299" s="57" t="inlineStr">
        <is>
          <t>-</t>
        </is>
      </c>
      <c r="J299" s="57" t="inlineStr">
        <is>
          <t>-</t>
        </is>
      </c>
      <c r="K299" s="57" t="inlineStr">
        <is>
          <t>-</t>
        </is>
      </c>
    </row>
    <row r="300">
      <c r="B300" t="inlineStr">
        <is>
          <t>Personal loans</t>
        </is>
      </c>
      <c r="C300" s="31" t="inlineStr">
        <is>
          <t>-</t>
        </is>
      </c>
      <c r="D300" s="31" t="inlineStr">
        <is>
          <t>-</t>
        </is>
      </c>
      <c r="E300" s="31" t="inlineStr">
        <is>
          <t>-</t>
        </is>
      </c>
      <c r="F300" s="31" t="inlineStr">
        <is>
          <t>-</t>
        </is>
      </c>
      <c r="G300" s="31" t="inlineStr">
        <is>
          <t>-</t>
        </is>
      </c>
      <c r="H300" s="31" t="inlineStr">
        <is>
          <t>-</t>
        </is>
      </c>
      <c r="I300" s="57" t="inlineStr">
        <is>
          <t>-</t>
        </is>
      </c>
      <c r="J300" s="57" t="inlineStr">
        <is>
          <t>-</t>
        </is>
      </c>
      <c r="K300" s="57" t="inlineStr">
        <is>
          <t>-</t>
        </is>
      </c>
    </row>
    <row r="301">
      <c r="B301" t="inlineStr">
        <is>
          <t>Term loans</t>
        </is>
      </c>
      <c r="C301" s="47" t="inlineStr">
        <is>
          <t>-</t>
        </is>
      </c>
      <c r="D301" s="47" t="inlineStr">
        <is>
          <t>-</t>
        </is>
      </c>
      <c r="E301" s="47" t="inlineStr">
        <is>
          <t>-</t>
        </is>
      </c>
      <c r="F301" s="47" t="inlineStr">
        <is>
          <t>-</t>
        </is>
      </c>
      <c r="G301" s="47" t="inlineStr">
        <is>
          <t>-</t>
        </is>
      </c>
      <c r="H301" s="47" t="inlineStr">
        <is>
          <t>-</t>
        </is>
      </c>
      <c r="I301" s="47" t="inlineStr">
        <is>
          <t>-</t>
        </is>
      </c>
      <c r="J301" s="47" t="inlineStr">
        <is>
          <t>-</t>
        </is>
      </c>
      <c r="K301" s="47" t="inlineStr">
        <is>
          <t>-</t>
        </is>
      </c>
    </row>
    <row r="302">
      <c r="B302" s="24" t="inlineStr">
        <is>
          <t>Short term</t>
        </is>
      </c>
      <c r="C302" s="31" t="inlineStr">
        <is>
          <t>-</t>
        </is>
      </c>
      <c r="D302" s="31" t="inlineStr">
        <is>
          <t>-</t>
        </is>
      </c>
      <c r="E302" s="31" t="inlineStr">
        <is>
          <t>-</t>
        </is>
      </c>
      <c r="F302" s="31" t="inlineStr">
        <is>
          <t>-</t>
        </is>
      </c>
      <c r="G302" s="31" t="inlineStr">
        <is>
          <t>-</t>
        </is>
      </c>
      <c r="H302" s="31" t="inlineStr">
        <is>
          <t>-</t>
        </is>
      </c>
      <c r="I302" s="57" t="inlineStr">
        <is>
          <t>-</t>
        </is>
      </c>
      <c r="J302" s="57" t="inlineStr">
        <is>
          <t>-</t>
        </is>
      </c>
      <c r="K302" s="57" t="inlineStr">
        <is>
          <t>-</t>
        </is>
      </c>
    </row>
    <row r="303">
      <c r="B303" s="24" t="inlineStr">
        <is>
          <t>Long term</t>
        </is>
      </c>
      <c r="C303" s="31" t="inlineStr">
        <is>
          <t>-</t>
        </is>
      </c>
      <c r="D303" s="31" t="inlineStr">
        <is>
          <t>-</t>
        </is>
      </c>
      <c r="E303" s="31" t="inlineStr">
        <is>
          <t>-</t>
        </is>
      </c>
      <c r="F303" s="31" t="inlineStr">
        <is>
          <t>-</t>
        </is>
      </c>
      <c r="G303" s="31" t="inlineStr">
        <is>
          <t>-</t>
        </is>
      </c>
      <c r="H303" s="31" t="inlineStr">
        <is>
          <t>-</t>
        </is>
      </c>
      <c r="I303" s="57" t="inlineStr">
        <is>
          <t>-</t>
        </is>
      </c>
      <c r="J303" s="57" t="inlineStr">
        <is>
          <t>-</t>
        </is>
      </c>
      <c r="K303" s="57" t="inlineStr">
        <is>
          <t>-</t>
        </is>
      </c>
    </row>
    <row r="304">
      <c r="B304" s="24" t="inlineStr">
        <is>
          <t>Bills of exchange</t>
        </is>
      </c>
      <c r="C304" s="31" t="inlineStr">
        <is>
          <t>-</t>
        </is>
      </c>
      <c r="D304" s="31" t="inlineStr">
        <is>
          <t>-</t>
        </is>
      </c>
      <c r="E304" s="31" t="inlineStr">
        <is>
          <t>-</t>
        </is>
      </c>
      <c r="F304" s="31" t="inlineStr">
        <is>
          <t>-</t>
        </is>
      </c>
      <c r="G304" s="31" t="inlineStr">
        <is>
          <t>-</t>
        </is>
      </c>
      <c r="H304" s="31" t="inlineStr">
        <is>
          <t>-</t>
        </is>
      </c>
      <c r="I304" s="57" t="inlineStr">
        <is>
          <t>-</t>
        </is>
      </c>
      <c r="J304" s="57" t="inlineStr">
        <is>
          <t>-</t>
        </is>
      </c>
      <c r="K304" s="57" t="inlineStr">
        <is>
          <t>-</t>
        </is>
      </c>
    </row>
    <row r="305">
      <c r="C305" s="47">
        <f>SUM(C293:C301)</f>
        <v/>
      </c>
      <c r="D305" s="47">
        <f>SUM(D293:D301)</f>
        <v/>
      </c>
      <c r="E305" s="47">
        <f>SUM(E293:E301)</f>
        <v/>
      </c>
      <c r="F305" s="47">
        <f>SUM(F293:F301)</f>
        <v/>
      </c>
      <c r="G305" s="47">
        <f>SUM(G293:G301)</f>
        <v/>
      </c>
      <c r="H305" s="47">
        <f>SUM(H293:H301)</f>
        <v/>
      </c>
      <c r="I305" s="47">
        <f>H305*(1+I307)</f>
        <v/>
      </c>
      <c r="J305" s="47">
        <f>I305*(1+J307)</f>
        <v/>
      </c>
      <c r="K305" s="47">
        <f>J305*(1+K307)</f>
        <v/>
      </c>
    </row>
    <row r="306">
      <c r="C306" s="79" t="n"/>
      <c r="D306" s="79" t="n"/>
      <c r="E306" s="79" t="n"/>
      <c r="F306" s="79" t="n"/>
      <c r="G306" s="79" t="n"/>
      <c r="H306" s="79" t="n"/>
      <c r="I306" s="79" t="n"/>
      <c r="J306" s="79" t="n"/>
      <c r="K306" s="79" t="n"/>
    </row>
    <row r="307">
      <c r="B307" s="37" t="inlineStr">
        <is>
          <t>Loan portfolio growth</t>
        </is>
      </c>
      <c r="C307" s="68" t="inlineStr">
        <is>
          <t>-</t>
        </is>
      </c>
      <c r="D307" s="68" t="inlineStr">
        <is>
          <t>-</t>
        </is>
      </c>
      <c r="E307" s="68" t="inlineStr">
        <is>
          <t>-</t>
        </is>
      </c>
      <c r="F307" s="68" t="inlineStr">
        <is>
          <t>-</t>
        </is>
      </c>
      <c r="G307" s="68" t="inlineStr">
        <is>
          <t>-</t>
        </is>
      </c>
      <c r="H307" s="68" t="inlineStr">
        <is>
          <t>-</t>
        </is>
      </c>
      <c r="I307" s="73" t="inlineStr">
        <is>
          <t>-</t>
        </is>
      </c>
      <c r="J307" s="73" t="inlineStr">
        <is>
          <t>-</t>
        </is>
      </c>
      <c r="K307" s="73" t="inlineStr">
        <is>
          <t>-</t>
        </is>
      </c>
    </row>
    <row r="308">
      <c r="C308" s="79" t="n"/>
      <c r="D308" s="79" t="n"/>
      <c r="E308" s="79" t="n"/>
      <c r="F308" s="79" t="n"/>
      <c r="G308" s="79" t="n"/>
      <c r="H308" s="79" t="n"/>
      <c r="I308" s="40" t="n"/>
      <c r="J308" s="40" t="n"/>
      <c r="K308" s="40" t="n"/>
    </row>
    <row r="309">
      <c r="B309" t="inlineStr">
        <is>
          <t>Check</t>
        </is>
      </c>
      <c r="C309" s="34" t="n">
        <v>-857269981</v>
      </c>
      <c r="D309" s="34" t="n">
        <v>-994370875</v>
      </c>
      <c r="E309" s="34" t="n">
        <v>-1068982587</v>
      </c>
      <c r="F309" s="34" t="n">
        <v>-1286616399</v>
      </c>
      <c r="G309" s="34" t="n">
        <v>0</v>
      </c>
      <c r="H309" s="34" t="n">
        <v>0</v>
      </c>
      <c r="I309" s="34" t="inlineStr">
        <is>
          <t>-</t>
        </is>
      </c>
      <c r="J309" s="34" t="inlineStr">
        <is>
          <t>-</t>
        </is>
      </c>
      <c r="K309" s="34" t="inlineStr">
        <is>
          <t>-</t>
        </is>
      </c>
    </row>
    <row r="310">
      <c r="C310" s="79" t="n"/>
      <c r="D310" s="79" t="n"/>
      <c r="E310" s="79" t="n"/>
      <c r="F310" s="79" t="n"/>
      <c r="G310" s="79" t="n"/>
      <c r="H310" s="79" t="n"/>
      <c r="I310" s="40" t="n"/>
      <c r="J310" s="40" t="n"/>
      <c r="K310" s="40" t="n"/>
    </row>
    <row r="311">
      <c r="B311" t="inlineStr">
        <is>
          <t>Gross loans and advances</t>
        </is>
      </c>
      <c r="C311" s="86" t="inlineStr">
        <is>
          <t>-</t>
        </is>
      </c>
      <c r="D311" s="47" t="n">
        <v>867611976</v>
      </c>
      <c r="E311" s="47" t="n">
        <v>893919311</v>
      </c>
      <c r="F311" s="47" t="n">
        <v>1.77</v>
      </c>
      <c r="G311" s="47" t="n">
        <v>246</v>
      </c>
      <c r="H311" s="47" t="n">
        <v>1130442579</v>
      </c>
      <c r="I311" s="47" t="n">
        <v>1176360000</v>
      </c>
      <c r="J311" s="47" t="n">
        <v>1384524660</v>
      </c>
      <c r="K311" s="47" t="n">
        <v>1903430000</v>
      </c>
    </row>
    <row r="312">
      <c r="B312" s="24" t="inlineStr">
        <is>
          <t>Stage 1</t>
        </is>
      </c>
      <c r="C312" s="79" t="inlineStr">
        <is>
          <t>-</t>
        </is>
      </c>
      <c r="D312" s="31" t="inlineStr">
        <is>
          <t>-</t>
        </is>
      </c>
      <c r="E312" s="31" t="inlineStr">
        <is>
          <t>-</t>
        </is>
      </c>
      <c r="F312" s="31" t="inlineStr">
        <is>
          <t>-</t>
        </is>
      </c>
      <c r="G312" s="31" t="inlineStr">
        <is>
          <t>-</t>
        </is>
      </c>
      <c r="H312" s="31" t="inlineStr">
        <is>
          <t>-</t>
        </is>
      </c>
      <c r="I312" s="57" t="inlineStr">
        <is>
          <t>-</t>
        </is>
      </c>
      <c r="J312" s="57" t="inlineStr">
        <is>
          <t>-</t>
        </is>
      </c>
      <c r="K312" s="57" t="inlineStr">
        <is>
          <t>-</t>
        </is>
      </c>
    </row>
    <row r="313">
      <c r="B313" s="24" t="inlineStr">
        <is>
          <t>Stage 2</t>
        </is>
      </c>
      <c r="C313" s="79" t="inlineStr">
        <is>
          <t>-</t>
        </is>
      </c>
      <c r="D313" s="31" t="inlineStr">
        <is>
          <t>-</t>
        </is>
      </c>
      <c r="E313" s="31" t="inlineStr">
        <is>
          <t>-</t>
        </is>
      </c>
      <c r="F313" s="31" t="inlineStr">
        <is>
          <t>-</t>
        </is>
      </c>
      <c r="G313" s="31" t="inlineStr">
        <is>
          <t>-</t>
        </is>
      </c>
      <c r="H313" s="31" t="inlineStr">
        <is>
          <t>-</t>
        </is>
      </c>
      <c r="I313" s="57" t="inlineStr">
        <is>
          <t>-</t>
        </is>
      </c>
      <c r="J313" s="57" t="inlineStr">
        <is>
          <t>-</t>
        </is>
      </c>
      <c r="K313" s="57" t="inlineStr">
        <is>
          <t>-</t>
        </is>
      </c>
    </row>
    <row r="314">
      <c r="B314" s="24" t="inlineStr">
        <is>
          <t>Stage 3 (*)</t>
        </is>
      </c>
      <c r="C314" s="79" t="inlineStr">
        <is>
          <t>-</t>
        </is>
      </c>
      <c r="D314" s="31" t="inlineStr">
        <is>
          <t>-</t>
        </is>
      </c>
      <c r="E314" s="31" t="inlineStr">
        <is>
          <t>-</t>
        </is>
      </c>
      <c r="F314" s="31" t="inlineStr">
        <is>
          <t>-</t>
        </is>
      </c>
      <c r="G314" s="31" t="inlineStr">
        <is>
          <t>-</t>
        </is>
      </c>
      <c r="H314" s="31" t="inlineStr">
        <is>
          <t>-</t>
        </is>
      </c>
      <c r="I314" s="57" t="inlineStr">
        <is>
          <t>-</t>
        </is>
      </c>
      <c r="J314" s="57" t="inlineStr">
        <is>
          <t>-</t>
        </is>
      </c>
      <c r="K314" s="57" t="inlineStr">
        <is>
          <t>-</t>
        </is>
      </c>
    </row>
    <row r="315">
      <c r="B315" t="inlineStr">
        <is>
          <t>Less: Provision for impairment</t>
        </is>
      </c>
      <c r="C315" s="86" t="inlineStr">
        <is>
          <t>-</t>
        </is>
      </c>
      <c r="D315" s="47" t="inlineStr">
        <is>
          <t>-</t>
        </is>
      </c>
      <c r="E315" s="47" t="inlineStr">
        <is>
          <t>-</t>
        </is>
      </c>
      <c r="F315" s="47" t="inlineStr">
        <is>
          <t>-</t>
        </is>
      </c>
      <c r="G315" s="47" t="inlineStr">
        <is>
          <t>-</t>
        </is>
      </c>
      <c r="H315" s="47" t="inlineStr">
        <is>
          <t>-</t>
        </is>
      </c>
      <c r="I315" s="47" t="inlineStr">
        <is>
          <t>-</t>
        </is>
      </c>
      <c r="J315" s="47" t="inlineStr">
        <is>
          <t>-</t>
        </is>
      </c>
      <c r="K315" s="47" t="inlineStr">
        <is>
          <t>-</t>
        </is>
      </c>
    </row>
    <row r="316">
      <c r="B316" s="24" t="inlineStr">
        <is>
          <t>Stage 1</t>
        </is>
      </c>
      <c r="C316" s="79" t="inlineStr">
        <is>
          <t>-</t>
        </is>
      </c>
      <c r="D316" s="31" t="inlineStr">
        <is>
          <t>-</t>
        </is>
      </c>
      <c r="E316" s="31" t="inlineStr">
        <is>
          <t>-</t>
        </is>
      </c>
      <c r="F316" s="31" t="inlineStr">
        <is>
          <t>-</t>
        </is>
      </c>
      <c r="G316" s="31" t="inlineStr">
        <is>
          <t>-</t>
        </is>
      </c>
      <c r="H316" s="31" t="inlineStr">
        <is>
          <t>-</t>
        </is>
      </c>
      <c r="I316" s="57" t="inlineStr">
        <is>
          <t>-</t>
        </is>
      </c>
      <c r="J316" s="57" t="inlineStr">
        <is>
          <t>-</t>
        </is>
      </c>
      <c r="K316" s="57" t="inlineStr">
        <is>
          <t>-</t>
        </is>
      </c>
    </row>
    <row r="317">
      <c r="B317" s="24" t="inlineStr">
        <is>
          <t>Stage 2</t>
        </is>
      </c>
      <c r="C317" s="79" t="inlineStr">
        <is>
          <t>-</t>
        </is>
      </c>
      <c r="D317" s="31" t="inlineStr">
        <is>
          <t>-</t>
        </is>
      </c>
      <c r="E317" s="31" t="inlineStr">
        <is>
          <t>-</t>
        </is>
      </c>
      <c r="F317" s="31" t="inlineStr">
        <is>
          <t>-</t>
        </is>
      </c>
      <c r="G317" s="31" t="inlineStr">
        <is>
          <t>-</t>
        </is>
      </c>
      <c r="H317" s="31" t="inlineStr">
        <is>
          <t>-</t>
        </is>
      </c>
      <c r="I317" s="57" t="inlineStr">
        <is>
          <t>-</t>
        </is>
      </c>
      <c r="J317" s="57" t="inlineStr">
        <is>
          <t>-</t>
        </is>
      </c>
      <c r="K317" s="57" t="inlineStr">
        <is>
          <t>-</t>
        </is>
      </c>
    </row>
    <row r="318">
      <c r="B318" s="24" t="inlineStr">
        <is>
          <t>Stage 3</t>
        </is>
      </c>
      <c r="C318" s="79" t="inlineStr">
        <is>
          <t>-</t>
        </is>
      </c>
      <c r="D318" s="31" t="inlineStr">
        <is>
          <t>-</t>
        </is>
      </c>
      <c r="E318" s="31" t="inlineStr">
        <is>
          <t>-</t>
        </is>
      </c>
      <c r="F318" s="31" t="inlineStr">
        <is>
          <t>-</t>
        </is>
      </c>
      <c r="G318" s="31" t="inlineStr">
        <is>
          <t>-</t>
        </is>
      </c>
      <c r="H318" s="31" t="inlineStr">
        <is>
          <t>-</t>
        </is>
      </c>
      <c r="I318" s="57" t="inlineStr">
        <is>
          <t>-</t>
        </is>
      </c>
      <c r="J318" s="57" t="inlineStr">
        <is>
          <t>-</t>
        </is>
      </c>
      <c r="K318" s="57" t="inlineStr">
        <is>
          <t>-</t>
        </is>
      </c>
    </row>
    <row r="319">
      <c r="C319" s="79" t="n"/>
      <c r="D319" s="79" t="n"/>
      <c r="E319" s="79" t="n"/>
      <c r="F319" s="79" t="n"/>
      <c r="G319" s="79" t="n"/>
      <c r="H319" s="79" t="n"/>
      <c r="I319" s="40" t="n"/>
      <c r="J319" s="40" t="n"/>
      <c r="K319" s="40" t="n"/>
    </row>
    <row r="320">
      <c r="B320" s="37" t="inlineStr">
        <is>
          <t>Net loans and advances</t>
        </is>
      </c>
      <c r="C320" s="47" t="inlineStr">
        <is>
          <t>-</t>
        </is>
      </c>
      <c r="D320" s="47" t="inlineStr">
        <is>
          <t>-</t>
        </is>
      </c>
      <c r="E320" s="47" t="inlineStr">
        <is>
          <t>-</t>
        </is>
      </c>
      <c r="F320" s="47" t="inlineStr">
        <is>
          <t>-</t>
        </is>
      </c>
      <c r="G320" s="47" t="inlineStr">
        <is>
          <t>-</t>
        </is>
      </c>
      <c r="H320" s="47" t="inlineStr">
        <is>
          <t>-</t>
        </is>
      </c>
      <c r="I320" s="47" t="inlineStr">
        <is>
          <t>-</t>
        </is>
      </c>
      <c r="J320" s="47" t="inlineStr">
        <is>
          <t>-</t>
        </is>
      </c>
      <c r="K320" s="47" t="inlineStr">
        <is>
          <t>-</t>
        </is>
      </c>
    </row>
    <row r="321">
      <c r="C321" s="79" t="n"/>
      <c r="D321" s="79" t="n"/>
      <c r="E321" s="79" t="n"/>
      <c r="F321" s="79" t="n"/>
      <c r="G321" s="79" t="n"/>
      <c r="H321" s="79" t="n"/>
      <c r="I321" s="40" t="n"/>
      <c r="J321" s="40" t="n"/>
      <c r="K321" s="40" t="n"/>
    </row>
    <row r="322">
      <c r="B322" s="37" t="inlineStr">
        <is>
          <t>% of gross loans categorized under each stage</t>
        </is>
      </c>
      <c r="C322" s="79" t="inlineStr">
        <is>
          <t>-</t>
        </is>
      </c>
      <c r="D322" s="79" t="inlineStr">
        <is>
          <t>-</t>
        </is>
      </c>
      <c r="E322" s="79" t="inlineStr">
        <is>
          <t>-</t>
        </is>
      </c>
      <c r="F322" s="79" t="inlineStr">
        <is>
          <t>-</t>
        </is>
      </c>
      <c r="G322" s="79" t="inlineStr">
        <is>
          <t>-</t>
        </is>
      </c>
      <c r="H322" s="79" t="inlineStr">
        <is>
          <t>-</t>
        </is>
      </c>
      <c r="I322" s="40" t="inlineStr">
        <is>
          <t>-</t>
        </is>
      </c>
      <c r="J322" s="40" t="inlineStr">
        <is>
          <t>-</t>
        </is>
      </c>
      <c r="K322" s="40" t="inlineStr">
        <is>
          <t>-</t>
        </is>
      </c>
    </row>
    <row r="323">
      <c r="B323" s="24" t="inlineStr">
        <is>
          <t>Stage 1</t>
        </is>
      </c>
      <c r="C323" s="79" t="inlineStr">
        <is>
          <t>-</t>
        </is>
      </c>
      <c r="D323" s="68" t="inlineStr">
        <is>
          <t>-</t>
        </is>
      </c>
      <c r="E323" s="68" t="inlineStr">
        <is>
          <t>-</t>
        </is>
      </c>
      <c r="F323" s="68" t="inlineStr">
        <is>
          <t>-</t>
        </is>
      </c>
      <c r="G323" s="68" t="inlineStr">
        <is>
          <t>-</t>
        </is>
      </c>
      <c r="H323" s="68" t="inlineStr">
        <is>
          <t>-</t>
        </is>
      </c>
      <c r="I323" s="94" t="inlineStr">
        <is>
          <t>-</t>
        </is>
      </c>
      <c r="J323" s="94" t="inlineStr">
        <is>
          <t>-</t>
        </is>
      </c>
      <c r="K323" s="94" t="inlineStr">
        <is>
          <t>-</t>
        </is>
      </c>
    </row>
    <row r="324">
      <c r="B324" s="24" t="inlineStr">
        <is>
          <t>Stage 2</t>
        </is>
      </c>
      <c r="C324" s="79" t="inlineStr">
        <is>
          <t>-</t>
        </is>
      </c>
      <c r="D324" s="68" t="inlineStr">
        <is>
          <t>-</t>
        </is>
      </c>
      <c r="E324" s="68" t="inlineStr">
        <is>
          <t>-</t>
        </is>
      </c>
      <c r="F324" s="68" t="inlineStr">
        <is>
          <t>-</t>
        </is>
      </c>
      <c r="G324" s="68" t="inlineStr">
        <is>
          <t>-</t>
        </is>
      </c>
      <c r="H324" s="68" t="inlineStr">
        <is>
          <t>-</t>
        </is>
      </c>
      <c r="I324" s="94" t="inlineStr">
        <is>
          <t>-</t>
        </is>
      </c>
      <c r="J324" s="94" t="inlineStr">
        <is>
          <t>-</t>
        </is>
      </c>
      <c r="K324" s="94" t="inlineStr">
        <is>
          <t>-</t>
        </is>
      </c>
    </row>
    <row r="325">
      <c r="B325" s="24" t="inlineStr">
        <is>
          <t>Stage 3</t>
        </is>
      </c>
      <c r="C325" s="79" t="inlineStr">
        <is>
          <t>-</t>
        </is>
      </c>
      <c r="D325" s="68" t="inlineStr">
        <is>
          <t>-</t>
        </is>
      </c>
      <c r="E325" s="68" t="inlineStr">
        <is>
          <t>-</t>
        </is>
      </c>
      <c r="F325" s="68" t="inlineStr">
        <is>
          <t>-</t>
        </is>
      </c>
      <c r="G325" s="68" t="inlineStr">
        <is>
          <t>-</t>
        </is>
      </c>
      <c r="H325" s="68" t="inlineStr">
        <is>
          <t>-</t>
        </is>
      </c>
      <c r="I325" s="94" t="inlineStr">
        <is>
          <t>-</t>
        </is>
      </c>
      <c r="J325" s="94" t="inlineStr">
        <is>
          <t>-</t>
        </is>
      </c>
      <c r="K325" s="94" t="inlineStr">
        <is>
          <t>-</t>
        </is>
      </c>
    </row>
    <row r="326">
      <c r="C326" s="79" t="n"/>
      <c r="D326" s="79" t="n"/>
      <c r="E326" s="79" t="n"/>
      <c r="F326" s="79" t="n"/>
      <c r="G326" s="79" t="n"/>
      <c r="H326" s="79" t="n"/>
      <c r="I326" s="40" t="n"/>
      <c r="J326" s="40" t="n"/>
      <c r="K326" s="40" t="n"/>
    </row>
    <row r="327">
      <c r="B327" s="37" t="inlineStr">
        <is>
          <t>% of impairment provisions provided</t>
        </is>
      </c>
      <c r="C327" s="79" t="inlineStr">
        <is>
          <t>-</t>
        </is>
      </c>
      <c r="D327" s="79" t="inlineStr">
        <is>
          <t>-</t>
        </is>
      </c>
      <c r="E327" s="79" t="inlineStr">
        <is>
          <t>-</t>
        </is>
      </c>
      <c r="F327" s="79" t="inlineStr">
        <is>
          <t>-</t>
        </is>
      </c>
      <c r="G327" s="79" t="inlineStr">
        <is>
          <t>-</t>
        </is>
      </c>
      <c r="H327" s="79" t="inlineStr">
        <is>
          <t>-</t>
        </is>
      </c>
      <c r="I327" s="40" t="inlineStr">
        <is>
          <t>-</t>
        </is>
      </c>
      <c r="J327" s="40" t="inlineStr">
        <is>
          <t>-</t>
        </is>
      </c>
      <c r="K327" s="40" t="inlineStr">
        <is>
          <t>-</t>
        </is>
      </c>
    </row>
    <row r="328">
      <c r="B328" s="24" t="inlineStr">
        <is>
          <t>Stage 1</t>
        </is>
      </c>
      <c r="C328" s="68" t="inlineStr">
        <is>
          <t>-</t>
        </is>
      </c>
      <c r="D328" s="81" t="inlineStr">
        <is>
          <t>-</t>
        </is>
      </c>
      <c r="E328" s="81" t="inlineStr">
        <is>
          <t>-</t>
        </is>
      </c>
      <c r="F328" s="81" t="inlineStr">
        <is>
          <t>-</t>
        </is>
      </c>
      <c r="G328" s="81" t="inlineStr">
        <is>
          <t>-</t>
        </is>
      </c>
      <c r="H328" s="81" t="inlineStr">
        <is>
          <t>-</t>
        </is>
      </c>
      <c r="I328" s="94" t="inlineStr">
        <is>
          <t>-</t>
        </is>
      </c>
      <c r="J328" s="94" t="inlineStr">
        <is>
          <t>-</t>
        </is>
      </c>
      <c r="K328" s="94" t="inlineStr">
        <is>
          <t>-</t>
        </is>
      </c>
    </row>
    <row r="329">
      <c r="B329" s="24" t="inlineStr">
        <is>
          <t>Stage 2</t>
        </is>
      </c>
      <c r="C329" s="68" t="inlineStr">
        <is>
          <t>-</t>
        </is>
      </c>
      <c r="D329" s="81" t="inlineStr">
        <is>
          <t>-</t>
        </is>
      </c>
      <c r="E329" s="81" t="inlineStr">
        <is>
          <t>-</t>
        </is>
      </c>
      <c r="F329" s="81" t="inlineStr">
        <is>
          <t>-</t>
        </is>
      </c>
      <c r="G329" s="81" t="inlineStr">
        <is>
          <t>-</t>
        </is>
      </c>
      <c r="H329" s="81" t="inlineStr">
        <is>
          <t>-</t>
        </is>
      </c>
      <c r="I329" s="94" t="inlineStr">
        <is>
          <t>-</t>
        </is>
      </c>
      <c r="J329" s="94" t="inlineStr">
        <is>
          <t>-</t>
        </is>
      </c>
      <c r="K329" s="94" t="inlineStr">
        <is>
          <t>-</t>
        </is>
      </c>
    </row>
    <row r="330">
      <c r="B330" s="24" t="inlineStr">
        <is>
          <t>Stage 3</t>
        </is>
      </c>
      <c r="C330" s="68" t="inlineStr">
        <is>
          <t>-</t>
        </is>
      </c>
      <c r="D330" s="81" t="inlineStr">
        <is>
          <t>-</t>
        </is>
      </c>
      <c r="E330" s="81" t="inlineStr">
        <is>
          <t>-</t>
        </is>
      </c>
      <c r="F330" s="81" t="inlineStr">
        <is>
          <t>-</t>
        </is>
      </c>
      <c r="G330" s="81" t="inlineStr">
        <is>
          <t>-</t>
        </is>
      </c>
      <c r="H330" s="81" t="inlineStr">
        <is>
          <t>-</t>
        </is>
      </c>
      <c r="I330" s="94" t="inlineStr">
        <is>
          <t>-</t>
        </is>
      </c>
      <c r="J330" s="94" t="inlineStr">
        <is>
          <t>-</t>
        </is>
      </c>
      <c r="K330" s="94" t="inlineStr">
        <is>
          <t>-</t>
        </is>
      </c>
    </row>
    <row r="331">
      <c r="C331" s="79" t="n"/>
      <c r="D331" s="79" t="n"/>
      <c r="E331" s="79" t="n"/>
      <c r="F331" s="79" t="n"/>
      <c r="G331" s="79" t="n"/>
      <c r="H331" s="79" t="n"/>
      <c r="I331" s="40" t="n"/>
      <c r="J331" s="40" t="n"/>
      <c r="K331" s="40" t="n"/>
    </row>
    <row r="332">
      <c r="B332" s="37" t="n"/>
      <c r="C332" s="79" t="n"/>
      <c r="D332" s="79" t="n"/>
      <c r="E332" s="79" t="n"/>
      <c r="F332" s="79" t="n"/>
      <c r="G332" s="79" t="n"/>
      <c r="H332" s="79" t="n"/>
      <c r="I332" s="40" t="n"/>
      <c r="J332" s="40" t="n"/>
      <c r="K332" s="40" t="n"/>
    </row>
    <row r="333">
      <c r="B333" s="37" t="inlineStr">
        <is>
          <t>Increase in Stage 3 gross loans</t>
        </is>
      </c>
      <c r="C333" s="79" t="inlineStr">
        <is>
          <t>-</t>
        </is>
      </c>
      <c r="D333" s="79" t="inlineStr">
        <is>
          <t>-</t>
        </is>
      </c>
      <c r="E333" s="79" t="inlineStr">
        <is>
          <t>-</t>
        </is>
      </c>
      <c r="F333" s="79" t="inlineStr">
        <is>
          <t>-</t>
        </is>
      </c>
      <c r="G333" s="79" t="inlineStr">
        <is>
          <t>-</t>
        </is>
      </c>
      <c r="H333" s="79" t="inlineStr">
        <is>
          <t>-</t>
        </is>
      </c>
      <c r="I333" s="79" t="inlineStr">
        <is>
          <t>-</t>
        </is>
      </c>
      <c r="J333" s="79" t="inlineStr">
        <is>
          <t>-</t>
        </is>
      </c>
      <c r="K333" s="79" t="inlineStr">
        <is>
          <t>-</t>
        </is>
      </c>
    </row>
    <row r="334">
      <c r="B334" s="37" t="inlineStr">
        <is>
          <t>Increase as a % of previous year's stage 2 gross loans</t>
        </is>
      </c>
      <c r="C334" s="79" t="inlineStr">
        <is>
          <t>-</t>
        </is>
      </c>
      <c r="D334" s="81" t="inlineStr">
        <is>
          <t>-</t>
        </is>
      </c>
      <c r="E334" s="81" t="inlineStr">
        <is>
          <t>-</t>
        </is>
      </c>
      <c r="F334" s="81" t="inlineStr">
        <is>
          <t>-</t>
        </is>
      </c>
      <c r="G334" s="81" t="inlineStr">
        <is>
          <t>-</t>
        </is>
      </c>
      <c r="H334" s="81" t="inlineStr">
        <is>
          <t>-</t>
        </is>
      </c>
      <c r="I334" s="81" t="inlineStr">
        <is>
          <t>-</t>
        </is>
      </c>
      <c r="J334" s="81" t="inlineStr">
        <is>
          <t>-</t>
        </is>
      </c>
      <c r="K334" s="81" t="inlineStr">
        <is>
          <t>-</t>
        </is>
      </c>
    </row>
    <row r="335">
      <c r="B335" s="37" t="inlineStr">
        <is>
          <t>% of stage 3 loans to total Gross loans</t>
        </is>
      </c>
      <c r="C335" s="79" t="inlineStr">
        <is>
          <t>-</t>
        </is>
      </c>
      <c r="D335" s="81" t="inlineStr">
        <is>
          <t>-</t>
        </is>
      </c>
      <c r="E335" s="81" t="inlineStr">
        <is>
          <t>-</t>
        </is>
      </c>
      <c r="F335" s="81" t="inlineStr">
        <is>
          <t>-</t>
        </is>
      </c>
      <c r="G335" s="81" t="inlineStr">
        <is>
          <t>-</t>
        </is>
      </c>
      <c r="H335" s="81" t="inlineStr">
        <is>
          <t>-</t>
        </is>
      </c>
      <c r="I335" s="81" t="inlineStr">
        <is>
          <t>-</t>
        </is>
      </c>
      <c r="J335" s="81" t="inlineStr">
        <is>
          <t>-</t>
        </is>
      </c>
      <c r="K335" s="81" t="inlineStr">
        <is>
          <t>-</t>
        </is>
      </c>
    </row>
    <row r="336">
      <c r="B336" s="37" t="n"/>
      <c r="C336" s="79" t="n"/>
      <c r="D336" s="79" t="n"/>
      <c r="E336" s="79" t="n"/>
      <c r="F336" s="79" t="n"/>
      <c r="G336" s="79" t="n"/>
      <c r="H336" s="79" t="n"/>
      <c r="I336" s="40" t="n"/>
      <c r="J336" s="40" t="n"/>
      <c r="K336" s="40" t="n"/>
    </row>
    <row r="337">
      <c r="B337" s="37" t="inlineStr">
        <is>
          <t>Impairments provision / Gross loans</t>
        </is>
      </c>
      <c r="C337" s="81" t="inlineStr">
        <is>
          <t>-</t>
        </is>
      </c>
      <c r="D337" s="81" t="inlineStr">
        <is>
          <t>-</t>
        </is>
      </c>
      <c r="E337" s="81" t="inlineStr">
        <is>
          <t>-</t>
        </is>
      </c>
      <c r="F337" s="81" t="inlineStr">
        <is>
          <t>-</t>
        </is>
      </c>
      <c r="G337" s="81" t="inlineStr">
        <is>
          <t>-</t>
        </is>
      </c>
      <c r="H337" s="81" t="inlineStr">
        <is>
          <t>-</t>
        </is>
      </c>
      <c r="I337" s="81" t="inlineStr">
        <is>
          <t>-</t>
        </is>
      </c>
      <c r="J337" s="81" t="inlineStr">
        <is>
          <t>-</t>
        </is>
      </c>
      <c r="K337" s="81" t="inlineStr">
        <is>
          <t>-</t>
        </is>
      </c>
    </row>
    <row r="338">
      <c r="B338" s="37" t="n"/>
      <c r="C338" s="79" t="n"/>
      <c r="D338" s="79" t="n"/>
      <c r="E338" s="79" t="n"/>
      <c r="F338" s="79" t="n"/>
      <c r="G338" s="79" t="n"/>
      <c r="H338" s="79" t="n"/>
      <c r="I338" s="40" t="n"/>
      <c r="J338" s="40" t="n"/>
      <c r="K338" s="40" t="n"/>
    </row>
    <row r="339" customFormat="1" s="7">
      <c r="C339" s="62" t="n"/>
      <c r="D339" s="62" t="n"/>
      <c r="E339" s="62" t="n"/>
      <c r="F339" s="62" t="n"/>
      <c r="G339" s="62" t="n"/>
      <c r="H339" s="62" t="n"/>
      <c r="I339" s="63" t="n"/>
      <c r="J339" s="63" t="n"/>
      <c r="K339" s="63" t="n"/>
    </row>
    <row r="340">
      <c r="C340" s="79" t="n"/>
      <c r="D340" s="79" t="n"/>
      <c r="E340" s="79" t="n"/>
      <c r="F340" s="79" t="n"/>
      <c r="G340" s="79" t="n"/>
      <c r="H340" s="79" t="n"/>
      <c r="I340" s="40" t="n"/>
      <c r="J340" s="40" t="n"/>
      <c r="K340" s="40" t="n"/>
    </row>
    <row r="341">
      <c r="B341" t="inlineStr">
        <is>
          <t>Financial assets at amortised cost – debt and other financial instruments</t>
        </is>
      </c>
      <c r="C341" s="31" t="n">
        <v>156598</v>
      </c>
      <c r="D341" s="31" t="n">
        <v>89274113</v>
      </c>
      <c r="E341" s="31" t="n">
        <v>107059021</v>
      </c>
      <c r="F341" s="31" t="n">
        <v>182.14</v>
      </c>
      <c r="G341" s="31" t="n">
        <v>250</v>
      </c>
      <c r="H341" s="31" t="n">
        <v>725935929</v>
      </c>
      <c r="I341" s="79" t="n">
        <v>685155537</v>
      </c>
      <c r="J341" s="79" t="n">
        <v>667709691</v>
      </c>
      <c r="K341" s="79" t="n">
        <v>731263697</v>
      </c>
    </row>
    <row r="342">
      <c r="C342" s="79" t="n"/>
      <c r="D342" s="79" t="n"/>
      <c r="E342" s="79" t="n"/>
      <c r="F342" s="79" t="n"/>
      <c r="G342" s="79" t="n"/>
      <c r="H342" s="79" t="n"/>
      <c r="I342" s="40" t="n"/>
      <c r="J342" s="40" t="n"/>
      <c r="K342" s="40" t="n"/>
    </row>
    <row r="343">
      <c r="B343" s="40" t="inlineStr">
        <is>
          <t>Government Securities – Sri Lanka</t>
        </is>
      </c>
      <c r="C343" s="86" t="inlineStr">
        <is>
          <t>-</t>
        </is>
      </c>
      <c r="D343" s="86" t="inlineStr">
        <is>
          <t>-</t>
        </is>
      </c>
      <c r="E343" s="74" t="inlineStr">
        <is>
          <t>-</t>
        </is>
      </c>
      <c r="F343" s="86" t="inlineStr">
        <is>
          <t>-</t>
        </is>
      </c>
      <c r="G343" s="86" t="inlineStr">
        <is>
          <t>-</t>
        </is>
      </c>
      <c r="H343" s="86" t="inlineStr">
        <is>
          <t>-</t>
        </is>
      </c>
      <c r="I343" s="58" t="inlineStr">
        <is>
          <t>-</t>
        </is>
      </c>
      <c r="J343" s="58" t="inlineStr">
        <is>
          <t>-</t>
        </is>
      </c>
      <c r="K343" s="58" t="inlineStr">
        <is>
          <t>-</t>
        </is>
      </c>
    </row>
    <row r="344">
      <c r="B344" s="39" t="inlineStr">
        <is>
          <t>Treasury Bonds (*)</t>
        </is>
      </c>
      <c r="C344" s="31" t="inlineStr">
        <is>
          <t>-</t>
        </is>
      </c>
      <c r="D344" s="31" t="inlineStr">
        <is>
          <t>-</t>
        </is>
      </c>
      <c r="E344" s="75" t="inlineStr">
        <is>
          <t>-</t>
        </is>
      </c>
      <c r="F344" s="31" t="inlineStr">
        <is>
          <t>-</t>
        </is>
      </c>
      <c r="G344" s="31" t="inlineStr">
        <is>
          <t>-</t>
        </is>
      </c>
      <c r="H344" s="31" t="inlineStr">
        <is>
          <t>-</t>
        </is>
      </c>
      <c r="I344" s="40" t="inlineStr">
        <is>
          <t>-</t>
        </is>
      </c>
      <c r="J344" s="40" t="inlineStr">
        <is>
          <t>-</t>
        </is>
      </c>
      <c r="K344" s="40" t="inlineStr">
        <is>
          <t>-</t>
        </is>
      </c>
    </row>
    <row r="345">
      <c r="B345" s="39" t="inlineStr">
        <is>
          <t>Sri Lanka Sovereign Bonds (SLSB) (*)</t>
        </is>
      </c>
      <c r="C345" s="31" t="inlineStr">
        <is>
          <t>-</t>
        </is>
      </c>
      <c r="D345" s="31" t="inlineStr">
        <is>
          <t>-</t>
        </is>
      </c>
      <c r="E345" s="75" t="inlineStr">
        <is>
          <t>-</t>
        </is>
      </c>
      <c r="F345" s="31" t="inlineStr">
        <is>
          <t>-</t>
        </is>
      </c>
      <c r="G345" s="31" t="inlineStr">
        <is>
          <t>-</t>
        </is>
      </c>
      <c r="H345" s="31" t="inlineStr">
        <is>
          <t>-</t>
        </is>
      </c>
      <c r="I345" s="40" t="inlineStr">
        <is>
          <t>-</t>
        </is>
      </c>
      <c r="J345" s="40" t="inlineStr">
        <is>
          <t>-</t>
        </is>
      </c>
      <c r="K345" s="40" t="inlineStr">
        <is>
          <t>-</t>
        </is>
      </c>
    </row>
    <row r="346">
      <c r="B346" s="41" t="inlineStr">
        <is>
          <t>Sri Lanka Development Bonds (SLDB) (*)</t>
        </is>
      </c>
      <c r="C346" s="31" t="inlineStr">
        <is>
          <t>-</t>
        </is>
      </c>
      <c r="D346" s="79" t="inlineStr">
        <is>
          <t>-</t>
        </is>
      </c>
      <c r="E346" s="70" t="inlineStr">
        <is>
          <t>-</t>
        </is>
      </c>
      <c r="F346" s="79" t="inlineStr">
        <is>
          <t>-</t>
        </is>
      </c>
      <c r="G346" s="31" t="inlineStr">
        <is>
          <t>-</t>
        </is>
      </c>
      <c r="H346" s="31" t="inlineStr">
        <is>
          <t>-</t>
        </is>
      </c>
      <c r="I346" s="40" t="inlineStr">
        <is>
          <t>-</t>
        </is>
      </c>
      <c r="J346" s="40" t="inlineStr">
        <is>
          <t>-</t>
        </is>
      </c>
      <c r="K346" s="40" t="inlineStr">
        <is>
          <t>-</t>
        </is>
      </c>
    </row>
    <row r="347">
      <c r="B347" s="40" t="inlineStr">
        <is>
          <t>Government Securities – Bangladesh</t>
        </is>
      </c>
      <c r="C347" s="86" t="inlineStr">
        <is>
          <t>-</t>
        </is>
      </c>
      <c r="D347" s="86" t="inlineStr">
        <is>
          <t>-</t>
        </is>
      </c>
      <c r="E347" s="74" t="inlineStr">
        <is>
          <t>-</t>
        </is>
      </c>
      <c r="F347" s="86" t="inlineStr">
        <is>
          <t>-</t>
        </is>
      </c>
      <c r="G347" s="86" t="inlineStr">
        <is>
          <t>-</t>
        </is>
      </c>
      <c r="H347" s="86" t="inlineStr">
        <is>
          <t>-</t>
        </is>
      </c>
      <c r="I347" s="58" t="inlineStr">
        <is>
          <t>-</t>
        </is>
      </c>
      <c r="J347" s="58" t="inlineStr">
        <is>
          <t>-</t>
        </is>
      </c>
      <c r="K347" s="58" t="inlineStr">
        <is>
          <t>-</t>
        </is>
      </c>
    </row>
    <row r="348">
      <c r="B348" s="39" t="inlineStr">
        <is>
          <t>Treasury Bills</t>
        </is>
      </c>
      <c r="C348" s="31" t="inlineStr">
        <is>
          <t>-</t>
        </is>
      </c>
      <c r="D348" s="31" t="inlineStr">
        <is>
          <t>-</t>
        </is>
      </c>
      <c r="E348" s="75" t="inlineStr">
        <is>
          <t>-</t>
        </is>
      </c>
      <c r="F348" s="79" t="inlineStr">
        <is>
          <t>-</t>
        </is>
      </c>
      <c r="G348" s="31" t="inlineStr">
        <is>
          <t>-</t>
        </is>
      </c>
      <c r="H348" s="31" t="inlineStr">
        <is>
          <t>-</t>
        </is>
      </c>
      <c r="I348" s="40" t="inlineStr">
        <is>
          <t>-</t>
        </is>
      </c>
      <c r="J348" s="40" t="inlineStr">
        <is>
          <t>-</t>
        </is>
      </c>
      <c r="K348" s="40" t="inlineStr">
        <is>
          <t>-</t>
        </is>
      </c>
    </row>
    <row r="349">
      <c r="B349" s="39" t="inlineStr">
        <is>
          <t>Treasury Bonds</t>
        </is>
      </c>
      <c r="C349" s="31" t="inlineStr">
        <is>
          <t>-</t>
        </is>
      </c>
      <c r="D349" s="31" t="inlineStr">
        <is>
          <t>-</t>
        </is>
      </c>
      <c r="E349" s="75" t="inlineStr">
        <is>
          <t>-</t>
        </is>
      </c>
      <c r="F349" s="31" t="inlineStr">
        <is>
          <t>-</t>
        </is>
      </c>
      <c r="G349" s="31" t="inlineStr">
        <is>
          <t>-</t>
        </is>
      </c>
      <c r="H349" s="31" t="inlineStr">
        <is>
          <t>-</t>
        </is>
      </c>
      <c r="I349" s="40" t="inlineStr">
        <is>
          <t>-</t>
        </is>
      </c>
      <c r="J349" s="40" t="inlineStr">
        <is>
          <t>-</t>
        </is>
      </c>
      <c r="K349" s="40" t="inlineStr">
        <is>
          <t>-</t>
        </is>
      </c>
    </row>
    <row r="350">
      <c r="B350" t="inlineStr">
        <is>
          <t>Government Securities – Maldives</t>
        </is>
      </c>
      <c r="C350" s="86" t="inlineStr">
        <is>
          <t>-</t>
        </is>
      </c>
      <c r="D350" s="86" t="inlineStr">
        <is>
          <t>-</t>
        </is>
      </c>
      <c r="E350" s="74" t="inlineStr">
        <is>
          <t>-</t>
        </is>
      </c>
      <c r="F350" s="86" t="inlineStr">
        <is>
          <t>-</t>
        </is>
      </c>
      <c r="G350" s="86" t="inlineStr">
        <is>
          <t>-</t>
        </is>
      </c>
      <c r="H350" s="86" t="inlineStr">
        <is>
          <t>-</t>
        </is>
      </c>
      <c r="I350" s="58" t="inlineStr">
        <is>
          <t>-</t>
        </is>
      </c>
      <c r="J350" s="58" t="inlineStr">
        <is>
          <t>-</t>
        </is>
      </c>
      <c r="K350" s="58" t="inlineStr">
        <is>
          <t>-</t>
        </is>
      </c>
    </row>
    <row r="351">
      <c r="B351" s="39" t="inlineStr">
        <is>
          <t>Treasury Bills</t>
        </is>
      </c>
      <c r="C351" s="31" t="inlineStr">
        <is>
          <t>-</t>
        </is>
      </c>
      <c r="D351" s="31" t="inlineStr">
        <is>
          <t>-</t>
        </is>
      </c>
      <c r="E351" s="75" t="inlineStr">
        <is>
          <t>-</t>
        </is>
      </c>
      <c r="F351" s="31" t="inlineStr">
        <is>
          <t>-</t>
        </is>
      </c>
      <c r="G351" s="31" t="inlineStr">
        <is>
          <t>-</t>
        </is>
      </c>
      <c r="H351" s="31" t="inlineStr">
        <is>
          <t>-</t>
        </is>
      </c>
      <c r="I351" s="40" t="inlineStr">
        <is>
          <t>-</t>
        </is>
      </c>
      <c r="J351" s="40" t="inlineStr">
        <is>
          <t>-</t>
        </is>
      </c>
      <c r="K351" s="40" t="inlineStr">
        <is>
          <t>-</t>
        </is>
      </c>
    </row>
    <row r="352">
      <c r="B352" t="inlineStr">
        <is>
          <t>Other instruments</t>
        </is>
      </c>
      <c r="C352" s="86" t="inlineStr">
        <is>
          <t>-</t>
        </is>
      </c>
      <c r="D352" s="86" t="inlineStr">
        <is>
          <t>-</t>
        </is>
      </c>
      <c r="E352" s="74" t="n">
        <v>107059021</v>
      </c>
      <c r="F352" s="86" t="inlineStr">
        <is>
          <t>-</t>
        </is>
      </c>
      <c r="G352" s="86" t="inlineStr">
        <is>
          <t>-</t>
        </is>
      </c>
      <c r="H352" s="86" t="inlineStr">
        <is>
          <t>-</t>
        </is>
      </c>
      <c r="I352" s="58" t="inlineStr">
        <is>
          <t>-</t>
        </is>
      </c>
      <c r="J352" s="58" t="inlineStr">
        <is>
          <t>-</t>
        </is>
      </c>
      <c r="K352" s="58" t="inlineStr">
        <is>
          <t>-</t>
        </is>
      </c>
    </row>
    <row r="353">
      <c r="B353" s="39" t="inlineStr">
        <is>
          <t>Debentures</t>
        </is>
      </c>
      <c r="C353" s="31" t="inlineStr">
        <is>
          <t>-</t>
        </is>
      </c>
      <c r="D353" s="31" t="inlineStr">
        <is>
          <t>-</t>
        </is>
      </c>
      <c r="E353" s="75" t="inlineStr">
        <is>
          <t>-</t>
        </is>
      </c>
      <c r="F353" s="31" t="inlineStr">
        <is>
          <t>-</t>
        </is>
      </c>
      <c r="G353" s="31" t="inlineStr">
        <is>
          <t>-</t>
        </is>
      </c>
      <c r="H353" s="31" t="inlineStr">
        <is>
          <t>-</t>
        </is>
      </c>
      <c r="I353" s="40" t="inlineStr">
        <is>
          <t>-</t>
        </is>
      </c>
      <c r="J353" s="40" t="inlineStr">
        <is>
          <t>-</t>
        </is>
      </c>
      <c r="K353" s="40" t="inlineStr">
        <is>
          <t>-</t>
        </is>
      </c>
    </row>
    <row r="354">
      <c r="B354" s="39" t="inlineStr">
        <is>
          <t>Trust certificates</t>
        </is>
      </c>
      <c r="C354" s="31" t="inlineStr">
        <is>
          <t>-</t>
        </is>
      </c>
      <c r="D354" s="31" t="inlineStr">
        <is>
          <t>-</t>
        </is>
      </c>
      <c r="E354" s="75" t="inlineStr">
        <is>
          <t>-</t>
        </is>
      </c>
      <c r="F354" s="31" t="inlineStr">
        <is>
          <t>-</t>
        </is>
      </c>
      <c r="G354" s="31" t="inlineStr">
        <is>
          <t>-</t>
        </is>
      </c>
      <c r="H354" s="31" t="inlineStr">
        <is>
          <t>-</t>
        </is>
      </c>
      <c r="I354" s="40" t="inlineStr">
        <is>
          <t>-</t>
        </is>
      </c>
      <c r="J354" s="40" t="inlineStr">
        <is>
          <t>-</t>
        </is>
      </c>
      <c r="K354" s="40" t="inlineStr">
        <is>
          <t>-</t>
        </is>
      </c>
    </row>
    <row r="355">
      <c r="B355" s="39" t="inlineStr">
        <is>
          <t>Corporate investments in Bangladesh</t>
        </is>
      </c>
      <c r="C355" s="31" t="inlineStr">
        <is>
          <t>-</t>
        </is>
      </c>
      <c r="D355" s="31" t="inlineStr">
        <is>
          <t>-</t>
        </is>
      </c>
      <c r="E355" s="75" t="inlineStr">
        <is>
          <t>-</t>
        </is>
      </c>
      <c r="F355" s="31" t="inlineStr">
        <is>
          <t>-</t>
        </is>
      </c>
      <c r="G355" s="31" t="inlineStr">
        <is>
          <t>-</t>
        </is>
      </c>
      <c r="H355" s="31" t="inlineStr">
        <is>
          <t>-</t>
        </is>
      </c>
      <c r="I355" s="40" t="inlineStr">
        <is>
          <t>-</t>
        </is>
      </c>
      <c r="J355" s="40" t="inlineStr">
        <is>
          <t>-</t>
        </is>
      </c>
      <c r="K355" s="70" t="inlineStr">
        <is>
          <t>-</t>
        </is>
      </c>
    </row>
    <row r="356">
      <c r="B356" s="37" t="inlineStr">
        <is>
          <t>Total gross</t>
        </is>
      </c>
      <c r="C356" s="47" t="inlineStr">
        <is>
          <t>-</t>
        </is>
      </c>
      <c r="D356" s="47" t="inlineStr">
        <is>
          <t>-</t>
        </is>
      </c>
      <c r="E356" s="47" t="inlineStr">
        <is>
          <t>-</t>
        </is>
      </c>
      <c r="F356" s="47" t="inlineStr">
        <is>
          <t>-</t>
        </is>
      </c>
      <c r="G356" s="47" t="inlineStr">
        <is>
          <t>-</t>
        </is>
      </c>
      <c r="H356" s="47" t="inlineStr">
        <is>
          <t>-</t>
        </is>
      </c>
      <c r="I356" s="47" t="inlineStr">
        <is>
          <t>-</t>
        </is>
      </c>
      <c r="J356" s="47" t="inlineStr">
        <is>
          <t>-</t>
        </is>
      </c>
      <c r="K356" s="47" t="inlineStr">
        <is>
          <t>-</t>
        </is>
      </c>
    </row>
    <row r="357">
      <c r="B357" t="inlineStr">
        <is>
          <t>Less: Provision for impairment</t>
        </is>
      </c>
      <c r="C357" s="79" t="inlineStr">
        <is>
          <t>-</t>
        </is>
      </c>
      <c r="D357" s="31" t="inlineStr">
        <is>
          <t>-</t>
        </is>
      </c>
      <c r="E357" s="31" t="inlineStr">
        <is>
          <t>-</t>
        </is>
      </c>
      <c r="F357" s="31" t="inlineStr">
        <is>
          <t>-</t>
        </is>
      </c>
      <c r="G357" s="31" t="inlineStr">
        <is>
          <t>-</t>
        </is>
      </c>
      <c r="H357" s="31" t="inlineStr">
        <is>
          <t>-</t>
        </is>
      </c>
      <c r="I357" s="57" t="inlineStr">
        <is>
          <t>-</t>
        </is>
      </c>
      <c r="J357" s="57" t="inlineStr">
        <is>
          <t>-</t>
        </is>
      </c>
      <c r="K357" s="57" t="inlineStr">
        <is>
          <t>-</t>
        </is>
      </c>
    </row>
    <row r="358">
      <c r="B358" t="inlineStr">
        <is>
          <t>Financial assets at amortised cost – debt and other financial instruments</t>
        </is>
      </c>
      <c r="C358" s="47" t="n">
        <v>156598</v>
      </c>
      <c r="D358" s="47" t="n">
        <v>89274113</v>
      </c>
      <c r="E358" s="47" t="n">
        <v>107059021</v>
      </c>
      <c r="F358" s="47" t="n">
        <v>182.14</v>
      </c>
      <c r="G358" s="47" t="n">
        <v>250</v>
      </c>
      <c r="H358" s="47" t="n">
        <v>725935929</v>
      </c>
      <c r="I358" s="47" t="n">
        <v>685155537</v>
      </c>
      <c r="J358" s="47" t="n">
        <v>667709691</v>
      </c>
      <c r="K358" s="47" t="n">
        <v>731263697</v>
      </c>
    </row>
    <row r="359">
      <c r="C359" s="79" t="n"/>
      <c r="D359" s="79" t="n"/>
      <c r="E359" s="79" t="n"/>
      <c r="F359" s="79" t="n"/>
      <c r="G359" s="79" t="n"/>
      <c r="H359" s="79" t="n"/>
      <c r="I359" s="40" t="n"/>
      <c r="J359" s="40" t="n"/>
      <c r="K359" s="40" t="n"/>
    </row>
    <row r="360" customFormat="1" s="33">
      <c r="B360" s="33" t="inlineStr">
        <is>
          <t>Check</t>
        </is>
      </c>
      <c r="C360" s="79" t="n">
        <v>-857269981</v>
      </c>
      <c r="D360" s="79" t="n">
        <v>-994370875</v>
      </c>
      <c r="E360" s="79" t="n">
        <v>-1068982587</v>
      </c>
      <c r="F360" s="79" t="n">
        <v>-1286616399</v>
      </c>
      <c r="G360" s="79" t="n">
        <v>0</v>
      </c>
      <c r="H360" s="79" t="n">
        <v>0</v>
      </c>
      <c r="I360" s="40" t="inlineStr">
        <is>
          <t>-</t>
        </is>
      </c>
      <c r="J360" s="40" t="inlineStr">
        <is>
          <t>-</t>
        </is>
      </c>
      <c r="K360" s="40" t="inlineStr">
        <is>
          <t>-</t>
        </is>
      </c>
    </row>
    <row r="361">
      <c r="C361" s="79" t="n"/>
      <c r="D361" s="79" t="n"/>
      <c r="E361" s="79" t="n"/>
      <c r="F361" s="79" t="n"/>
      <c r="G361" s="79" t="n"/>
      <c r="H361" s="79" t="n"/>
      <c r="I361" s="57" t="n"/>
      <c r="J361" s="40" t="n"/>
      <c r="K361" s="40" t="n"/>
    </row>
    <row r="362">
      <c r="B362" t="inlineStr">
        <is>
          <t>Growth YoY</t>
        </is>
      </c>
      <c r="C362" s="79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7" t="inlineStr">
        <is>
          <t>-</t>
        </is>
      </c>
      <c r="J362" s="40" t="inlineStr">
        <is>
          <t>-</t>
        </is>
      </c>
      <c r="K362" s="40" t="inlineStr">
        <is>
          <t>-</t>
        </is>
      </c>
    </row>
    <row r="363">
      <c r="B363" t="inlineStr">
        <is>
          <t>Gvt Sec - SL</t>
        </is>
      </c>
      <c r="C363" s="79" t="inlineStr">
        <is>
          <t>-</t>
        </is>
      </c>
      <c r="D363" s="68" t="inlineStr">
        <is>
          <t>-</t>
        </is>
      </c>
      <c r="E363" s="68" t="inlineStr">
        <is>
          <t>-</t>
        </is>
      </c>
      <c r="F363" s="68" t="inlineStr">
        <is>
          <t>-</t>
        </is>
      </c>
      <c r="G363" s="68" t="inlineStr">
        <is>
          <t>-</t>
        </is>
      </c>
      <c r="H363" s="68" t="inlineStr">
        <is>
          <t>-</t>
        </is>
      </c>
      <c r="I363" s="68" t="inlineStr">
        <is>
          <t>-</t>
        </is>
      </c>
      <c r="J363" s="68" t="inlineStr">
        <is>
          <t>-</t>
        </is>
      </c>
      <c r="K363" s="68" t="inlineStr">
        <is>
          <t>-</t>
        </is>
      </c>
    </row>
    <row r="364">
      <c r="B364" t="inlineStr">
        <is>
          <t>Gvt Sec - Bangladesh</t>
        </is>
      </c>
      <c r="C364" s="79" t="inlineStr">
        <is>
          <t>-</t>
        </is>
      </c>
      <c r="D364" s="68" t="inlineStr">
        <is>
          <t>-</t>
        </is>
      </c>
      <c r="E364" s="68" t="inlineStr">
        <is>
          <t>-</t>
        </is>
      </c>
      <c r="F364" s="68" t="inlineStr">
        <is>
          <t>-</t>
        </is>
      </c>
      <c r="G364" s="68" t="inlineStr">
        <is>
          <t>-</t>
        </is>
      </c>
      <c r="H364" s="68" t="inlineStr">
        <is>
          <t>-</t>
        </is>
      </c>
      <c r="I364" s="68" t="inlineStr">
        <is>
          <t>-</t>
        </is>
      </c>
      <c r="J364" s="68" t="inlineStr">
        <is>
          <t>-</t>
        </is>
      </c>
      <c r="K364" s="68" t="inlineStr">
        <is>
          <t>-</t>
        </is>
      </c>
    </row>
    <row r="365">
      <c r="B365" t="inlineStr">
        <is>
          <t>Gvt Sec - Maldives</t>
        </is>
      </c>
      <c r="C365" s="79" t="inlineStr">
        <is>
          <t>-</t>
        </is>
      </c>
      <c r="D365" s="68" t="inlineStr">
        <is>
          <t>-</t>
        </is>
      </c>
      <c r="E365" s="68" t="inlineStr">
        <is>
          <t>-</t>
        </is>
      </c>
      <c r="F365" s="68" t="inlineStr">
        <is>
          <t>-</t>
        </is>
      </c>
      <c r="G365" s="68" t="inlineStr">
        <is>
          <t>-</t>
        </is>
      </c>
      <c r="H365" s="68" t="inlineStr">
        <is>
          <t>-</t>
        </is>
      </c>
      <c r="I365" s="68" t="inlineStr">
        <is>
          <t>-</t>
        </is>
      </c>
      <c r="J365" s="68" t="inlineStr">
        <is>
          <t>-</t>
        </is>
      </c>
      <c r="K365" s="68" t="inlineStr">
        <is>
          <t>-</t>
        </is>
      </c>
    </row>
    <row r="366">
      <c r="B366" t="inlineStr">
        <is>
          <t>Other instruments</t>
        </is>
      </c>
      <c r="C366" s="79" t="inlineStr">
        <is>
          <t>-</t>
        </is>
      </c>
      <c r="D366" s="68" t="inlineStr">
        <is>
          <t>-</t>
        </is>
      </c>
      <c r="E366" s="68" t="n">
        <v>107059021</v>
      </c>
      <c r="F366" s="68" t="inlineStr">
        <is>
          <t>-</t>
        </is>
      </c>
      <c r="G366" s="68" t="inlineStr">
        <is>
          <t>-</t>
        </is>
      </c>
      <c r="H366" s="68" t="inlineStr">
        <is>
          <t>-</t>
        </is>
      </c>
      <c r="I366" s="68" t="inlineStr">
        <is>
          <t>-</t>
        </is>
      </c>
      <c r="J366" s="68" t="inlineStr">
        <is>
          <t>-</t>
        </is>
      </c>
      <c r="K366" s="68" t="inlineStr">
        <is>
          <t>-</t>
        </is>
      </c>
    </row>
    <row r="367">
      <c r="C367" s="79" t="n"/>
      <c r="D367" s="79" t="n"/>
      <c r="E367" s="79" t="n"/>
      <c r="F367" s="79" t="n"/>
      <c r="G367" s="79" t="n"/>
      <c r="H367" s="79" t="n"/>
      <c r="I367" s="57" t="n"/>
      <c r="J367" s="40" t="n"/>
      <c r="K367" s="40" t="n"/>
    </row>
    <row r="368">
      <c r="C368" s="79" t="n"/>
      <c r="D368" s="79" t="n"/>
      <c r="E368" s="79" t="n"/>
      <c r="F368" s="79" t="n"/>
      <c r="G368" s="79" t="n"/>
      <c r="H368" s="79" t="n"/>
      <c r="I368" s="40" t="n"/>
      <c r="J368" s="40" t="n"/>
      <c r="K368" s="40" t="n"/>
    </row>
    <row r="369">
      <c r="B369" t="inlineStr">
        <is>
          <t>Impairments</t>
        </is>
      </c>
      <c r="C369" s="79" t="inlineStr">
        <is>
          <t>-</t>
        </is>
      </c>
      <c r="D369" s="79" t="inlineStr">
        <is>
          <t>-</t>
        </is>
      </c>
      <c r="E369" s="79" t="inlineStr">
        <is>
          <t>-</t>
        </is>
      </c>
      <c r="F369" s="79" t="inlineStr">
        <is>
          <t>-</t>
        </is>
      </c>
      <c r="G369" s="79" t="inlineStr">
        <is>
          <t>-</t>
        </is>
      </c>
      <c r="H369" s="79" t="inlineStr">
        <is>
          <t>-</t>
        </is>
      </c>
      <c r="I369" s="40" t="inlineStr">
        <is>
          <t>-</t>
        </is>
      </c>
      <c r="J369" s="40" t="inlineStr">
        <is>
          <t>-</t>
        </is>
      </c>
      <c r="K369" s="40" t="inlineStr">
        <is>
          <t>-</t>
        </is>
      </c>
    </row>
    <row r="370">
      <c r="B370" t="inlineStr">
        <is>
          <t>Stage 1</t>
        </is>
      </c>
      <c r="C370" s="79" t="inlineStr">
        <is>
          <t>-</t>
        </is>
      </c>
      <c r="D370" s="79" t="inlineStr">
        <is>
          <t>-</t>
        </is>
      </c>
      <c r="E370" s="31" t="inlineStr">
        <is>
          <t>-</t>
        </is>
      </c>
      <c r="F370" s="31" t="inlineStr">
        <is>
          <t>-</t>
        </is>
      </c>
      <c r="G370" s="31" t="inlineStr">
        <is>
          <t>-</t>
        </is>
      </c>
      <c r="H370" s="31" t="inlineStr">
        <is>
          <t>-</t>
        </is>
      </c>
      <c r="I370" s="40" t="inlineStr">
        <is>
          <t>-</t>
        </is>
      </c>
      <c r="J370" s="40" t="inlineStr">
        <is>
          <t>-</t>
        </is>
      </c>
      <c r="K370" s="40" t="inlineStr">
        <is>
          <t>-</t>
        </is>
      </c>
    </row>
    <row r="371">
      <c r="B371" t="inlineStr">
        <is>
          <t>Stage 2</t>
        </is>
      </c>
      <c r="C371" s="79" t="inlineStr">
        <is>
          <t>-</t>
        </is>
      </c>
      <c r="D371" s="79" t="inlineStr">
        <is>
          <t>-</t>
        </is>
      </c>
      <c r="E371" s="31" t="inlineStr">
        <is>
          <t>-</t>
        </is>
      </c>
      <c r="F371" s="31" t="inlineStr">
        <is>
          <t>-</t>
        </is>
      </c>
      <c r="G371" s="31" t="inlineStr">
        <is>
          <t>-</t>
        </is>
      </c>
      <c r="H371" s="31" t="inlineStr">
        <is>
          <t>-</t>
        </is>
      </c>
      <c r="I371" s="40" t="inlineStr">
        <is>
          <t>-</t>
        </is>
      </c>
      <c r="J371" s="40" t="inlineStr">
        <is>
          <t>-</t>
        </is>
      </c>
      <c r="K371" s="40" t="inlineStr">
        <is>
          <t>-</t>
        </is>
      </c>
    </row>
    <row r="372">
      <c r="B372" t="inlineStr">
        <is>
          <t>Stage 3</t>
        </is>
      </c>
      <c r="C372" s="79" t="inlineStr">
        <is>
          <t>-</t>
        </is>
      </c>
      <c r="D372" s="79" t="inlineStr">
        <is>
          <t>-</t>
        </is>
      </c>
      <c r="E372" s="31" t="inlineStr">
        <is>
          <t>-</t>
        </is>
      </c>
      <c r="F372" s="31" t="inlineStr">
        <is>
          <t>-</t>
        </is>
      </c>
      <c r="G372" s="31" t="inlineStr">
        <is>
          <t>-</t>
        </is>
      </c>
      <c r="H372" s="31" t="inlineStr">
        <is>
          <t>-</t>
        </is>
      </c>
      <c r="I372" s="40" t="inlineStr">
        <is>
          <t>-</t>
        </is>
      </c>
      <c r="J372" s="40" t="inlineStr">
        <is>
          <t>-</t>
        </is>
      </c>
      <c r="K372" s="40" t="inlineStr">
        <is>
          <t>-</t>
        </is>
      </c>
    </row>
    <row r="373">
      <c r="C373" s="47">
        <f>SUM(C370:C372)</f>
        <v/>
      </c>
      <c r="D373" s="47">
        <f>SUM(D370:D372)</f>
        <v/>
      </c>
      <c r="E373" s="47">
        <f>SUM(E370:E372)</f>
        <v/>
      </c>
      <c r="F373" s="47">
        <f>SUM(F370:F372)</f>
        <v/>
      </c>
      <c r="G373" s="47">
        <f>SUM(G370:G372)</f>
        <v/>
      </c>
      <c r="H373" s="47">
        <f>SUM(H370:H372)</f>
        <v/>
      </c>
      <c r="I373" s="58">
        <f>I356*I375</f>
        <v/>
      </c>
      <c r="J373" s="58">
        <f>J356*J375</f>
        <v/>
      </c>
      <c r="K373" s="58">
        <f>K356*K375</f>
        <v/>
      </c>
    </row>
    <row r="374">
      <c r="C374" s="79" t="n"/>
      <c r="D374" s="79" t="n"/>
      <c r="E374" s="79" t="n"/>
      <c r="F374" s="79" t="n"/>
      <c r="G374" s="79" t="n"/>
      <c r="H374" s="79" t="n"/>
      <c r="I374" s="40" t="n"/>
      <c r="J374" s="40" t="n"/>
      <c r="K374" s="40" t="n"/>
    </row>
    <row r="375">
      <c r="B375" t="inlineStr">
        <is>
          <t>Impairments to total gross financial assets</t>
        </is>
      </c>
      <c r="C375" s="81" t="inlineStr">
        <is>
          <t>-</t>
        </is>
      </c>
      <c r="D375" s="81" t="inlineStr">
        <is>
          <t>-</t>
        </is>
      </c>
      <c r="E375" s="81" t="inlineStr">
        <is>
          <t>-</t>
        </is>
      </c>
      <c r="F375" s="81" t="inlineStr">
        <is>
          <t>-</t>
        </is>
      </c>
      <c r="G375" s="81" t="inlineStr">
        <is>
          <t>-</t>
        </is>
      </c>
      <c r="H375" s="81" t="inlineStr">
        <is>
          <t>-</t>
        </is>
      </c>
      <c r="I375" s="94" t="inlineStr">
        <is>
          <t>-</t>
        </is>
      </c>
      <c r="J375" s="94" t="inlineStr">
        <is>
          <t>-</t>
        </is>
      </c>
      <c r="K375" s="94" t="inlineStr">
        <is>
          <t>-</t>
        </is>
      </c>
    </row>
    <row r="376">
      <c r="C376" s="79" t="n"/>
      <c r="D376" s="79" t="n"/>
      <c r="E376" s="79" t="n"/>
      <c r="F376" s="79" t="n"/>
      <c r="G376" s="79" t="n"/>
      <c r="H376" s="79" t="n"/>
      <c r="I376" s="40" t="n"/>
      <c r="J376" s="40" t="n"/>
      <c r="K376" s="40" t="n"/>
    </row>
    <row r="377" customFormat="1" s="33">
      <c r="B377" s="33" t="inlineStr">
        <is>
          <t>Check</t>
        </is>
      </c>
      <c r="C377" s="79" t="n">
        <v>-857269981</v>
      </c>
      <c r="D377" s="79" t="n">
        <v>-994370875</v>
      </c>
      <c r="E377" s="79" t="n">
        <v>-1068982587</v>
      </c>
      <c r="F377" s="79" t="n">
        <v>-1286616399</v>
      </c>
      <c r="G377" s="79" t="n">
        <v>0</v>
      </c>
      <c r="H377" s="79" t="n">
        <v>0</v>
      </c>
      <c r="I377" s="40" t="inlineStr">
        <is>
          <t>-</t>
        </is>
      </c>
      <c r="J377" s="40" t="inlineStr">
        <is>
          <t>-</t>
        </is>
      </c>
      <c r="K377" s="40" t="inlineStr">
        <is>
          <t>-</t>
        </is>
      </c>
    </row>
    <row r="378">
      <c r="C378" s="79" t="n"/>
      <c r="D378" s="79" t="n"/>
      <c r="E378" s="79" t="n"/>
      <c r="F378" s="79" t="n"/>
      <c r="G378" s="79" t="n"/>
      <c r="H378" s="79" t="n"/>
      <c r="I378" s="40" t="n"/>
      <c r="J378" s="40" t="n"/>
      <c r="K378" s="40" t="n"/>
    </row>
    <row r="379">
      <c r="B379" t="inlineStr">
        <is>
          <t>Financail assets / total assets</t>
        </is>
      </c>
      <c r="C379" s="68" t="inlineStr">
        <is>
          <t>-</t>
        </is>
      </c>
      <c r="D379" s="68" t="n">
        <v>1319912237</v>
      </c>
      <c r="E379" s="68" t="n">
        <v>1048941366</v>
      </c>
      <c r="F379" s="68" t="n">
        <v>1736218021</v>
      </c>
      <c r="G379" s="68" t="n">
        <v>1983091144</v>
      </c>
      <c r="H379" s="68" t="n">
        <v>2425793952</v>
      </c>
      <c r="I379" s="68" t="n">
        <v>2655611675</v>
      </c>
      <c r="J379" s="68" t="n">
        <v>2789780828</v>
      </c>
      <c r="K379" s="68" t="n">
        <v>3378846406</v>
      </c>
    </row>
    <row r="380">
      <c r="B380" t="inlineStr">
        <is>
          <t>Financail assets / net loans and advances</t>
        </is>
      </c>
      <c r="C380" s="68" t="inlineStr">
        <is>
          <t>-</t>
        </is>
      </c>
      <c r="D380" s="68" t="inlineStr">
        <is>
          <t>-</t>
        </is>
      </c>
      <c r="E380" s="68" t="inlineStr">
        <is>
          <t>-</t>
        </is>
      </c>
      <c r="F380" s="68" t="inlineStr">
        <is>
          <t>-</t>
        </is>
      </c>
      <c r="G380" s="68" t="inlineStr">
        <is>
          <t>-</t>
        </is>
      </c>
      <c r="H380" s="68" t="inlineStr">
        <is>
          <t>-</t>
        </is>
      </c>
      <c r="I380" s="68" t="inlineStr">
        <is>
          <t>-</t>
        </is>
      </c>
      <c r="J380" s="68" t="inlineStr">
        <is>
          <t>-</t>
        </is>
      </c>
      <c r="K380" s="68" t="inlineStr">
        <is>
          <t>-</t>
        </is>
      </c>
    </row>
    <row r="381">
      <c r="C381" s="79" t="n"/>
      <c r="D381" s="79" t="n"/>
      <c r="E381" s="79" t="n"/>
      <c r="F381" s="79" t="n"/>
      <c r="G381" s="79" t="n"/>
      <c r="H381" s="79" t="n"/>
      <c r="I381" s="40" t="n"/>
      <c r="J381" s="40" t="n"/>
      <c r="K381" s="40" t="n"/>
    </row>
    <row r="382" customFormat="1" s="7">
      <c r="C382" s="62" t="n"/>
      <c r="D382" s="62" t="n"/>
      <c r="E382" s="62" t="n"/>
      <c r="F382" s="62" t="n"/>
      <c r="G382" s="62" t="n"/>
      <c r="H382" s="62" t="n"/>
      <c r="I382" s="63" t="n"/>
      <c r="J382" s="63" t="n"/>
      <c r="K382" s="63" t="n"/>
    </row>
    <row r="383">
      <c r="C383" s="79" t="n"/>
      <c r="D383" s="79" t="n"/>
      <c r="E383" s="79" t="n"/>
      <c r="F383" s="79" t="n"/>
      <c r="G383" s="79" t="n"/>
      <c r="H383" s="79" t="n"/>
      <c r="I383" s="40" t="n"/>
      <c r="J383" s="40" t="n"/>
      <c r="K383" s="40" t="n"/>
    </row>
    <row r="384">
      <c r="B384" t="inlineStr">
        <is>
          <t>Financial assets measured at fair value through other comprehensive income</t>
        </is>
      </c>
      <c r="C384" s="31" t="n">
        <v>15349974</v>
      </c>
      <c r="D384" s="31" t="n">
        <v>176760611</v>
      </c>
      <c r="E384" s="31" t="n">
        <v>197825017</v>
      </c>
      <c r="F384" s="31" t="n">
        <v>278461369</v>
      </c>
      <c r="G384" s="31" t="n">
        <v>251</v>
      </c>
      <c r="H384" s="31" t="n">
        <v>117056240</v>
      </c>
      <c r="I384" s="57" t="n">
        <v>287732972</v>
      </c>
      <c r="J384" s="57" t="n">
        <v>4090697</v>
      </c>
      <c r="K384" s="57" t="n">
        <v>2911061462</v>
      </c>
    </row>
    <row r="385">
      <c r="C385" s="79" t="n"/>
      <c r="D385" s="79" t="n"/>
      <c r="E385" s="79" t="n"/>
      <c r="F385" s="79" t="n"/>
      <c r="G385" s="79" t="n"/>
      <c r="H385" s="79" t="n"/>
      <c r="I385" s="40" t="n"/>
      <c r="J385" s="40" t="n"/>
      <c r="K385" s="40" t="n"/>
    </row>
    <row r="386">
      <c r="B386" t="inlineStr">
        <is>
          <t>Government securities (after impairment)</t>
        </is>
      </c>
      <c r="C386" s="31" t="inlineStr">
        <is>
          <t>-</t>
        </is>
      </c>
      <c r="D386" s="31" t="inlineStr">
        <is>
          <t>-</t>
        </is>
      </c>
      <c r="E386" s="31" t="inlineStr">
        <is>
          <t>-</t>
        </is>
      </c>
      <c r="F386" s="31" t="inlineStr">
        <is>
          <t>-</t>
        </is>
      </c>
      <c r="G386" s="31" t="inlineStr">
        <is>
          <t>-</t>
        </is>
      </c>
      <c r="H386" s="31" t="inlineStr">
        <is>
          <t>-</t>
        </is>
      </c>
      <c r="I386" s="57" t="inlineStr">
        <is>
          <t>-</t>
        </is>
      </c>
      <c r="J386" s="57" t="inlineStr">
        <is>
          <t>-</t>
        </is>
      </c>
      <c r="K386" s="57" t="inlineStr">
        <is>
          <t>-</t>
        </is>
      </c>
    </row>
    <row r="387">
      <c r="B387" t="inlineStr">
        <is>
          <t>Equity securities</t>
        </is>
      </c>
      <c r="C387" s="31" t="inlineStr">
        <is>
          <t>-</t>
        </is>
      </c>
      <c r="D387" s="31" t="inlineStr">
        <is>
          <t>-</t>
        </is>
      </c>
      <c r="E387" s="31" t="inlineStr">
        <is>
          <t>-</t>
        </is>
      </c>
      <c r="F387" s="31" t="inlineStr">
        <is>
          <t>-</t>
        </is>
      </c>
      <c r="G387" s="31" t="inlineStr">
        <is>
          <t>-</t>
        </is>
      </c>
      <c r="H387" s="31" t="inlineStr">
        <is>
          <t>-</t>
        </is>
      </c>
      <c r="I387" s="57" t="inlineStr">
        <is>
          <t>-</t>
        </is>
      </c>
      <c r="J387" s="57" t="inlineStr">
        <is>
          <t>-</t>
        </is>
      </c>
      <c r="K387" s="57" t="inlineStr">
        <is>
          <t>-</t>
        </is>
      </c>
    </row>
    <row r="388">
      <c r="C388" s="79" t="n"/>
      <c r="D388" s="79" t="n"/>
      <c r="E388" s="79" t="n"/>
      <c r="F388" s="79" t="n"/>
      <c r="G388" s="79" t="n"/>
      <c r="H388" s="79" t="n"/>
      <c r="I388" s="40" t="n"/>
      <c r="J388" s="40" t="n"/>
      <c r="K388" s="40" t="n"/>
    </row>
    <row r="389" customFormat="1" s="33">
      <c r="B389" s="33" t="inlineStr">
        <is>
          <t>Check</t>
        </is>
      </c>
      <c r="C389" s="79" t="n">
        <v>-857269981</v>
      </c>
      <c r="D389" s="79" t="n">
        <v>-994370875</v>
      </c>
      <c r="E389" s="79" t="n">
        <v>-1068982587</v>
      </c>
      <c r="F389" s="79" t="n">
        <v>-1286616399</v>
      </c>
      <c r="G389" s="79" t="n">
        <v>0</v>
      </c>
      <c r="H389" s="79" t="n">
        <v>0</v>
      </c>
      <c r="I389" s="40" t="inlineStr">
        <is>
          <t>-</t>
        </is>
      </c>
      <c r="J389" s="40" t="inlineStr">
        <is>
          <t>-</t>
        </is>
      </c>
      <c r="K389" s="40" t="inlineStr">
        <is>
          <t>-</t>
        </is>
      </c>
    </row>
    <row r="390" customFormat="1" s="33">
      <c r="C390" s="79" t="n"/>
      <c r="D390" s="79" t="n"/>
      <c r="E390" s="79" t="n"/>
      <c r="F390" s="79" t="n"/>
      <c r="G390" s="79" t="n"/>
      <c r="H390" s="79" t="n"/>
      <c r="I390" s="40" t="n"/>
      <c r="J390" s="40" t="n"/>
      <c r="K390" s="40" t="n"/>
    </row>
    <row r="391">
      <c r="B391" t="inlineStr">
        <is>
          <t>Gsec - Growth YoY</t>
        </is>
      </c>
      <c r="C391" s="68" t="inlineStr">
        <is>
          <t>-</t>
        </is>
      </c>
      <c r="D391" s="68" t="inlineStr">
        <is>
          <t>-</t>
        </is>
      </c>
      <c r="E391" s="68" t="inlineStr">
        <is>
          <t>-</t>
        </is>
      </c>
      <c r="F391" s="68" t="inlineStr">
        <is>
          <t>-</t>
        </is>
      </c>
      <c r="G391" s="68" t="inlineStr">
        <is>
          <t>-</t>
        </is>
      </c>
      <c r="H391" s="68" t="inlineStr">
        <is>
          <t>-</t>
        </is>
      </c>
      <c r="I391" s="68" t="inlineStr">
        <is>
          <t>-</t>
        </is>
      </c>
      <c r="J391" s="68" t="inlineStr">
        <is>
          <t>-</t>
        </is>
      </c>
      <c r="K391" s="68" t="inlineStr">
        <is>
          <t>-</t>
        </is>
      </c>
    </row>
    <row r="392">
      <c r="B392" t="inlineStr">
        <is>
          <t>Equity - Growth YoY</t>
        </is>
      </c>
      <c r="C392" s="68" t="inlineStr">
        <is>
          <t>-</t>
        </is>
      </c>
      <c r="D392" s="68" t="inlineStr">
        <is>
          <t>-</t>
        </is>
      </c>
      <c r="E392" s="68" t="inlineStr">
        <is>
          <t>-</t>
        </is>
      </c>
      <c r="F392" s="68" t="inlineStr">
        <is>
          <t>-</t>
        </is>
      </c>
      <c r="G392" s="68" t="inlineStr">
        <is>
          <t>-</t>
        </is>
      </c>
      <c r="H392" s="68" t="inlineStr">
        <is>
          <t>-</t>
        </is>
      </c>
      <c r="I392" s="68" t="inlineStr">
        <is>
          <t>-</t>
        </is>
      </c>
      <c r="J392" s="68" t="inlineStr">
        <is>
          <t>-</t>
        </is>
      </c>
      <c r="K392" s="68" t="inlineStr">
        <is>
          <t>-</t>
        </is>
      </c>
    </row>
    <row r="393"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</row>
    <row r="394" customFormat="1" s="76">
      <c r="C394" s="77" t="n"/>
      <c r="D394" s="77" t="n"/>
      <c r="E394" s="77" t="n"/>
      <c r="F394" s="77" t="n"/>
      <c r="G394" s="77" t="n"/>
      <c r="H394" s="77" t="n"/>
      <c r="I394" s="78" t="n"/>
      <c r="J394" s="78" t="n"/>
      <c r="K394" s="78" t="n"/>
    </row>
    <row r="395">
      <c r="C395" s="79" t="n"/>
      <c r="D395" s="79" t="n"/>
      <c r="E395" s="79" t="n"/>
      <c r="F395" s="79" t="n"/>
      <c r="G395" s="79" t="n"/>
      <c r="H395" s="79" t="n"/>
      <c r="I395" s="40" t="n"/>
      <c r="J395" s="40" t="n"/>
      <c r="K395" s="40" t="n"/>
    </row>
    <row r="396">
      <c r="B396" t="inlineStr">
        <is>
          <t>Investment in associate</t>
        </is>
      </c>
      <c r="C396" s="31" t="inlineStr">
        <is>
          <t>-</t>
        </is>
      </c>
      <c r="D396" s="31" t="n">
        <v>105320</v>
      </c>
      <c r="E396" s="31" t="n">
        <v>56821</v>
      </c>
      <c r="F396" s="31" t="n">
        <v>4341</v>
      </c>
      <c r="G396" s="31" t="n">
        <v>255</v>
      </c>
      <c r="H396" s="31" t="n">
        <v>4331</v>
      </c>
      <c r="I396" s="57" t="n">
        <v>59004</v>
      </c>
      <c r="J396" s="57" t="n">
        <v>48431</v>
      </c>
      <c r="K396" s="57" t="inlineStr">
        <is>
          <t>-</t>
        </is>
      </c>
    </row>
    <row r="397">
      <c r="C397" s="79" t="n"/>
      <c r="D397" s="79" t="n"/>
      <c r="E397" s="79" t="n"/>
      <c r="F397" s="79" t="n"/>
      <c r="G397" s="79" t="n"/>
      <c r="H397" s="79" t="n"/>
      <c r="I397" s="40" t="n"/>
      <c r="J397" s="40" t="n"/>
      <c r="K397" s="40" t="n"/>
    </row>
    <row r="398">
      <c r="C398" s="79" t="n"/>
      <c r="D398" s="79" t="n"/>
      <c r="E398" s="79" t="n"/>
      <c r="F398" s="79" t="n"/>
      <c r="G398" s="79" t="n"/>
      <c r="H398" s="79" t="n"/>
      <c r="I398" s="40" t="n"/>
      <c r="J398" s="40" t="n"/>
      <c r="K398" s="40" t="n"/>
    </row>
    <row r="399" customFormat="1" s="76">
      <c r="C399" s="77" t="n"/>
      <c r="D399" s="77" t="n"/>
      <c r="E399" s="77" t="n"/>
      <c r="F399" s="77" t="n"/>
      <c r="G399" s="77" t="n"/>
      <c r="H399" s="77" t="n"/>
      <c r="I399" s="78" t="n"/>
      <c r="J399" s="78" t="n"/>
      <c r="K399" s="78" t="n"/>
    </row>
    <row r="400">
      <c r="C400" s="79" t="n"/>
      <c r="D400" s="79" t="n"/>
      <c r="E400" s="79" t="n"/>
      <c r="F400" s="79" t="n"/>
      <c r="G400" s="79" t="n"/>
      <c r="H400" s="79" t="n"/>
      <c r="I400" s="40" t="n"/>
      <c r="J400" s="40" t="n"/>
      <c r="K400" s="40" t="n"/>
    </row>
    <row r="401">
      <c r="B401" t="inlineStr">
        <is>
          <t>Property, plant and equipment and right-of-use assets</t>
        </is>
      </c>
      <c r="C401" s="31" t="inlineStr">
        <is>
          <t>-</t>
        </is>
      </c>
      <c r="D401" s="31" t="n">
        <v>17015935</v>
      </c>
      <c r="E401" s="31" t="n">
        <v>22423346</v>
      </c>
      <c r="F401" s="31" t="n">
        <v>22312394</v>
      </c>
      <c r="G401" s="31" t="n">
        <v>257</v>
      </c>
      <c r="H401" s="31" t="n">
        <v>25452452</v>
      </c>
      <c r="I401" s="57" t="n">
        <v>297294266</v>
      </c>
      <c r="J401" s="57" t="n">
        <v>270604688</v>
      </c>
      <c r="K401" s="57" t="n">
        <v>31652401</v>
      </c>
    </row>
    <row r="402">
      <c r="C402" s="79" t="n"/>
      <c r="D402" s="79" t="n"/>
      <c r="E402" s="79" t="n"/>
      <c r="F402" s="79" t="n"/>
      <c r="G402" s="79" t="n"/>
      <c r="H402" s="79" t="n"/>
      <c r="I402" s="40" t="n"/>
      <c r="J402" s="40" t="n"/>
      <c r="K402" s="40" t="n"/>
    </row>
    <row r="403">
      <c r="B403" t="inlineStr">
        <is>
          <t>Cost</t>
        </is>
      </c>
      <c r="C403" s="79" t="n">
        <v>156598</v>
      </c>
      <c r="D403" s="79" t="n">
        <v>763074</v>
      </c>
      <c r="E403" s="79" t="n">
        <v>757787</v>
      </c>
      <c r="F403" s="79" t="n">
        <v>2.89</v>
      </c>
      <c r="G403" s="79" t="n">
        <v>245</v>
      </c>
      <c r="H403" s="79" t="n">
        <v>1130442579</v>
      </c>
      <c r="I403" s="40" t="n">
        <v>685155537</v>
      </c>
      <c r="J403" s="40" t="n">
        <v>667709691</v>
      </c>
      <c r="K403" s="40" t="n">
        <v>731263697</v>
      </c>
    </row>
    <row r="404">
      <c r="B404" t="inlineStr">
        <is>
          <t>Opening balance</t>
        </is>
      </c>
      <c r="C404" s="31" t="inlineStr">
        <is>
          <t>-</t>
        </is>
      </c>
      <c r="D404" s="31" t="inlineStr">
        <is>
          <t>-</t>
        </is>
      </c>
      <c r="E404" s="31" t="inlineStr">
        <is>
          <t>-</t>
        </is>
      </c>
      <c r="F404" s="31" t="inlineStr">
        <is>
          <t>-</t>
        </is>
      </c>
      <c r="G404" s="31" t="inlineStr">
        <is>
          <t>-</t>
        </is>
      </c>
      <c r="H404" s="31" t="inlineStr">
        <is>
          <t>-</t>
        </is>
      </c>
      <c r="I404" s="57" t="inlineStr">
        <is>
          <t>-</t>
        </is>
      </c>
      <c r="J404" s="57" t="inlineStr">
        <is>
          <t>-</t>
        </is>
      </c>
      <c r="K404" s="57" t="inlineStr">
        <is>
          <t>-</t>
        </is>
      </c>
    </row>
    <row r="405">
      <c r="B405" t="inlineStr">
        <is>
          <t>Capex / additions</t>
        </is>
      </c>
      <c r="C405" s="31" t="inlineStr">
        <is>
          <t>-</t>
        </is>
      </c>
      <c r="D405" s="31" t="inlineStr">
        <is>
          <t>-</t>
        </is>
      </c>
      <c r="E405" s="31" t="inlineStr">
        <is>
          <t>-</t>
        </is>
      </c>
      <c r="F405" s="31" t="inlineStr">
        <is>
          <t>-</t>
        </is>
      </c>
      <c r="G405" s="31" t="inlineStr">
        <is>
          <t>-</t>
        </is>
      </c>
      <c r="H405" s="31" t="inlineStr">
        <is>
          <t>-</t>
        </is>
      </c>
      <c r="I405" s="57" t="inlineStr">
        <is>
          <t>-</t>
        </is>
      </c>
      <c r="J405" s="57" t="inlineStr">
        <is>
          <t>-</t>
        </is>
      </c>
      <c r="K405" s="57" t="inlineStr">
        <is>
          <t>-</t>
        </is>
      </c>
    </row>
    <row r="406">
      <c r="B406" t="inlineStr">
        <is>
          <t>Disposals</t>
        </is>
      </c>
      <c r="C406" s="31" t="inlineStr">
        <is>
          <t>-</t>
        </is>
      </c>
      <c r="D406" s="31" t="inlineStr">
        <is>
          <t>-</t>
        </is>
      </c>
      <c r="E406" s="31" t="inlineStr">
        <is>
          <t>-</t>
        </is>
      </c>
      <c r="F406" s="31" t="inlineStr">
        <is>
          <t>-</t>
        </is>
      </c>
      <c r="G406" s="31" t="inlineStr">
        <is>
          <t>-</t>
        </is>
      </c>
      <c r="H406" s="31" t="inlineStr">
        <is>
          <t>-</t>
        </is>
      </c>
      <c r="I406" s="40" t="inlineStr">
        <is>
          <t>-</t>
        </is>
      </c>
      <c r="J406" s="40" t="inlineStr">
        <is>
          <t>-</t>
        </is>
      </c>
      <c r="K406" s="40" t="inlineStr">
        <is>
          <t>-</t>
        </is>
      </c>
    </row>
    <row r="407">
      <c r="B407" t="inlineStr">
        <is>
          <t>Exchange rate varaince</t>
        </is>
      </c>
      <c r="C407" s="31" t="inlineStr">
        <is>
          <t>-</t>
        </is>
      </c>
      <c r="D407" s="31" t="inlineStr">
        <is>
          <t>-</t>
        </is>
      </c>
      <c r="E407" s="31" t="inlineStr">
        <is>
          <t>-</t>
        </is>
      </c>
      <c r="F407" s="31" t="inlineStr">
        <is>
          <t>-</t>
        </is>
      </c>
      <c r="G407" s="31" t="inlineStr">
        <is>
          <t>-</t>
        </is>
      </c>
      <c r="H407" s="31" t="inlineStr">
        <is>
          <t>-</t>
        </is>
      </c>
      <c r="I407" s="40" t="inlineStr">
        <is>
          <t>-</t>
        </is>
      </c>
      <c r="J407" s="40" t="inlineStr">
        <is>
          <t>-</t>
        </is>
      </c>
      <c r="K407" s="40" t="inlineStr">
        <is>
          <t>-</t>
        </is>
      </c>
    </row>
    <row r="408">
      <c r="B408" t="inlineStr">
        <is>
          <t>Transfers / other adjustments</t>
        </is>
      </c>
      <c r="C408" s="79" t="inlineStr">
        <is>
          <t>-</t>
        </is>
      </c>
      <c r="D408" s="31" t="inlineStr">
        <is>
          <t>-</t>
        </is>
      </c>
      <c r="E408" s="79" t="inlineStr">
        <is>
          <t>-</t>
        </is>
      </c>
      <c r="F408" s="79" t="inlineStr">
        <is>
          <t>-</t>
        </is>
      </c>
      <c r="G408" s="31" t="inlineStr">
        <is>
          <t>-</t>
        </is>
      </c>
      <c r="H408" s="31" t="inlineStr">
        <is>
          <t>-</t>
        </is>
      </c>
      <c r="I408" s="40" t="inlineStr">
        <is>
          <t>-</t>
        </is>
      </c>
      <c r="J408" s="40" t="inlineStr">
        <is>
          <t>-</t>
        </is>
      </c>
      <c r="K408" s="40" t="inlineStr">
        <is>
          <t>-</t>
        </is>
      </c>
    </row>
    <row r="409">
      <c r="B409" t="inlineStr">
        <is>
          <t>Closing Balance</t>
        </is>
      </c>
      <c r="C409" s="86" t="inlineStr">
        <is>
          <t>-</t>
        </is>
      </c>
      <c r="D409" s="86" t="inlineStr">
        <is>
          <t>-</t>
        </is>
      </c>
      <c r="E409" s="86" t="inlineStr">
        <is>
          <t>-</t>
        </is>
      </c>
      <c r="F409" s="86" t="inlineStr">
        <is>
          <t>-</t>
        </is>
      </c>
      <c r="G409" s="86" t="inlineStr">
        <is>
          <t>-</t>
        </is>
      </c>
      <c r="H409" s="86" t="inlineStr">
        <is>
          <t>-</t>
        </is>
      </c>
      <c r="I409" s="58" t="inlineStr">
        <is>
          <t>-</t>
        </is>
      </c>
      <c r="J409" s="58" t="inlineStr">
        <is>
          <t>-</t>
        </is>
      </c>
      <c r="K409" s="58" t="inlineStr">
        <is>
          <t>-</t>
        </is>
      </c>
    </row>
    <row r="410">
      <c r="C410" s="79" t="n"/>
      <c r="D410" s="79" t="n"/>
      <c r="E410" s="79" t="n"/>
      <c r="F410" s="79" t="n"/>
      <c r="G410" s="79" t="n"/>
      <c r="H410" s="79" t="n"/>
      <c r="I410" s="40" t="n"/>
      <c r="J410" s="40" t="n"/>
      <c r="K410" s="40" t="n"/>
    </row>
    <row r="411">
      <c r="B411" t="inlineStr">
        <is>
          <t>Accumulated depreciation</t>
        </is>
      </c>
      <c r="C411" s="79" t="inlineStr">
        <is>
          <t>-</t>
        </is>
      </c>
      <c r="D411" s="79" t="inlineStr">
        <is>
          <t>-</t>
        </is>
      </c>
      <c r="E411" s="79" t="inlineStr">
        <is>
          <t>-</t>
        </is>
      </c>
      <c r="F411" s="79" t="inlineStr">
        <is>
          <t>-</t>
        </is>
      </c>
      <c r="G411" s="79" t="inlineStr">
        <is>
          <t>-</t>
        </is>
      </c>
      <c r="H411" s="79" t="inlineStr">
        <is>
          <t>-</t>
        </is>
      </c>
      <c r="I411" s="40" t="inlineStr">
        <is>
          <t>-</t>
        </is>
      </c>
      <c r="J411" s="40" t="inlineStr">
        <is>
          <t>-</t>
        </is>
      </c>
      <c r="K411" s="40" t="inlineStr">
        <is>
          <t>-</t>
        </is>
      </c>
    </row>
    <row r="412">
      <c r="B412" t="inlineStr">
        <is>
          <t>Opening balance</t>
        </is>
      </c>
      <c r="C412" s="31" t="inlineStr">
        <is>
          <t>-</t>
        </is>
      </c>
      <c r="D412" s="31" t="inlineStr">
        <is>
          <t>-</t>
        </is>
      </c>
      <c r="E412" s="31" t="inlineStr">
        <is>
          <t>-</t>
        </is>
      </c>
      <c r="F412" s="31" t="inlineStr">
        <is>
          <t>-</t>
        </is>
      </c>
      <c r="G412" s="31" t="inlineStr">
        <is>
          <t>-</t>
        </is>
      </c>
      <c r="H412" s="31" t="inlineStr">
        <is>
          <t>-</t>
        </is>
      </c>
      <c r="I412" s="57" t="inlineStr">
        <is>
          <t>-</t>
        </is>
      </c>
      <c r="J412" s="57" t="inlineStr">
        <is>
          <t>-</t>
        </is>
      </c>
      <c r="K412" s="57" t="inlineStr">
        <is>
          <t>-</t>
        </is>
      </c>
    </row>
    <row r="413">
      <c r="B413" t="inlineStr">
        <is>
          <t>Charge for the year</t>
        </is>
      </c>
      <c r="C413" s="31" t="inlineStr">
        <is>
          <t>-</t>
        </is>
      </c>
      <c r="D413" s="31" t="inlineStr">
        <is>
          <t>-</t>
        </is>
      </c>
      <c r="E413" s="31" t="inlineStr">
        <is>
          <t>-</t>
        </is>
      </c>
      <c r="F413" s="31" t="inlineStr">
        <is>
          <t>-</t>
        </is>
      </c>
      <c r="G413" s="31" t="inlineStr">
        <is>
          <t>-</t>
        </is>
      </c>
      <c r="H413" s="31" t="inlineStr">
        <is>
          <t>-</t>
        </is>
      </c>
      <c r="I413" s="57" t="inlineStr">
        <is>
          <t>-</t>
        </is>
      </c>
      <c r="J413" s="57" t="inlineStr">
        <is>
          <t>-</t>
        </is>
      </c>
      <c r="K413" s="57" t="inlineStr">
        <is>
          <t>-</t>
        </is>
      </c>
    </row>
    <row r="414">
      <c r="B414" t="inlineStr">
        <is>
          <t>Disposals</t>
        </is>
      </c>
      <c r="C414" s="31" t="inlineStr">
        <is>
          <t>-</t>
        </is>
      </c>
      <c r="D414" s="31" t="inlineStr">
        <is>
          <t>-</t>
        </is>
      </c>
      <c r="E414" s="31" t="inlineStr">
        <is>
          <t>-</t>
        </is>
      </c>
      <c r="F414" s="31" t="inlineStr">
        <is>
          <t>-</t>
        </is>
      </c>
      <c r="G414" s="31" t="inlineStr">
        <is>
          <t>-</t>
        </is>
      </c>
      <c r="H414" s="31" t="inlineStr">
        <is>
          <t>-</t>
        </is>
      </c>
      <c r="I414" s="40" t="inlineStr">
        <is>
          <t>-</t>
        </is>
      </c>
      <c r="J414" s="40" t="inlineStr">
        <is>
          <t>-</t>
        </is>
      </c>
      <c r="K414" s="40" t="inlineStr">
        <is>
          <t>-</t>
        </is>
      </c>
    </row>
    <row r="415">
      <c r="B415" t="inlineStr">
        <is>
          <t>Exchange rate varaince</t>
        </is>
      </c>
      <c r="C415" s="31" t="inlineStr">
        <is>
          <t>-</t>
        </is>
      </c>
      <c r="D415" s="31" t="inlineStr">
        <is>
          <t>-</t>
        </is>
      </c>
      <c r="E415" s="31" t="inlineStr">
        <is>
          <t>-</t>
        </is>
      </c>
      <c r="F415" s="31" t="inlineStr">
        <is>
          <t>-</t>
        </is>
      </c>
      <c r="G415" s="31" t="inlineStr">
        <is>
          <t>-</t>
        </is>
      </c>
      <c r="H415" s="31" t="inlineStr">
        <is>
          <t>-</t>
        </is>
      </c>
      <c r="I415" s="40" t="inlineStr">
        <is>
          <t>-</t>
        </is>
      </c>
      <c r="J415" s="40" t="inlineStr">
        <is>
          <t>-</t>
        </is>
      </c>
      <c r="K415" s="40" t="inlineStr">
        <is>
          <t>-</t>
        </is>
      </c>
    </row>
    <row r="416">
      <c r="B416" t="inlineStr">
        <is>
          <t>Transfers / other adjustments</t>
        </is>
      </c>
      <c r="C416" s="31" t="inlineStr">
        <is>
          <t>-</t>
        </is>
      </c>
      <c r="D416" s="31" t="inlineStr">
        <is>
          <t>-</t>
        </is>
      </c>
      <c r="E416" s="79" t="inlineStr">
        <is>
          <t>-</t>
        </is>
      </c>
      <c r="F416" s="79" t="inlineStr">
        <is>
          <t>-</t>
        </is>
      </c>
      <c r="G416" s="31" t="inlineStr">
        <is>
          <t>-</t>
        </is>
      </c>
      <c r="H416" s="31" t="inlineStr">
        <is>
          <t>-</t>
        </is>
      </c>
      <c r="I416" s="40" t="inlineStr">
        <is>
          <t>-</t>
        </is>
      </c>
      <c r="J416" s="40" t="inlineStr">
        <is>
          <t>-</t>
        </is>
      </c>
      <c r="K416" s="40" t="inlineStr">
        <is>
          <t>-</t>
        </is>
      </c>
    </row>
    <row r="417">
      <c r="B417" t="inlineStr">
        <is>
          <t>Closing Balance</t>
        </is>
      </c>
      <c r="C417" s="86" t="inlineStr">
        <is>
          <t>-</t>
        </is>
      </c>
      <c r="D417" s="86" t="inlineStr">
        <is>
          <t>-</t>
        </is>
      </c>
      <c r="E417" s="86" t="inlineStr">
        <is>
          <t>-</t>
        </is>
      </c>
      <c r="F417" s="86" t="inlineStr">
        <is>
          <t>-</t>
        </is>
      </c>
      <c r="G417" s="86" t="inlineStr">
        <is>
          <t>-</t>
        </is>
      </c>
      <c r="H417" s="86" t="inlineStr">
        <is>
          <t>-</t>
        </is>
      </c>
      <c r="I417" s="58" t="inlineStr">
        <is>
          <t>-</t>
        </is>
      </c>
      <c r="J417" s="58" t="inlineStr">
        <is>
          <t>-</t>
        </is>
      </c>
      <c r="K417" s="58" t="inlineStr">
        <is>
          <t>-</t>
        </is>
      </c>
    </row>
    <row r="418">
      <c r="C418" s="79" t="n"/>
      <c r="D418" s="79" t="n"/>
      <c r="E418" s="79" t="n"/>
      <c r="F418" s="79" t="n"/>
      <c r="G418" s="79" t="n"/>
      <c r="H418" s="79" t="n"/>
      <c r="I418" s="40" t="n"/>
      <c r="J418" s="40" t="n"/>
      <c r="K418" s="40" t="n"/>
    </row>
    <row r="419" ht="15" customHeight="1" thickBot="1">
      <c r="B419" t="inlineStr">
        <is>
          <t>Net book value</t>
        </is>
      </c>
      <c r="C419" s="84" t="inlineStr">
        <is>
          <t>-</t>
        </is>
      </c>
      <c r="D419" s="84" t="inlineStr">
        <is>
          <t>-</t>
        </is>
      </c>
      <c r="E419" s="84" t="inlineStr">
        <is>
          <t>-</t>
        </is>
      </c>
      <c r="F419" s="84" t="inlineStr">
        <is>
          <t>-</t>
        </is>
      </c>
      <c r="G419" s="84" t="inlineStr">
        <is>
          <t>-</t>
        </is>
      </c>
      <c r="H419" s="84" t="inlineStr">
        <is>
          <t>-</t>
        </is>
      </c>
      <c r="I419" s="84" t="inlineStr">
        <is>
          <t>-</t>
        </is>
      </c>
      <c r="J419" s="84" t="inlineStr">
        <is>
          <t>-</t>
        </is>
      </c>
      <c r="K419" s="84" t="inlineStr">
        <is>
          <t>-</t>
        </is>
      </c>
    </row>
    <row r="420" ht="15" customHeight="1" thickTop="1">
      <c r="C420" s="79" t="n"/>
      <c r="D420" s="79" t="n"/>
      <c r="E420" s="79" t="n"/>
      <c r="F420" s="79" t="n"/>
      <c r="G420" s="79" t="n"/>
      <c r="H420" s="79" t="n"/>
      <c r="I420" s="40" t="n"/>
      <c r="J420" s="40" t="n"/>
      <c r="K420" s="40" t="n"/>
    </row>
    <row r="421" customFormat="1" s="33">
      <c r="B421" s="33" t="inlineStr">
        <is>
          <t>Check</t>
        </is>
      </c>
      <c r="C421" s="79" t="n">
        <v>-857269981</v>
      </c>
      <c r="D421" s="79" t="n">
        <v>-994370875</v>
      </c>
      <c r="E421" s="79" t="n">
        <v>-1068982587</v>
      </c>
      <c r="F421" s="79" t="n">
        <v>-1286616399</v>
      </c>
      <c r="G421" s="79" t="n">
        <v>0</v>
      </c>
      <c r="H421" s="79" t="n">
        <v>0</v>
      </c>
      <c r="I421" s="40" t="inlineStr">
        <is>
          <t>-</t>
        </is>
      </c>
      <c r="J421" s="40" t="inlineStr">
        <is>
          <t>-</t>
        </is>
      </c>
      <c r="K421" s="40" t="inlineStr">
        <is>
          <t>-</t>
        </is>
      </c>
    </row>
    <row r="422">
      <c r="C422" s="79" t="n"/>
      <c r="D422" s="79" t="n"/>
      <c r="E422" s="79" t="n"/>
      <c r="F422" s="79" t="n"/>
      <c r="G422" s="79" t="n"/>
      <c r="H422" s="79" t="n"/>
      <c r="I422" s="40" t="n"/>
      <c r="J422" s="40" t="n"/>
      <c r="K422" s="40" t="n"/>
    </row>
    <row r="423">
      <c r="B423" t="inlineStr">
        <is>
          <t>Additions / opening balance</t>
        </is>
      </c>
      <c r="C423" s="79" t="inlineStr">
        <is>
          <t>-</t>
        </is>
      </c>
      <c r="D423" s="68" t="inlineStr">
        <is>
          <t>-</t>
        </is>
      </c>
      <c r="E423" s="68" t="inlineStr">
        <is>
          <t>-</t>
        </is>
      </c>
      <c r="F423" s="68" t="inlineStr">
        <is>
          <t>-</t>
        </is>
      </c>
      <c r="G423" s="68" t="inlineStr">
        <is>
          <t>-</t>
        </is>
      </c>
      <c r="H423" s="68" t="inlineStr">
        <is>
          <t>-</t>
        </is>
      </c>
      <c r="I423" s="93" t="inlineStr">
        <is>
          <t>-</t>
        </is>
      </c>
      <c r="J423" s="93" t="inlineStr">
        <is>
          <t>-</t>
        </is>
      </c>
      <c r="K423" s="93" t="inlineStr">
        <is>
          <t>-</t>
        </is>
      </c>
    </row>
    <row r="424">
      <c r="B424" t="inlineStr">
        <is>
          <t>Depreciaiton / opening balance</t>
        </is>
      </c>
      <c r="C424" s="79" t="inlineStr">
        <is>
          <t>-</t>
        </is>
      </c>
      <c r="D424" s="68" t="inlineStr">
        <is>
          <t>-</t>
        </is>
      </c>
      <c r="E424" s="68" t="inlineStr">
        <is>
          <t>-</t>
        </is>
      </c>
      <c r="F424" s="68" t="inlineStr">
        <is>
          <t>-</t>
        </is>
      </c>
      <c r="G424" s="68" t="inlineStr">
        <is>
          <t>-</t>
        </is>
      </c>
      <c r="H424" s="68" t="inlineStr">
        <is>
          <t>-</t>
        </is>
      </c>
      <c r="I424" s="93" t="inlineStr">
        <is>
          <t>-</t>
        </is>
      </c>
      <c r="J424" s="93" t="inlineStr">
        <is>
          <t>-</t>
        </is>
      </c>
      <c r="K424" s="93" t="inlineStr">
        <is>
          <t>-</t>
        </is>
      </c>
    </row>
    <row r="425">
      <c r="C425" s="79" t="n"/>
      <c r="D425" s="79" t="n"/>
      <c r="E425" s="79" t="n"/>
      <c r="F425" s="79" t="n"/>
      <c r="G425" s="79" t="n"/>
      <c r="H425" s="79" t="n"/>
      <c r="I425" s="40" t="n"/>
      <c r="J425" s="40" t="n"/>
      <c r="K425" s="40" t="n"/>
    </row>
    <row r="426">
      <c r="C426" s="79" t="n"/>
      <c r="D426" s="79" t="n"/>
      <c r="E426" s="79" t="n"/>
      <c r="F426" s="79" t="n"/>
      <c r="G426" s="79" t="n"/>
      <c r="H426" s="79" t="n"/>
      <c r="I426" s="40" t="n"/>
      <c r="J426" s="40" t="n"/>
      <c r="K426" s="40" t="n"/>
    </row>
    <row r="427">
      <c r="C427" s="79" t="n"/>
      <c r="D427" s="79" t="n"/>
      <c r="E427" s="79" t="n"/>
      <c r="F427" s="79" t="n"/>
      <c r="G427" s="79" t="n"/>
      <c r="H427" s="79" t="n"/>
      <c r="I427" s="40" t="n"/>
      <c r="J427" s="40" t="n"/>
      <c r="K427" s="40" t="n"/>
    </row>
    <row r="428" customFormat="1" s="7">
      <c r="C428" s="62" t="n"/>
      <c r="D428" s="62" t="n"/>
      <c r="E428" s="62" t="n"/>
      <c r="F428" s="62" t="n"/>
      <c r="G428" s="62" t="n"/>
      <c r="H428" s="62" t="n"/>
      <c r="I428" s="63" t="n"/>
      <c r="J428" s="63" t="n"/>
      <c r="K428" s="63" t="n"/>
    </row>
    <row r="429">
      <c r="C429" s="79" t="n"/>
      <c r="D429" s="79" t="n"/>
      <c r="E429" s="79" t="n"/>
      <c r="F429" s="79" t="n"/>
      <c r="G429" s="79" t="n"/>
      <c r="H429" s="79" t="n"/>
      <c r="I429" s="40" t="n"/>
      <c r="J429" s="40" t="n"/>
      <c r="K429" s="40" t="n"/>
    </row>
    <row r="430">
      <c r="B430" t="inlineStr">
        <is>
          <t>Investment properties</t>
        </is>
      </c>
      <c r="C430" s="31" t="inlineStr">
        <is>
          <t>-</t>
        </is>
      </c>
      <c r="D430" s="31" t="inlineStr">
        <is>
          <t>-</t>
        </is>
      </c>
      <c r="E430" s="31" t="n">
        <v>46350</v>
      </c>
      <c r="F430" s="31" t="n">
        <v>6710156</v>
      </c>
      <c r="G430" s="31" t="n">
        <v>269</v>
      </c>
      <c r="H430" s="31" t="inlineStr">
        <is>
          <t>-</t>
        </is>
      </c>
      <c r="I430" s="57" t="n">
        <v>897825</v>
      </c>
      <c r="J430" s="57" t="n">
        <v>3225</v>
      </c>
      <c r="K430" s="57" t="n">
        <v>775060</v>
      </c>
    </row>
    <row r="431">
      <c r="B431" t="inlineStr">
        <is>
          <t>Growth YoY</t>
        </is>
      </c>
      <c r="C431" s="79" t="inlineStr">
        <is>
          <t>-</t>
        </is>
      </c>
      <c r="D431" s="68" t="inlineStr">
        <is>
          <t>-</t>
        </is>
      </c>
      <c r="E431" s="68" t="inlineStr">
        <is>
          <t>-</t>
        </is>
      </c>
      <c r="F431" s="68" t="inlineStr">
        <is>
          <t>-</t>
        </is>
      </c>
      <c r="G431" s="68" t="inlineStr">
        <is>
          <t>-</t>
        </is>
      </c>
      <c r="H431" s="68" t="inlineStr">
        <is>
          <t>-</t>
        </is>
      </c>
      <c r="I431" s="93" t="inlineStr">
        <is>
          <t>-</t>
        </is>
      </c>
      <c r="J431" s="93" t="inlineStr">
        <is>
          <t>-</t>
        </is>
      </c>
      <c r="K431" s="93" t="inlineStr">
        <is>
          <t>-</t>
        </is>
      </c>
    </row>
    <row r="432">
      <c r="C432" s="79" t="n"/>
      <c r="D432" s="79" t="n"/>
      <c r="E432" s="79" t="n"/>
      <c r="F432" s="79" t="n"/>
      <c r="G432" s="79" t="n"/>
      <c r="H432" s="79" t="n"/>
      <c r="I432" s="40" t="n"/>
      <c r="J432" s="40" t="n"/>
      <c r="K432" s="40" t="n"/>
    </row>
    <row r="433" customFormat="1" s="7">
      <c r="C433" s="62" t="n"/>
      <c r="D433" s="62" t="n"/>
      <c r="E433" s="62" t="n"/>
      <c r="F433" s="62" t="n"/>
      <c r="G433" s="62" t="n"/>
      <c r="H433" s="62" t="n"/>
      <c r="I433" s="63" t="n"/>
      <c r="J433" s="63" t="n"/>
      <c r="K433" s="63" t="n"/>
    </row>
    <row r="434">
      <c r="C434" s="79" t="n"/>
      <c r="D434" s="79" t="n"/>
      <c r="E434" s="79" t="n"/>
      <c r="F434" s="79" t="n"/>
      <c r="G434" s="79" t="n"/>
      <c r="H434" s="79" t="n"/>
      <c r="I434" s="40" t="n"/>
      <c r="J434" s="40" t="n"/>
      <c r="K434" s="40" t="n"/>
    </row>
    <row r="435">
      <c r="B435" t="inlineStr">
        <is>
          <t>Intangible assets</t>
        </is>
      </c>
      <c r="C435" s="31" t="n">
        <v>-346360</v>
      </c>
      <c r="D435" s="31" t="n">
        <v>1433961</v>
      </c>
      <c r="E435" s="31" t="n">
        <v>1645714</v>
      </c>
      <c r="F435" s="31" t="n">
        <v>9.710000000000001</v>
      </c>
      <c r="G435" s="31" t="n">
        <v>270</v>
      </c>
      <c r="H435" s="31" t="n">
        <v>3536120</v>
      </c>
      <c r="I435" s="57" t="n">
        <v>5489404</v>
      </c>
      <c r="J435" s="57" t="n">
        <v>4221381</v>
      </c>
      <c r="K435" s="57" t="n">
        <v>5008060</v>
      </c>
    </row>
    <row r="436">
      <c r="C436" s="79" t="n"/>
      <c r="D436" s="79" t="n"/>
      <c r="E436" s="79" t="n"/>
      <c r="F436" s="79" t="n"/>
      <c r="G436" s="79" t="n"/>
      <c r="H436" s="79" t="n"/>
      <c r="I436" s="40" t="n"/>
      <c r="J436" s="40" t="n"/>
      <c r="K436" s="40" t="n"/>
    </row>
    <row r="437">
      <c r="B437" t="inlineStr">
        <is>
          <t>Computer Software</t>
        </is>
      </c>
      <c r="C437" s="31" t="inlineStr">
        <is>
          <t>-</t>
        </is>
      </c>
      <c r="D437" s="31" t="inlineStr">
        <is>
          <t>-</t>
        </is>
      </c>
      <c r="E437" s="31" t="inlineStr">
        <is>
          <t>-</t>
        </is>
      </c>
      <c r="F437" s="31" t="inlineStr">
        <is>
          <t>-</t>
        </is>
      </c>
      <c r="G437" s="31" t="inlineStr">
        <is>
          <t>-</t>
        </is>
      </c>
      <c r="H437" s="31" t="inlineStr">
        <is>
          <t>-</t>
        </is>
      </c>
      <c r="I437" s="40" t="inlineStr">
        <is>
          <t>-</t>
        </is>
      </c>
      <c r="J437" s="40" t="inlineStr">
        <is>
          <t>-</t>
        </is>
      </c>
      <c r="K437" s="40" t="inlineStr">
        <is>
          <t>-</t>
        </is>
      </c>
    </row>
    <row r="438">
      <c r="B438" t="inlineStr">
        <is>
          <t>Software under development</t>
        </is>
      </c>
      <c r="C438" s="31" t="inlineStr">
        <is>
          <t>-</t>
        </is>
      </c>
      <c r="D438" s="31" t="inlineStr">
        <is>
          <t>-</t>
        </is>
      </c>
      <c r="E438" s="31" t="inlineStr">
        <is>
          <t>-</t>
        </is>
      </c>
      <c r="F438" s="31" t="inlineStr">
        <is>
          <t>-</t>
        </is>
      </c>
      <c r="G438" s="31" t="inlineStr">
        <is>
          <t>-</t>
        </is>
      </c>
      <c r="H438" s="31" t="inlineStr">
        <is>
          <t>-</t>
        </is>
      </c>
      <c r="I438" s="40" t="inlineStr">
        <is>
          <t>-</t>
        </is>
      </c>
      <c r="J438" s="40" t="inlineStr">
        <is>
          <t>-</t>
        </is>
      </c>
      <c r="K438" s="40" t="inlineStr">
        <is>
          <t>-</t>
        </is>
      </c>
    </row>
    <row r="439">
      <c r="B439" t="inlineStr">
        <is>
          <t>Goodwill</t>
        </is>
      </c>
      <c r="C439" s="31" t="inlineStr">
        <is>
          <t>-</t>
        </is>
      </c>
      <c r="D439" s="31" t="inlineStr">
        <is>
          <t>-</t>
        </is>
      </c>
      <c r="E439" s="31" t="inlineStr">
        <is>
          <t>-</t>
        </is>
      </c>
      <c r="F439" s="31" t="inlineStr">
        <is>
          <t>-</t>
        </is>
      </c>
      <c r="G439" s="31" t="inlineStr">
        <is>
          <t>-</t>
        </is>
      </c>
      <c r="H439" s="31" t="inlineStr">
        <is>
          <t>-</t>
        </is>
      </c>
      <c r="I439" s="40" t="inlineStr">
        <is>
          <t>-</t>
        </is>
      </c>
      <c r="J439" s="40" t="inlineStr">
        <is>
          <t>-</t>
        </is>
      </c>
      <c r="K439" s="40" t="inlineStr">
        <is>
          <t>-</t>
        </is>
      </c>
    </row>
    <row r="440">
      <c r="C440" s="79" t="n"/>
      <c r="D440" s="79" t="n"/>
      <c r="E440" s="79" t="n"/>
      <c r="F440" s="79" t="n"/>
      <c r="G440" s="79" t="n"/>
      <c r="H440" s="79" t="n"/>
      <c r="I440" s="40" t="n"/>
      <c r="J440" s="40" t="n"/>
      <c r="K440" s="40" t="n"/>
    </row>
    <row r="441" customFormat="1" s="33">
      <c r="B441" s="33" t="inlineStr">
        <is>
          <t>Check</t>
        </is>
      </c>
      <c r="C441" s="79" t="n">
        <v>-857269981</v>
      </c>
      <c r="D441" s="79" t="n">
        <v>-994370875</v>
      </c>
      <c r="E441" s="79" t="n">
        <v>-1068982587</v>
      </c>
      <c r="F441" s="79" t="n">
        <v>-1286616399</v>
      </c>
      <c r="G441" s="79" t="n">
        <v>0</v>
      </c>
      <c r="H441" s="79" t="n">
        <v>0</v>
      </c>
      <c r="I441" s="40" t="inlineStr">
        <is>
          <t>-</t>
        </is>
      </c>
      <c r="J441" s="40" t="inlineStr">
        <is>
          <t>-</t>
        </is>
      </c>
      <c r="K441" s="40" t="inlineStr">
        <is>
          <t>-</t>
        </is>
      </c>
    </row>
    <row r="442">
      <c r="C442" s="79" t="n"/>
      <c r="D442" s="79" t="n"/>
      <c r="E442" s="79" t="n"/>
      <c r="F442" s="79" t="n"/>
      <c r="G442" s="79" t="n"/>
      <c r="H442" s="79" t="n"/>
      <c r="I442" s="40" t="n"/>
      <c r="J442" s="40" t="n"/>
      <c r="K442" s="40" t="n"/>
    </row>
    <row r="443">
      <c r="B443" t="inlineStr">
        <is>
          <t>Software</t>
        </is>
      </c>
      <c r="C443" s="79" t="inlineStr">
        <is>
          <t>-</t>
        </is>
      </c>
      <c r="D443" s="79" t="inlineStr">
        <is>
          <t>-</t>
        </is>
      </c>
      <c r="E443" s="79" t="inlineStr">
        <is>
          <t>-</t>
        </is>
      </c>
      <c r="F443" s="79" t="inlineStr">
        <is>
          <t>-</t>
        </is>
      </c>
      <c r="G443" s="79" t="inlineStr">
        <is>
          <t>-</t>
        </is>
      </c>
      <c r="H443" s="79" t="inlineStr">
        <is>
          <t>-</t>
        </is>
      </c>
      <c r="I443" s="40" t="inlineStr">
        <is>
          <t>-</t>
        </is>
      </c>
      <c r="J443" s="40" t="inlineStr">
        <is>
          <t>-</t>
        </is>
      </c>
      <c r="K443" s="40" t="inlineStr">
        <is>
          <t>-</t>
        </is>
      </c>
    </row>
    <row r="444">
      <c r="B444" t="inlineStr">
        <is>
          <t>Opening balance</t>
        </is>
      </c>
      <c r="C444" s="31" t="inlineStr">
        <is>
          <t>-</t>
        </is>
      </c>
      <c r="D444" s="31" t="inlineStr">
        <is>
          <t>-</t>
        </is>
      </c>
      <c r="E444" s="31" t="inlineStr">
        <is>
          <t>-</t>
        </is>
      </c>
      <c r="F444" s="31" t="inlineStr">
        <is>
          <t>-</t>
        </is>
      </c>
      <c r="G444" s="31" t="inlineStr">
        <is>
          <t>-</t>
        </is>
      </c>
      <c r="H444" s="31" t="inlineStr">
        <is>
          <t>-</t>
        </is>
      </c>
      <c r="I444" s="57" t="inlineStr">
        <is>
          <t>-</t>
        </is>
      </c>
      <c r="J444" s="57" t="inlineStr">
        <is>
          <t>-</t>
        </is>
      </c>
      <c r="K444" s="57" t="inlineStr">
        <is>
          <t>-</t>
        </is>
      </c>
    </row>
    <row r="445">
      <c r="B445" t="inlineStr">
        <is>
          <t>Additions</t>
        </is>
      </c>
      <c r="C445" s="31" t="inlineStr">
        <is>
          <t>-</t>
        </is>
      </c>
      <c r="D445" s="31" t="inlineStr">
        <is>
          <t>-</t>
        </is>
      </c>
      <c r="E445" s="31" t="inlineStr">
        <is>
          <t>-</t>
        </is>
      </c>
      <c r="F445" s="31" t="inlineStr">
        <is>
          <t>-</t>
        </is>
      </c>
      <c r="G445" s="31" t="inlineStr">
        <is>
          <t>-</t>
        </is>
      </c>
      <c r="H445" s="31" t="inlineStr">
        <is>
          <t>-</t>
        </is>
      </c>
      <c r="I445" s="57" t="inlineStr">
        <is>
          <t>-</t>
        </is>
      </c>
      <c r="J445" s="57" t="inlineStr">
        <is>
          <t>-</t>
        </is>
      </c>
      <c r="K445" s="57" t="inlineStr">
        <is>
          <t>-</t>
        </is>
      </c>
    </row>
    <row r="446">
      <c r="B446" t="inlineStr">
        <is>
          <t>Disposals</t>
        </is>
      </c>
      <c r="C446" s="31" t="inlineStr">
        <is>
          <t>-</t>
        </is>
      </c>
      <c r="D446" s="31" t="inlineStr">
        <is>
          <t>-</t>
        </is>
      </c>
      <c r="E446" s="31" t="inlineStr">
        <is>
          <t>-</t>
        </is>
      </c>
      <c r="F446" s="31" t="inlineStr">
        <is>
          <t>-</t>
        </is>
      </c>
      <c r="G446" s="31" t="inlineStr">
        <is>
          <t>-</t>
        </is>
      </c>
      <c r="H446" s="31" t="inlineStr">
        <is>
          <t>-</t>
        </is>
      </c>
      <c r="I446" s="40" t="inlineStr">
        <is>
          <t>-</t>
        </is>
      </c>
      <c r="J446" s="40" t="inlineStr">
        <is>
          <t>-</t>
        </is>
      </c>
      <c r="K446" s="40" t="inlineStr">
        <is>
          <t>-</t>
        </is>
      </c>
    </row>
    <row r="447">
      <c r="B447" t="inlineStr">
        <is>
          <t>Closing balance</t>
        </is>
      </c>
      <c r="C447" s="31" t="inlineStr">
        <is>
          <t>-</t>
        </is>
      </c>
      <c r="D447" s="31" t="inlineStr">
        <is>
          <t>-</t>
        </is>
      </c>
      <c r="E447" s="31" t="inlineStr">
        <is>
          <t>-</t>
        </is>
      </c>
      <c r="F447" s="31" t="inlineStr">
        <is>
          <t>-</t>
        </is>
      </c>
      <c r="G447" s="31" t="inlineStr">
        <is>
          <t>-</t>
        </is>
      </c>
      <c r="H447" s="31" t="inlineStr">
        <is>
          <t>-</t>
        </is>
      </c>
      <c r="I447" s="57" t="inlineStr">
        <is>
          <t>-</t>
        </is>
      </c>
      <c r="J447" s="57" t="inlineStr">
        <is>
          <t>-</t>
        </is>
      </c>
      <c r="K447" s="57" t="inlineStr">
        <is>
          <t>-</t>
        </is>
      </c>
    </row>
    <row r="448">
      <c r="C448" s="79" t="n"/>
      <c r="D448" s="79" t="n"/>
      <c r="E448" s="79" t="n"/>
      <c r="F448" s="79" t="n"/>
      <c r="G448" s="79" t="n"/>
      <c r="H448" s="79" t="n"/>
      <c r="I448" s="40" t="n"/>
      <c r="J448" s="40" t="n"/>
      <c r="K448" s="40" t="n"/>
    </row>
    <row r="449">
      <c r="B449" t="inlineStr">
        <is>
          <t>Amortization</t>
        </is>
      </c>
      <c r="C449" s="79" t="inlineStr">
        <is>
          <t>-</t>
        </is>
      </c>
      <c r="D449" s="79" t="inlineStr">
        <is>
          <t>-</t>
        </is>
      </c>
      <c r="E449" s="79" t="inlineStr">
        <is>
          <t>-</t>
        </is>
      </c>
      <c r="F449" s="79" t="inlineStr">
        <is>
          <t>-</t>
        </is>
      </c>
      <c r="G449" s="79" t="inlineStr">
        <is>
          <t>-</t>
        </is>
      </c>
      <c r="H449" s="79" t="inlineStr">
        <is>
          <t>-</t>
        </is>
      </c>
      <c r="I449" s="40" t="inlineStr">
        <is>
          <t>-</t>
        </is>
      </c>
      <c r="J449" s="40" t="inlineStr">
        <is>
          <t>-</t>
        </is>
      </c>
      <c r="K449" s="40" t="inlineStr">
        <is>
          <t>-</t>
        </is>
      </c>
    </row>
    <row r="450">
      <c r="B450" t="inlineStr">
        <is>
          <t>Opening balance</t>
        </is>
      </c>
      <c r="C450" s="31" t="inlineStr">
        <is>
          <t>-</t>
        </is>
      </c>
      <c r="D450" s="31" t="inlineStr">
        <is>
          <t>-</t>
        </is>
      </c>
      <c r="E450" s="31" t="inlineStr">
        <is>
          <t>-</t>
        </is>
      </c>
      <c r="F450" s="31" t="inlineStr">
        <is>
          <t>-</t>
        </is>
      </c>
      <c r="G450" s="31" t="inlineStr">
        <is>
          <t>-</t>
        </is>
      </c>
      <c r="H450" s="31" t="inlineStr">
        <is>
          <t>-</t>
        </is>
      </c>
      <c r="I450" s="57" t="inlineStr">
        <is>
          <t>-</t>
        </is>
      </c>
      <c r="J450" s="57" t="inlineStr">
        <is>
          <t>-</t>
        </is>
      </c>
      <c r="K450" s="57" t="inlineStr">
        <is>
          <t>-</t>
        </is>
      </c>
    </row>
    <row r="451">
      <c r="B451" t="inlineStr">
        <is>
          <t>Charge for the year</t>
        </is>
      </c>
      <c r="C451" s="31" t="inlineStr">
        <is>
          <t>-</t>
        </is>
      </c>
      <c r="D451" s="31" t="inlineStr">
        <is>
          <t>-</t>
        </is>
      </c>
      <c r="E451" s="31" t="inlineStr">
        <is>
          <t>-</t>
        </is>
      </c>
      <c r="F451" s="31" t="inlineStr">
        <is>
          <t>-</t>
        </is>
      </c>
      <c r="G451" s="31" t="inlineStr">
        <is>
          <t>-</t>
        </is>
      </c>
      <c r="H451" s="31" t="inlineStr">
        <is>
          <t>-</t>
        </is>
      </c>
      <c r="I451" s="57" t="inlineStr">
        <is>
          <t>-</t>
        </is>
      </c>
      <c r="J451" s="57" t="inlineStr">
        <is>
          <t>-</t>
        </is>
      </c>
      <c r="K451" s="57" t="inlineStr">
        <is>
          <t>-</t>
        </is>
      </c>
    </row>
    <row r="452">
      <c r="B452" t="inlineStr">
        <is>
          <t>Disposals</t>
        </is>
      </c>
      <c r="C452" s="31" t="inlineStr">
        <is>
          <t>-</t>
        </is>
      </c>
      <c r="D452" s="31" t="inlineStr">
        <is>
          <t>-</t>
        </is>
      </c>
      <c r="E452" s="31" t="inlineStr">
        <is>
          <t>-</t>
        </is>
      </c>
      <c r="F452" s="31" t="inlineStr">
        <is>
          <t>-</t>
        </is>
      </c>
      <c r="G452" s="31" t="inlineStr">
        <is>
          <t>-</t>
        </is>
      </c>
      <c r="H452" s="31" t="inlineStr">
        <is>
          <t>-</t>
        </is>
      </c>
      <c r="I452" s="40" t="inlineStr">
        <is>
          <t>-</t>
        </is>
      </c>
      <c r="J452" s="40" t="inlineStr">
        <is>
          <t>-</t>
        </is>
      </c>
      <c r="K452" s="40" t="inlineStr">
        <is>
          <t>-</t>
        </is>
      </c>
    </row>
    <row r="453">
      <c r="B453" t="inlineStr">
        <is>
          <t>Closing balance</t>
        </is>
      </c>
      <c r="C453" s="31" t="inlineStr">
        <is>
          <t>-</t>
        </is>
      </c>
      <c r="D453" s="31" t="inlineStr">
        <is>
          <t>-</t>
        </is>
      </c>
      <c r="E453" s="31" t="inlineStr">
        <is>
          <t>-</t>
        </is>
      </c>
      <c r="F453" s="31" t="inlineStr">
        <is>
          <t>-</t>
        </is>
      </c>
      <c r="G453" s="31" t="inlineStr">
        <is>
          <t>-</t>
        </is>
      </c>
      <c r="H453" s="31" t="inlineStr">
        <is>
          <t>-</t>
        </is>
      </c>
      <c r="I453" s="57" t="inlineStr">
        <is>
          <t>-</t>
        </is>
      </c>
      <c r="J453" s="57" t="inlineStr">
        <is>
          <t>-</t>
        </is>
      </c>
      <c r="K453" s="57" t="inlineStr">
        <is>
          <t>-</t>
        </is>
      </c>
    </row>
    <row r="454">
      <c r="C454" s="79" t="n"/>
      <c r="D454" s="79" t="n"/>
      <c r="E454" s="79" t="n"/>
      <c r="F454" s="79" t="n"/>
      <c r="G454" s="79" t="n"/>
      <c r="H454" s="79" t="n"/>
      <c r="I454" s="40" t="n"/>
      <c r="J454" s="40" t="n"/>
      <c r="K454" s="40" t="n"/>
    </row>
    <row r="455" customFormat="1" s="33">
      <c r="B455" s="33" t="inlineStr">
        <is>
          <t>Check</t>
        </is>
      </c>
      <c r="C455" s="79" t="n">
        <v>-857269981</v>
      </c>
      <c r="D455" s="79" t="n">
        <v>-994370875</v>
      </c>
      <c r="E455" s="79" t="n">
        <v>-1068982587</v>
      </c>
      <c r="F455" s="79" t="n">
        <v>-1286616399</v>
      </c>
      <c r="G455" s="79" t="n">
        <v>0</v>
      </c>
      <c r="H455" s="79" t="n">
        <v>0</v>
      </c>
      <c r="I455" s="40" t="inlineStr">
        <is>
          <t>-</t>
        </is>
      </c>
      <c r="J455" s="40" t="inlineStr">
        <is>
          <t>-</t>
        </is>
      </c>
      <c r="K455" s="40" t="inlineStr">
        <is>
          <t>-</t>
        </is>
      </c>
    </row>
    <row r="456">
      <c r="C456" s="79" t="n"/>
      <c r="D456" s="79" t="n"/>
      <c r="E456" s="79" t="n"/>
      <c r="F456" s="79" t="n"/>
      <c r="G456" s="79" t="n"/>
      <c r="H456" s="79" t="n"/>
      <c r="I456" s="40" t="n"/>
      <c r="J456" s="40" t="n"/>
      <c r="K456" s="40" t="n"/>
    </row>
    <row r="457">
      <c r="B457" t="inlineStr">
        <is>
          <t>Additions / opening balance</t>
        </is>
      </c>
      <c r="C457" s="79" t="inlineStr">
        <is>
          <t>-</t>
        </is>
      </c>
      <c r="D457" s="68" t="inlineStr">
        <is>
          <t>-</t>
        </is>
      </c>
      <c r="E457" s="68" t="inlineStr">
        <is>
          <t>-</t>
        </is>
      </c>
      <c r="F457" s="68" t="inlineStr">
        <is>
          <t>-</t>
        </is>
      </c>
      <c r="G457" s="68" t="inlineStr">
        <is>
          <t>-</t>
        </is>
      </c>
      <c r="H457" s="68" t="inlineStr">
        <is>
          <t>-</t>
        </is>
      </c>
      <c r="I457" s="93" t="inlineStr">
        <is>
          <t>-</t>
        </is>
      </c>
      <c r="J457" s="93" t="inlineStr">
        <is>
          <t>-</t>
        </is>
      </c>
      <c r="K457" s="93" t="inlineStr">
        <is>
          <t>-</t>
        </is>
      </c>
    </row>
    <row r="458">
      <c r="B458" t="inlineStr">
        <is>
          <t>Amortisation / opening balance</t>
        </is>
      </c>
      <c r="C458" s="79" t="inlineStr">
        <is>
          <t>-</t>
        </is>
      </c>
      <c r="D458" s="68" t="inlineStr">
        <is>
          <t>-</t>
        </is>
      </c>
      <c r="E458" s="68" t="inlineStr">
        <is>
          <t>-</t>
        </is>
      </c>
      <c r="F458" s="68" t="inlineStr">
        <is>
          <t>-</t>
        </is>
      </c>
      <c r="G458" s="68" t="inlineStr">
        <is>
          <t>-</t>
        </is>
      </c>
      <c r="H458" s="68" t="inlineStr">
        <is>
          <t>-</t>
        </is>
      </c>
      <c r="I458" s="93" t="inlineStr">
        <is>
          <t>-</t>
        </is>
      </c>
      <c r="J458" s="93" t="inlineStr">
        <is>
          <t>-</t>
        </is>
      </c>
      <c r="K458" s="93" t="inlineStr">
        <is>
          <t>-</t>
        </is>
      </c>
    </row>
    <row r="459">
      <c r="C459" s="79" t="n"/>
      <c r="D459" s="79" t="n"/>
      <c r="E459" s="79" t="n"/>
      <c r="F459" s="79" t="n"/>
      <c r="G459" s="79" t="n"/>
      <c r="H459" s="79" t="n"/>
      <c r="I459" s="40" t="n"/>
      <c r="J459" s="40" t="n"/>
      <c r="K459" s="40" t="n"/>
    </row>
    <row r="460" customFormat="1" s="7">
      <c r="C460" s="62" t="n"/>
      <c r="D460" s="62" t="n"/>
      <c r="E460" s="62" t="n"/>
      <c r="F460" s="62" t="n"/>
      <c r="G460" s="62" t="n"/>
      <c r="H460" s="62" t="n"/>
      <c r="I460" s="63" t="n"/>
      <c r="J460" s="63" t="n"/>
      <c r="K460" s="63" t="n"/>
    </row>
    <row r="461">
      <c r="C461" s="79" t="n"/>
      <c r="D461" s="79" t="n"/>
      <c r="E461" s="79" t="n"/>
      <c r="F461" s="79" t="n"/>
      <c r="G461" s="79" t="n"/>
      <c r="H461" s="79" t="n"/>
      <c r="I461" s="40" t="n"/>
      <c r="J461" s="40" t="n"/>
      <c r="K461" s="40" t="n"/>
    </row>
    <row r="462">
      <c r="B462" t="inlineStr">
        <is>
          <t>Deferred tax assets</t>
        </is>
      </c>
      <c r="C462" s="31" t="inlineStr">
        <is>
          <t>-</t>
        </is>
      </c>
      <c r="D462" s="31" t="n">
        <v>188487</v>
      </c>
      <c r="E462" s="31" t="n">
        <v>530165</v>
      </c>
      <c r="F462" s="31" t="n">
        <v>-17.51</v>
      </c>
      <c r="G462" s="31" t="n">
        <v>272</v>
      </c>
      <c r="H462" s="31" t="n">
        <v>30041203</v>
      </c>
      <c r="I462" s="57" t="n">
        <v>354411610</v>
      </c>
      <c r="J462" s="57" t="n">
        <v>10832584</v>
      </c>
      <c r="K462" s="57" t="n">
        <v>14409667</v>
      </c>
    </row>
    <row r="463">
      <c r="B463" t="inlineStr">
        <is>
          <t>As a % of PBT</t>
        </is>
      </c>
      <c r="C463" s="68" t="inlineStr">
        <is>
          <t>-</t>
        </is>
      </c>
      <c r="D463" s="68" t="inlineStr">
        <is>
          <t>-</t>
        </is>
      </c>
      <c r="E463" s="68" t="inlineStr">
        <is>
          <t>-</t>
        </is>
      </c>
      <c r="F463" s="68" t="inlineStr">
        <is>
          <t>-</t>
        </is>
      </c>
      <c r="G463" s="68" t="inlineStr">
        <is>
          <t>-</t>
        </is>
      </c>
      <c r="H463" s="68" t="inlineStr">
        <is>
          <t>-</t>
        </is>
      </c>
      <c r="I463" s="93" t="inlineStr">
        <is>
          <t>-</t>
        </is>
      </c>
      <c r="J463" s="40" t="inlineStr">
        <is>
          <t>-</t>
        </is>
      </c>
      <c r="K463" s="40" t="inlineStr">
        <is>
          <t>-</t>
        </is>
      </c>
    </row>
    <row r="464">
      <c r="B464" t="inlineStr">
        <is>
          <t>Growth YoY</t>
        </is>
      </c>
      <c r="C464" s="79" t="inlineStr">
        <is>
          <t>-</t>
        </is>
      </c>
      <c r="D464" s="68" t="inlineStr">
        <is>
          <t>-</t>
        </is>
      </c>
      <c r="E464" s="68" t="inlineStr">
        <is>
          <t>-</t>
        </is>
      </c>
      <c r="F464" s="68" t="inlineStr">
        <is>
          <t>-</t>
        </is>
      </c>
      <c r="G464" s="68" t="inlineStr">
        <is>
          <t>-</t>
        </is>
      </c>
      <c r="H464" s="68" t="inlineStr">
        <is>
          <t>-</t>
        </is>
      </c>
      <c r="I464" s="93" t="inlineStr">
        <is>
          <t>-</t>
        </is>
      </c>
      <c r="J464" s="93" t="inlineStr">
        <is>
          <t>-</t>
        </is>
      </c>
      <c r="K464" s="93" t="inlineStr">
        <is>
          <t>-</t>
        </is>
      </c>
    </row>
    <row r="465">
      <c r="C465" s="79" t="n"/>
      <c r="D465" s="79" t="n"/>
      <c r="E465" s="79" t="n"/>
      <c r="F465" s="79" t="n"/>
      <c r="G465" s="79" t="n"/>
      <c r="H465" s="79" t="n"/>
      <c r="I465" s="40" t="n"/>
      <c r="J465" s="40" t="n"/>
      <c r="K465" s="40" t="n"/>
    </row>
    <row r="466" customFormat="1" s="7">
      <c r="C466" s="62" t="n"/>
      <c r="D466" s="62" t="n"/>
      <c r="E466" s="62" t="n"/>
      <c r="F466" s="62" t="n"/>
      <c r="G466" s="62" t="n"/>
      <c r="H466" s="62" t="n"/>
      <c r="I466" s="63" t="n"/>
      <c r="J466" s="63" t="n"/>
      <c r="K466" s="63" t="n"/>
    </row>
    <row r="467">
      <c r="C467" s="79" t="n"/>
      <c r="D467" s="79" t="n"/>
      <c r="E467" s="79" t="n"/>
      <c r="F467" s="79" t="n"/>
      <c r="G467" s="79" t="n"/>
      <c r="H467" s="79" t="n"/>
      <c r="I467" s="40" t="n"/>
      <c r="J467" s="40" t="n"/>
      <c r="K467" s="40" t="n"/>
    </row>
    <row r="468">
      <c r="B468" t="inlineStr">
        <is>
          <t>Other assets</t>
        </is>
      </c>
      <c r="C468" s="31" t="inlineStr">
        <is>
          <t>-</t>
        </is>
      </c>
      <c r="D468" s="31" t="n">
        <v>23011122</v>
      </c>
      <c r="E468" s="31" t="n">
        <v>23243369</v>
      </c>
      <c r="F468" s="31" t="n">
        <v>-13.86</v>
      </c>
      <c r="G468" s="31" t="n">
        <v>274</v>
      </c>
      <c r="H468" s="31" t="n">
        <v>40259849</v>
      </c>
      <c r="I468" s="57" t="n">
        <v>37735161</v>
      </c>
      <c r="J468" s="57" t="n">
        <v>29755134</v>
      </c>
      <c r="K468" s="57" t="n">
        <v>140899086</v>
      </c>
    </row>
    <row r="469">
      <c r="B469" t="inlineStr">
        <is>
          <t>Growth YoY</t>
        </is>
      </c>
      <c r="C469" s="79" t="inlineStr">
        <is>
          <t>-</t>
        </is>
      </c>
      <c r="D469" s="68" t="inlineStr">
        <is>
          <t>-</t>
        </is>
      </c>
      <c r="E469" s="68" t="inlineStr">
        <is>
          <t>-</t>
        </is>
      </c>
      <c r="F469" s="68" t="inlineStr">
        <is>
          <t>-</t>
        </is>
      </c>
      <c r="G469" s="68" t="inlineStr">
        <is>
          <t>-</t>
        </is>
      </c>
      <c r="H469" s="68" t="inlineStr">
        <is>
          <t>-</t>
        </is>
      </c>
      <c r="I469" s="93" t="inlineStr">
        <is>
          <t>-</t>
        </is>
      </c>
      <c r="J469" s="93" t="inlineStr">
        <is>
          <t>-</t>
        </is>
      </c>
      <c r="K469" s="93" t="inlineStr">
        <is>
          <t>-</t>
        </is>
      </c>
    </row>
    <row r="470">
      <c r="C470" s="79" t="n"/>
      <c r="D470" s="79" t="n"/>
      <c r="E470" s="79" t="n"/>
      <c r="F470" s="79" t="n"/>
      <c r="G470" s="79" t="n"/>
      <c r="H470" s="79" t="n"/>
      <c r="I470" s="40" t="n"/>
      <c r="J470" s="40" t="n"/>
      <c r="K470" s="40" t="n"/>
    </row>
    <row r="471">
      <c r="C471" s="79" t="n"/>
      <c r="D471" s="79" t="n"/>
      <c r="E471" s="79" t="n"/>
      <c r="F471" s="79" t="n"/>
      <c r="G471" s="79" t="n"/>
      <c r="H471" s="79" t="n"/>
      <c r="I471" s="40" t="n"/>
      <c r="J471" s="40" t="n"/>
      <c r="K471" s="40" t="n"/>
    </row>
    <row r="472">
      <c r="C472" s="79" t="n"/>
      <c r="D472" s="79" t="n"/>
      <c r="E472" s="79" t="n"/>
      <c r="F472" s="79" t="n"/>
      <c r="G472" s="79" t="n"/>
      <c r="H472" s="79" t="n"/>
      <c r="I472" s="40" t="n"/>
      <c r="J472" s="40" t="n"/>
      <c r="K472" s="40" t="n"/>
    </row>
    <row r="473" customFormat="1" s="45">
      <c r="B473" s="45" t="inlineStr">
        <is>
          <t>LIABILITIES</t>
        </is>
      </c>
      <c r="C473" s="71" t="n">
        <v>1158860856</v>
      </c>
      <c r="D473" s="71" t="n">
        <v>135473881</v>
      </c>
      <c r="E473" s="71" t="n">
        <v>65515273</v>
      </c>
      <c r="F473" s="71" t="n">
        <v>-0.01</v>
      </c>
      <c r="G473" s="71" t="n">
        <v>200391382</v>
      </c>
      <c r="H473" s="71" t="n">
        <v>396536876</v>
      </c>
      <c r="I473" s="72" t="n">
        <v>181162526</v>
      </c>
      <c r="J473" s="72" t="n">
        <v>138769911</v>
      </c>
      <c r="K473" s="72" t="n">
        <v>420789987</v>
      </c>
    </row>
    <row r="474">
      <c r="C474" s="79" t="n"/>
      <c r="D474" s="79" t="n"/>
      <c r="E474" s="79" t="n"/>
      <c r="F474" s="79" t="n"/>
      <c r="G474" s="79" t="n"/>
      <c r="H474" s="79" t="n"/>
      <c r="I474" s="40" t="n"/>
      <c r="J474" s="40" t="n"/>
      <c r="K474" s="40" t="n"/>
    </row>
    <row r="475">
      <c r="B475" s="4" t="inlineStr">
        <is>
          <t>Due to banks</t>
        </is>
      </c>
      <c r="C475" s="31" t="inlineStr">
        <is>
          <t>-</t>
        </is>
      </c>
      <c r="D475" s="31" t="inlineStr">
        <is>
          <t>-</t>
        </is>
      </c>
      <c r="E475" s="31" t="inlineStr">
        <is>
          <t>-</t>
        </is>
      </c>
      <c r="F475" s="31" t="n">
        <v>65.12</v>
      </c>
      <c r="G475" s="31" t="inlineStr">
        <is>
          <t>-</t>
        </is>
      </c>
      <c r="H475" s="31" t="n">
        <v>65130000</v>
      </c>
      <c r="I475" s="57" t="n">
        <v>47274000</v>
      </c>
      <c r="J475" s="57" t="inlineStr">
        <is>
          <t>-</t>
        </is>
      </c>
      <c r="K475" s="57" t="n">
        <v>29724000</v>
      </c>
    </row>
    <row r="476">
      <c r="C476" s="79" t="n"/>
      <c r="D476" s="79" t="n"/>
      <c r="E476" s="79" t="n"/>
      <c r="F476" s="79" t="n"/>
      <c r="G476" s="79" t="n"/>
      <c r="H476" s="79" t="n"/>
      <c r="I476" s="40" t="n"/>
      <c r="J476" s="40" t="n"/>
      <c r="K476" s="40" t="n"/>
    </row>
    <row r="477">
      <c r="B477" t="inlineStr">
        <is>
          <t>Local currency</t>
        </is>
      </c>
      <c r="C477" s="31" t="inlineStr">
        <is>
          <t>-</t>
        </is>
      </c>
      <c r="D477" s="31" t="inlineStr">
        <is>
          <t>-</t>
        </is>
      </c>
      <c r="E477" s="31" t="inlineStr">
        <is>
          <t>-</t>
        </is>
      </c>
      <c r="F477" s="31" t="inlineStr">
        <is>
          <t>-</t>
        </is>
      </c>
      <c r="G477" s="31" t="inlineStr">
        <is>
          <t>-</t>
        </is>
      </c>
      <c r="H477" s="31" t="inlineStr">
        <is>
          <t>-</t>
        </is>
      </c>
      <c r="I477" s="40" t="inlineStr">
        <is>
          <t>-</t>
        </is>
      </c>
      <c r="J477" s="40" t="inlineStr">
        <is>
          <t>-</t>
        </is>
      </c>
      <c r="K477" s="40" t="inlineStr">
        <is>
          <t>-</t>
        </is>
      </c>
    </row>
    <row r="478">
      <c r="B478" t="inlineStr">
        <is>
          <t>Foreign currency</t>
        </is>
      </c>
      <c r="C478" s="31" t="inlineStr">
        <is>
          <t>-</t>
        </is>
      </c>
      <c r="D478" s="31" t="inlineStr">
        <is>
          <t>-</t>
        </is>
      </c>
      <c r="E478" s="31" t="inlineStr">
        <is>
          <t>-</t>
        </is>
      </c>
      <c r="F478" s="31" t="inlineStr">
        <is>
          <t>-</t>
        </is>
      </c>
      <c r="G478" s="31" t="inlineStr">
        <is>
          <t>-</t>
        </is>
      </c>
      <c r="H478" s="31" t="inlineStr">
        <is>
          <t>-</t>
        </is>
      </c>
      <c r="I478" s="40" t="inlineStr">
        <is>
          <t>-</t>
        </is>
      </c>
      <c r="J478" s="40" t="inlineStr">
        <is>
          <t>-</t>
        </is>
      </c>
      <c r="K478" s="40" t="inlineStr">
        <is>
          <t>-</t>
        </is>
      </c>
    </row>
    <row r="479">
      <c r="B479" t="inlineStr">
        <is>
          <t>Repo securities</t>
        </is>
      </c>
      <c r="C479" s="31" t="inlineStr">
        <is>
          <t>-</t>
        </is>
      </c>
      <c r="D479" s="31" t="inlineStr">
        <is>
          <t>-</t>
        </is>
      </c>
      <c r="E479" s="31" t="inlineStr">
        <is>
          <t>-</t>
        </is>
      </c>
      <c r="F479" s="31" t="inlineStr">
        <is>
          <t>-</t>
        </is>
      </c>
      <c r="G479" s="31" t="inlineStr">
        <is>
          <t>-</t>
        </is>
      </c>
      <c r="H479" s="31" t="inlineStr">
        <is>
          <t>-</t>
        </is>
      </c>
      <c r="I479" s="40" t="inlineStr">
        <is>
          <t>-</t>
        </is>
      </c>
      <c r="J479" s="40" t="inlineStr">
        <is>
          <t>-</t>
        </is>
      </c>
      <c r="K479" s="40" t="inlineStr">
        <is>
          <t>-</t>
        </is>
      </c>
    </row>
    <row r="480">
      <c r="C480" s="79" t="n"/>
      <c r="D480" s="79" t="n"/>
      <c r="E480" s="79" t="n"/>
      <c r="F480" s="79" t="n"/>
      <c r="G480" s="79" t="n"/>
      <c r="H480" s="79" t="n"/>
      <c r="I480" s="40" t="n"/>
      <c r="J480" s="40" t="n"/>
      <c r="K480" s="40" t="n"/>
    </row>
    <row r="481" customFormat="1" s="33">
      <c r="B481" s="33" t="inlineStr">
        <is>
          <t>Check</t>
        </is>
      </c>
      <c r="C481" s="79" t="n">
        <v>-857269981</v>
      </c>
      <c r="D481" s="79" t="n">
        <v>-994370875</v>
      </c>
      <c r="E481" s="79" t="n">
        <v>-1068982587</v>
      </c>
      <c r="F481" s="79" t="n">
        <v>-1286616399</v>
      </c>
      <c r="G481" s="79" t="n">
        <v>0</v>
      </c>
      <c r="H481" s="79" t="n">
        <v>0</v>
      </c>
      <c r="I481" s="40" t="inlineStr">
        <is>
          <t>-</t>
        </is>
      </c>
      <c r="J481" s="40" t="inlineStr">
        <is>
          <t>-</t>
        </is>
      </c>
      <c r="K481" s="40" t="inlineStr">
        <is>
          <t>-</t>
        </is>
      </c>
    </row>
    <row r="482">
      <c r="C482" s="79" t="n"/>
      <c r="D482" s="79" t="n"/>
      <c r="E482" s="79" t="n"/>
      <c r="F482" s="79" t="n"/>
      <c r="G482" s="79" t="n"/>
      <c r="H482" s="79" t="n"/>
      <c r="I482" s="40" t="n"/>
      <c r="J482" s="40" t="n"/>
      <c r="K482" s="40" t="n"/>
    </row>
    <row r="483">
      <c r="B483" t="inlineStr">
        <is>
          <t>As a % of gross loans</t>
        </is>
      </c>
      <c r="C483" s="81" t="inlineStr">
        <is>
          <t>-</t>
        </is>
      </c>
      <c r="D483" s="81" t="inlineStr">
        <is>
          <t>-</t>
        </is>
      </c>
      <c r="E483" s="81" t="inlineStr">
        <is>
          <t>-</t>
        </is>
      </c>
      <c r="F483" s="81" t="inlineStr">
        <is>
          <t>-</t>
        </is>
      </c>
      <c r="G483" s="81" t="inlineStr">
        <is>
          <t>-</t>
        </is>
      </c>
      <c r="H483" s="81" t="inlineStr">
        <is>
          <t>-</t>
        </is>
      </c>
      <c r="I483" s="94" t="inlineStr">
        <is>
          <t>-</t>
        </is>
      </c>
      <c r="J483" s="94" t="inlineStr">
        <is>
          <t>-</t>
        </is>
      </c>
      <c r="K483" s="94" t="inlineStr">
        <is>
          <t>-</t>
        </is>
      </c>
    </row>
    <row r="484">
      <c r="C484" s="79" t="n"/>
      <c r="D484" s="79" t="n"/>
      <c r="E484" s="79" t="n"/>
      <c r="F484" s="79" t="n"/>
      <c r="G484" s="79" t="n"/>
      <c r="H484" s="68" t="n"/>
      <c r="I484" s="40" t="n"/>
      <c r="J484" s="40" t="n"/>
      <c r="K484" s="40" t="n"/>
    </row>
    <row r="485">
      <c r="C485" s="79" t="n"/>
      <c r="D485" s="79" t="n"/>
      <c r="E485" s="79" t="n"/>
      <c r="F485" s="79" t="n"/>
      <c r="G485" s="79" t="n"/>
      <c r="H485" s="79" t="n"/>
      <c r="I485" s="40" t="n"/>
      <c r="J485" s="40" t="n"/>
      <c r="K485" s="40" t="n"/>
    </row>
    <row r="486" customFormat="1" s="7">
      <c r="C486" s="62" t="n"/>
      <c r="D486" s="62" t="n"/>
      <c r="E486" s="62" t="n"/>
      <c r="F486" s="62" t="n"/>
      <c r="G486" s="62" t="n"/>
      <c r="H486" s="62" t="n"/>
      <c r="I486" s="63" t="n"/>
      <c r="J486" s="63" t="n"/>
      <c r="K486" s="63" t="n"/>
    </row>
    <row r="487">
      <c r="C487" s="79" t="n"/>
      <c r="D487" s="79" t="n"/>
      <c r="E487" s="79" t="n"/>
      <c r="F487" s="79" t="n"/>
      <c r="G487" s="79" t="n"/>
      <c r="H487" s="79" t="n"/>
      <c r="I487" s="40" t="n"/>
      <c r="J487" s="40" t="n"/>
      <c r="K487" s="40" t="n"/>
    </row>
    <row r="488">
      <c r="B488" t="inlineStr">
        <is>
          <t>Derivative financial liabilities</t>
        </is>
      </c>
      <c r="C488" s="31" t="inlineStr">
        <is>
          <t>-</t>
        </is>
      </c>
      <c r="D488" s="31" t="inlineStr">
        <is>
          <t>-</t>
        </is>
      </c>
      <c r="E488" s="31" t="inlineStr">
        <is>
          <t>-</t>
        </is>
      </c>
      <c r="F488" s="31" t="n">
        <v>-0.01</v>
      </c>
      <c r="G488" s="31" t="inlineStr">
        <is>
          <t>-</t>
        </is>
      </c>
      <c r="H488" s="31" t="n">
        <v>2881000</v>
      </c>
      <c r="I488" s="57" t="n">
        <v>2319000</v>
      </c>
      <c r="J488" s="57" t="inlineStr">
        <is>
          <t>-</t>
        </is>
      </c>
      <c r="K488" s="57" t="n">
        <v>1263000</v>
      </c>
    </row>
    <row r="489">
      <c r="B489" t="inlineStr">
        <is>
          <t>Growth YoY</t>
        </is>
      </c>
      <c r="C489" s="79" t="inlineStr">
        <is>
          <t>-</t>
        </is>
      </c>
      <c r="D489" s="68" t="inlineStr">
        <is>
          <t>-</t>
        </is>
      </c>
      <c r="E489" s="68" t="inlineStr">
        <is>
          <t>-</t>
        </is>
      </c>
      <c r="F489" s="68" t="inlineStr">
        <is>
          <t>-</t>
        </is>
      </c>
      <c r="G489" s="68" t="inlineStr">
        <is>
          <t>-</t>
        </is>
      </c>
      <c r="H489" s="68" t="inlineStr">
        <is>
          <t>-</t>
        </is>
      </c>
      <c r="I489" s="93" t="inlineStr">
        <is>
          <t>-</t>
        </is>
      </c>
      <c r="J489" s="93" t="inlineStr">
        <is>
          <t>-</t>
        </is>
      </c>
      <c r="K489" s="93" t="inlineStr">
        <is>
          <t>-</t>
        </is>
      </c>
    </row>
    <row r="490">
      <c r="C490" s="79" t="n"/>
      <c r="D490" s="79" t="n"/>
      <c r="E490" s="79" t="n"/>
      <c r="F490" s="79" t="n"/>
      <c r="G490" s="79" t="n"/>
      <c r="H490" s="79" t="n"/>
      <c r="I490" s="40" t="n"/>
      <c r="J490" s="40" t="n"/>
      <c r="K490" s="40" t="n"/>
    </row>
    <row r="491">
      <c r="C491" s="79" t="n"/>
      <c r="D491" s="79" t="n"/>
      <c r="E491" s="79" t="n"/>
      <c r="F491" s="79" t="n"/>
      <c r="G491" s="79" t="n"/>
      <c r="H491" s="79" t="n"/>
      <c r="I491" s="40" t="n"/>
      <c r="J491" s="40" t="n"/>
      <c r="K491" s="40" t="n"/>
    </row>
    <row r="492" customFormat="1" s="7">
      <c r="C492" s="62" t="n"/>
      <c r="D492" s="62" t="n"/>
      <c r="E492" s="62" t="n"/>
      <c r="F492" s="62" t="n"/>
      <c r="G492" s="62" t="n"/>
      <c r="H492" s="62" t="n"/>
      <c r="I492" s="63" t="n"/>
      <c r="J492" s="63" t="n"/>
      <c r="K492" s="63" t="n"/>
    </row>
    <row r="493">
      <c r="C493" s="79" t="n"/>
      <c r="D493" s="79" t="n"/>
      <c r="E493" s="79" t="n"/>
      <c r="F493" s="79" t="n"/>
      <c r="G493" s="79" t="n"/>
      <c r="H493" s="79" t="n"/>
      <c r="I493" s="40" t="n"/>
      <c r="J493" s="40" t="n"/>
      <c r="K493" s="40" t="n"/>
    </row>
    <row r="494">
      <c r="B494" t="inlineStr">
        <is>
          <t>Securities sold under repurchase agreements</t>
        </is>
      </c>
      <c r="C494" s="31" t="inlineStr">
        <is>
          <t>-</t>
        </is>
      </c>
      <c r="D494" s="31" t="inlineStr">
        <is>
          <t>-</t>
        </is>
      </c>
      <c r="E494" s="31" t="inlineStr">
        <is>
          <t>-</t>
        </is>
      </c>
      <c r="F494" s="31" t="n">
        <v>3947612</v>
      </c>
      <c r="G494" s="31" t="inlineStr">
        <is>
          <t>-</t>
        </is>
      </c>
      <c r="H494" s="31" t="n">
        <v>97726000</v>
      </c>
      <c r="I494" s="57" t="n">
        <v>111199000</v>
      </c>
      <c r="J494" s="57" t="inlineStr">
        <is>
          <t>-</t>
        </is>
      </c>
      <c r="K494" s="57" t="n">
        <v>110462000</v>
      </c>
    </row>
    <row r="495">
      <c r="C495" s="79" t="n"/>
      <c r="D495" s="79" t="n"/>
      <c r="E495" s="79" t="n"/>
      <c r="F495" s="79" t="n"/>
      <c r="G495" s="79" t="n"/>
      <c r="H495" s="79" t="n"/>
      <c r="I495" s="40" t="n"/>
      <c r="J495" s="40" t="n"/>
      <c r="K495" s="40" t="n"/>
    </row>
    <row r="496">
      <c r="B496" t="inlineStr">
        <is>
          <t>As a % of deposits</t>
        </is>
      </c>
      <c r="C496" s="81" t="inlineStr">
        <is>
          <t>-</t>
        </is>
      </c>
      <c r="D496" s="81" t="inlineStr">
        <is>
          <t>-</t>
        </is>
      </c>
      <c r="E496" s="81" t="inlineStr">
        <is>
          <t>-</t>
        </is>
      </c>
      <c r="F496" s="81" t="inlineStr">
        <is>
          <t>-</t>
        </is>
      </c>
      <c r="G496" s="81" t="inlineStr">
        <is>
          <t>-</t>
        </is>
      </c>
      <c r="H496" s="81" t="inlineStr">
        <is>
          <t>-</t>
        </is>
      </c>
      <c r="I496" s="81" t="inlineStr">
        <is>
          <t>-</t>
        </is>
      </c>
      <c r="J496" s="81" t="inlineStr">
        <is>
          <t>-</t>
        </is>
      </c>
      <c r="K496" s="81" t="inlineStr">
        <is>
          <t>-</t>
        </is>
      </c>
    </row>
    <row r="497">
      <c r="C497" s="79" t="n"/>
      <c r="D497" s="79" t="n"/>
      <c r="E497" s="79" t="n"/>
      <c r="F497" s="79" t="n"/>
      <c r="G497" s="79" t="n"/>
      <c r="H497" s="79" t="n"/>
      <c r="I497" s="40" t="n"/>
      <c r="J497" s="40" t="n"/>
      <c r="K497" s="40" t="n"/>
    </row>
    <row r="498">
      <c r="C498" s="79" t="n"/>
      <c r="D498" s="79" t="n"/>
      <c r="E498" s="79" t="n"/>
      <c r="F498" s="79" t="n"/>
      <c r="G498" s="79" t="n"/>
      <c r="H498" s="79" t="n"/>
      <c r="I498" s="40" t="n"/>
      <c r="J498" s="40" t="n"/>
      <c r="K498" s="40" t="n"/>
    </row>
    <row r="499" customFormat="1" s="7">
      <c r="C499" s="62" t="n"/>
      <c r="D499" s="62" t="n"/>
      <c r="E499" s="62" t="n"/>
      <c r="F499" s="62" t="n"/>
      <c r="G499" s="62" t="n"/>
      <c r="H499" s="62" t="n"/>
      <c r="I499" s="63" t="n"/>
      <c r="J499" s="63" t="n"/>
      <c r="K499" s="63" t="n"/>
    </row>
    <row r="500">
      <c r="C500" s="79" t="n"/>
      <c r="D500" s="79" t="n"/>
      <c r="E500" s="79" t="n"/>
      <c r="F500" s="79" t="n"/>
      <c r="G500" s="79" t="n"/>
      <c r="H500" s="79" t="n"/>
      <c r="I500" s="40" t="n"/>
      <c r="J500" s="40" t="n"/>
      <c r="K500" s="40" t="n"/>
    </row>
    <row r="501">
      <c r="B501" t="inlineStr">
        <is>
          <t>Financial liabilities at amortized cost – due to depositors</t>
        </is>
      </c>
      <c r="C501" s="31" t="inlineStr">
        <is>
          <t>-</t>
        </is>
      </c>
      <c r="D501" s="31" t="inlineStr">
        <is>
          <t>-</t>
        </is>
      </c>
      <c r="E501" s="31" t="inlineStr">
        <is>
          <t>-</t>
        </is>
      </c>
      <c r="F501" s="31" t="inlineStr">
        <is>
          <t>-</t>
        </is>
      </c>
      <c r="G501" s="31" t="inlineStr">
        <is>
          <t>-</t>
        </is>
      </c>
      <c r="H501" s="31" t="inlineStr">
        <is>
          <t>-</t>
        </is>
      </c>
      <c r="I501" s="79" t="inlineStr">
        <is>
          <t>-</t>
        </is>
      </c>
      <c r="J501" s="79" t="inlineStr">
        <is>
          <t>-</t>
        </is>
      </c>
      <c r="K501" s="79" t="inlineStr">
        <is>
          <t>-</t>
        </is>
      </c>
    </row>
    <row r="502">
      <c r="C502" s="79" t="n"/>
      <c r="D502" s="79" t="n"/>
      <c r="E502" s="79" t="n"/>
      <c r="F502" s="79" t="n"/>
      <c r="G502" s="79" t="n"/>
      <c r="H502" s="79" t="n"/>
      <c r="I502" s="40" t="n"/>
      <c r="J502" s="40" t="n"/>
      <c r="K502" s="40" t="n"/>
    </row>
    <row r="503">
      <c r="B503" s="40" t="inlineStr">
        <is>
          <t>Local currency deposits</t>
        </is>
      </c>
      <c r="C503" s="86" t="inlineStr">
        <is>
          <t>-</t>
        </is>
      </c>
      <c r="D503" s="86" t="inlineStr">
        <is>
          <t>-</t>
        </is>
      </c>
      <c r="E503" s="86" t="inlineStr">
        <is>
          <t>-</t>
        </is>
      </c>
      <c r="F503" s="86" t="inlineStr">
        <is>
          <t>-</t>
        </is>
      </c>
      <c r="G503" s="86" t="inlineStr">
        <is>
          <t>-</t>
        </is>
      </c>
      <c r="H503" s="86" t="inlineStr">
        <is>
          <t>-</t>
        </is>
      </c>
      <c r="I503" s="40" t="inlineStr">
        <is>
          <t>-</t>
        </is>
      </c>
      <c r="J503" s="40" t="inlineStr">
        <is>
          <t>-</t>
        </is>
      </c>
      <c r="K503" s="40" t="inlineStr">
        <is>
          <t>-</t>
        </is>
      </c>
    </row>
    <row r="504">
      <c r="B504" t="inlineStr">
        <is>
          <t>Current account balances</t>
        </is>
      </c>
      <c r="C504" s="31" t="inlineStr">
        <is>
          <t>-</t>
        </is>
      </c>
      <c r="D504" s="31" t="inlineStr">
        <is>
          <t>-</t>
        </is>
      </c>
      <c r="E504" s="31" t="inlineStr">
        <is>
          <t>-</t>
        </is>
      </c>
      <c r="F504" s="31" t="inlineStr">
        <is>
          <t>-</t>
        </is>
      </c>
      <c r="G504" s="31" t="inlineStr">
        <is>
          <t>-</t>
        </is>
      </c>
      <c r="H504" s="31" t="inlineStr">
        <is>
          <t>-</t>
        </is>
      </c>
      <c r="I504" s="40" t="inlineStr">
        <is>
          <t>-</t>
        </is>
      </c>
      <c r="J504" s="40" t="inlineStr">
        <is>
          <t>-</t>
        </is>
      </c>
      <c r="K504" s="40" t="inlineStr">
        <is>
          <t>-</t>
        </is>
      </c>
    </row>
    <row r="505">
      <c r="B505" t="inlineStr">
        <is>
          <t>Savings deposits</t>
        </is>
      </c>
      <c r="C505" s="31" t="inlineStr">
        <is>
          <t>-</t>
        </is>
      </c>
      <c r="D505" s="31" t="inlineStr">
        <is>
          <t>-</t>
        </is>
      </c>
      <c r="E505" s="31" t="inlineStr">
        <is>
          <t>-</t>
        </is>
      </c>
      <c r="F505" s="31" t="inlineStr">
        <is>
          <t>-</t>
        </is>
      </c>
      <c r="G505" s="31" t="inlineStr">
        <is>
          <t>-</t>
        </is>
      </c>
      <c r="H505" s="31" t="inlineStr">
        <is>
          <t>-</t>
        </is>
      </c>
      <c r="I505" s="57" t="inlineStr">
        <is>
          <t>-</t>
        </is>
      </c>
      <c r="J505" s="57" t="inlineStr">
        <is>
          <t>-</t>
        </is>
      </c>
      <c r="K505" s="40" t="inlineStr">
        <is>
          <t>-</t>
        </is>
      </c>
    </row>
    <row r="506">
      <c r="B506" t="inlineStr">
        <is>
          <t>Time deposits</t>
        </is>
      </c>
      <c r="C506" s="31" t="inlineStr">
        <is>
          <t>-</t>
        </is>
      </c>
      <c r="D506" s="31" t="inlineStr">
        <is>
          <t>-</t>
        </is>
      </c>
      <c r="E506" s="31" t="inlineStr">
        <is>
          <t>-</t>
        </is>
      </c>
      <c r="F506" s="31" t="inlineStr">
        <is>
          <t>-</t>
        </is>
      </c>
      <c r="G506" s="31" t="inlineStr">
        <is>
          <t>-</t>
        </is>
      </c>
      <c r="H506" s="31" t="inlineStr">
        <is>
          <t>-</t>
        </is>
      </c>
      <c r="I506" s="40" t="inlineStr">
        <is>
          <t>-</t>
        </is>
      </c>
      <c r="J506" s="40" t="inlineStr">
        <is>
          <t>-</t>
        </is>
      </c>
      <c r="K506" s="40" t="inlineStr">
        <is>
          <t>-</t>
        </is>
      </c>
    </row>
    <row r="507">
      <c r="B507" t="inlineStr">
        <is>
          <t>Other deposits</t>
        </is>
      </c>
      <c r="C507" s="31" t="inlineStr">
        <is>
          <t>-</t>
        </is>
      </c>
      <c r="D507" s="31" t="inlineStr">
        <is>
          <t>-</t>
        </is>
      </c>
      <c r="E507" s="31" t="inlineStr">
        <is>
          <t>-</t>
        </is>
      </c>
      <c r="F507" s="31" t="inlineStr">
        <is>
          <t>-</t>
        </is>
      </c>
      <c r="G507" s="31" t="inlineStr">
        <is>
          <t>-</t>
        </is>
      </c>
      <c r="H507" s="31" t="inlineStr">
        <is>
          <t>-</t>
        </is>
      </c>
      <c r="I507" s="40" t="inlineStr">
        <is>
          <t>-</t>
        </is>
      </c>
      <c r="J507" s="40" t="inlineStr">
        <is>
          <t>-</t>
        </is>
      </c>
      <c r="K507" s="40" t="inlineStr">
        <is>
          <t>-</t>
        </is>
      </c>
    </row>
    <row r="508">
      <c r="C508" s="79" t="n"/>
      <c r="D508" s="79" t="n"/>
      <c r="E508" s="79" t="n"/>
      <c r="F508" s="79" t="n"/>
      <c r="G508" s="79" t="n"/>
      <c r="H508" s="79" t="n"/>
      <c r="I508" s="40" t="n"/>
      <c r="J508" s="40" t="n"/>
      <c r="K508" s="40" t="n"/>
    </row>
    <row r="509">
      <c r="B509" t="inlineStr">
        <is>
          <t>Foreign currency deposits</t>
        </is>
      </c>
      <c r="C509" s="86" t="inlineStr">
        <is>
          <t>-</t>
        </is>
      </c>
      <c r="D509" s="86" t="inlineStr">
        <is>
          <t>-</t>
        </is>
      </c>
      <c r="E509" s="86" t="inlineStr">
        <is>
          <t>-</t>
        </is>
      </c>
      <c r="F509" s="86" t="inlineStr">
        <is>
          <t>-</t>
        </is>
      </c>
      <c r="G509" s="86" t="inlineStr">
        <is>
          <t>-</t>
        </is>
      </c>
      <c r="H509" s="86" t="inlineStr">
        <is>
          <t>-</t>
        </is>
      </c>
      <c r="I509" s="40" t="inlineStr">
        <is>
          <t>-</t>
        </is>
      </c>
      <c r="J509" s="40" t="inlineStr">
        <is>
          <t>-</t>
        </is>
      </c>
      <c r="K509" s="40" t="inlineStr">
        <is>
          <t>-</t>
        </is>
      </c>
    </row>
    <row r="510">
      <c r="B510" t="inlineStr">
        <is>
          <t>Current account balances</t>
        </is>
      </c>
      <c r="C510" s="31" t="inlineStr">
        <is>
          <t>-</t>
        </is>
      </c>
      <c r="D510" s="31" t="inlineStr">
        <is>
          <t>-</t>
        </is>
      </c>
      <c r="E510" s="31" t="inlineStr">
        <is>
          <t>-</t>
        </is>
      </c>
      <c r="F510" s="31" t="inlineStr">
        <is>
          <t>-</t>
        </is>
      </c>
      <c r="G510" s="31" t="inlineStr">
        <is>
          <t>-</t>
        </is>
      </c>
      <c r="H510" s="31" t="inlineStr">
        <is>
          <t>-</t>
        </is>
      </c>
      <c r="I510" s="40" t="inlineStr">
        <is>
          <t>-</t>
        </is>
      </c>
      <c r="J510" s="57" t="inlineStr">
        <is>
          <t>-</t>
        </is>
      </c>
      <c r="K510" s="40" t="inlineStr">
        <is>
          <t>-</t>
        </is>
      </c>
    </row>
    <row r="511">
      <c r="B511" t="inlineStr">
        <is>
          <t>Savings deposits</t>
        </is>
      </c>
      <c r="C511" s="31" t="inlineStr">
        <is>
          <t>-</t>
        </is>
      </c>
      <c r="D511" s="31" t="inlineStr">
        <is>
          <t>-</t>
        </is>
      </c>
      <c r="E511" s="31" t="inlineStr">
        <is>
          <t>-</t>
        </is>
      </c>
      <c r="F511" s="31" t="inlineStr">
        <is>
          <t>-</t>
        </is>
      </c>
      <c r="G511" s="31" t="inlineStr">
        <is>
          <t>-</t>
        </is>
      </c>
      <c r="H511" s="31" t="inlineStr">
        <is>
          <t>-</t>
        </is>
      </c>
      <c r="I511" s="40" t="inlineStr">
        <is>
          <t>-</t>
        </is>
      </c>
      <c r="J511" s="40" t="inlineStr">
        <is>
          <t>-</t>
        </is>
      </c>
      <c r="K511" s="40" t="inlineStr">
        <is>
          <t>-</t>
        </is>
      </c>
    </row>
    <row r="512">
      <c r="B512" t="inlineStr">
        <is>
          <t>Time deposits</t>
        </is>
      </c>
      <c r="C512" s="31" t="inlineStr">
        <is>
          <t>-</t>
        </is>
      </c>
      <c r="D512" s="31" t="inlineStr">
        <is>
          <t>-</t>
        </is>
      </c>
      <c r="E512" s="31" t="inlineStr">
        <is>
          <t>-</t>
        </is>
      </c>
      <c r="F512" s="31" t="inlineStr">
        <is>
          <t>-</t>
        </is>
      </c>
      <c r="G512" s="31" t="inlineStr">
        <is>
          <t>-</t>
        </is>
      </c>
      <c r="H512" s="31" t="inlineStr">
        <is>
          <t>-</t>
        </is>
      </c>
      <c r="I512" s="40" t="inlineStr">
        <is>
          <t>-</t>
        </is>
      </c>
      <c r="J512" s="40" t="inlineStr">
        <is>
          <t>-</t>
        </is>
      </c>
      <c r="K512" s="40" t="inlineStr">
        <is>
          <t>-</t>
        </is>
      </c>
    </row>
    <row r="513">
      <c r="C513" s="79" t="n"/>
      <c r="D513" s="79" t="n"/>
      <c r="E513" s="79" t="n"/>
      <c r="F513" s="79" t="n"/>
      <c r="G513" s="79" t="n"/>
      <c r="H513" s="79" t="n"/>
      <c r="I513" s="40" t="n"/>
      <c r="J513" s="40" t="n"/>
      <c r="K513" s="40" t="n"/>
    </row>
    <row r="514">
      <c r="B514" s="3" t="inlineStr">
        <is>
          <t>By Product</t>
        </is>
      </c>
      <c r="C514" s="47" t="inlineStr">
        <is>
          <t>-</t>
        </is>
      </c>
      <c r="D514" s="47" t="inlineStr">
        <is>
          <t>-</t>
        </is>
      </c>
      <c r="E514" s="47" t="inlineStr">
        <is>
          <t>-</t>
        </is>
      </c>
      <c r="F514" s="47" t="inlineStr">
        <is>
          <t>-</t>
        </is>
      </c>
      <c r="G514" s="47" t="inlineStr">
        <is>
          <t>-</t>
        </is>
      </c>
      <c r="H514" s="47" t="inlineStr">
        <is>
          <t>-</t>
        </is>
      </c>
      <c r="I514" s="47" t="inlineStr">
        <is>
          <t>-</t>
        </is>
      </c>
      <c r="J514" s="47" t="inlineStr">
        <is>
          <t>-</t>
        </is>
      </c>
      <c r="K514" s="47" t="inlineStr">
        <is>
          <t>-</t>
        </is>
      </c>
    </row>
    <row r="515">
      <c r="B515" t="inlineStr">
        <is>
          <t>Current account balances</t>
        </is>
      </c>
      <c r="C515" s="31" t="inlineStr">
        <is>
          <t>-</t>
        </is>
      </c>
      <c r="D515" s="31" t="inlineStr">
        <is>
          <t>-</t>
        </is>
      </c>
      <c r="E515" s="31" t="inlineStr">
        <is>
          <t>-</t>
        </is>
      </c>
      <c r="F515" s="31" t="inlineStr">
        <is>
          <t>-</t>
        </is>
      </c>
      <c r="G515" s="31" t="inlineStr">
        <is>
          <t>-</t>
        </is>
      </c>
      <c r="H515" s="31" t="inlineStr">
        <is>
          <t>-</t>
        </is>
      </c>
      <c r="I515" s="40" t="inlineStr">
        <is>
          <t>-</t>
        </is>
      </c>
      <c r="J515" s="40" t="inlineStr">
        <is>
          <t>-</t>
        </is>
      </c>
      <c r="K515" s="40" t="inlineStr">
        <is>
          <t>-</t>
        </is>
      </c>
    </row>
    <row r="516">
      <c r="B516" t="inlineStr">
        <is>
          <t>Savings deposits</t>
        </is>
      </c>
      <c r="C516" s="31" t="inlineStr">
        <is>
          <t>-</t>
        </is>
      </c>
      <c r="D516" s="31" t="inlineStr">
        <is>
          <t>-</t>
        </is>
      </c>
      <c r="E516" s="31" t="inlineStr">
        <is>
          <t>-</t>
        </is>
      </c>
      <c r="F516" s="31" t="inlineStr">
        <is>
          <t>-</t>
        </is>
      </c>
      <c r="G516" s="31" t="inlineStr">
        <is>
          <t>-</t>
        </is>
      </c>
      <c r="H516" s="31" t="inlineStr">
        <is>
          <t>-</t>
        </is>
      </c>
      <c r="I516" s="40" t="inlineStr">
        <is>
          <t>-</t>
        </is>
      </c>
      <c r="J516" s="40" t="inlineStr">
        <is>
          <t>-</t>
        </is>
      </c>
      <c r="K516" s="40" t="inlineStr">
        <is>
          <t>-</t>
        </is>
      </c>
    </row>
    <row r="517">
      <c r="B517" t="inlineStr">
        <is>
          <t>Time deposits</t>
        </is>
      </c>
      <c r="C517" s="31" t="inlineStr">
        <is>
          <t>-</t>
        </is>
      </c>
      <c r="D517" s="31" t="inlineStr">
        <is>
          <t>-</t>
        </is>
      </c>
      <c r="E517" s="31" t="inlineStr">
        <is>
          <t>-</t>
        </is>
      </c>
      <c r="F517" s="31" t="inlineStr">
        <is>
          <t>-</t>
        </is>
      </c>
      <c r="G517" s="31" t="inlineStr">
        <is>
          <t>-</t>
        </is>
      </c>
      <c r="H517" s="31" t="inlineStr">
        <is>
          <t>-</t>
        </is>
      </c>
      <c r="I517" s="40" t="inlineStr">
        <is>
          <t>-</t>
        </is>
      </c>
      <c r="J517" s="40" t="inlineStr">
        <is>
          <t>-</t>
        </is>
      </c>
      <c r="K517" s="40" t="inlineStr">
        <is>
          <t>-</t>
        </is>
      </c>
    </row>
    <row r="518">
      <c r="B518" t="inlineStr">
        <is>
          <t>Other deposits</t>
        </is>
      </c>
      <c r="C518" s="31" t="inlineStr">
        <is>
          <t>-</t>
        </is>
      </c>
      <c r="D518" s="31" t="inlineStr">
        <is>
          <t>-</t>
        </is>
      </c>
      <c r="E518" s="31" t="inlineStr">
        <is>
          <t>-</t>
        </is>
      </c>
      <c r="F518" s="31" t="inlineStr">
        <is>
          <t>-</t>
        </is>
      </c>
      <c r="G518" s="31" t="inlineStr">
        <is>
          <t>-</t>
        </is>
      </c>
      <c r="H518" s="31" t="inlineStr">
        <is>
          <t>-</t>
        </is>
      </c>
      <c r="I518" s="40" t="inlineStr">
        <is>
          <t>-</t>
        </is>
      </c>
      <c r="J518" s="40" t="inlineStr">
        <is>
          <t>-</t>
        </is>
      </c>
      <c r="K518" s="40" t="inlineStr">
        <is>
          <t>-</t>
        </is>
      </c>
    </row>
    <row r="519">
      <c r="C519" s="79" t="n"/>
      <c r="D519" s="79" t="n"/>
      <c r="E519" s="79" t="n"/>
      <c r="F519" s="79" t="n"/>
      <c r="G519" s="79" t="n"/>
      <c r="H519" s="79" t="n"/>
      <c r="I519" s="40" t="n"/>
      <c r="J519" s="40" t="n"/>
      <c r="K519" s="40" t="n"/>
    </row>
    <row r="520" customFormat="1" s="33">
      <c r="B520" s="33" t="inlineStr">
        <is>
          <t>Check</t>
        </is>
      </c>
      <c r="C520" s="79" t="n">
        <v>-857269981</v>
      </c>
      <c r="D520" s="79" t="n">
        <v>-994370875</v>
      </c>
      <c r="E520" s="79" t="n">
        <v>-1068982587</v>
      </c>
      <c r="F520" s="79" t="n">
        <v>-1286616399</v>
      </c>
      <c r="G520" s="79" t="n">
        <v>0</v>
      </c>
      <c r="H520" s="79" t="n">
        <v>0</v>
      </c>
      <c r="I520" s="40" t="inlineStr">
        <is>
          <t>-</t>
        </is>
      </c>
      <c r="J520" s="40" t="inlineStr">
        <is>
          <t>-</t>
        </is>
      </c>
      <c r="K520" s="40" t="inlineStr">
        <is>
          <t>-</t>
        </is>
      </c>
    </row>
    <row r="521">
      <c r="C521" s="79" t="n"/>
      <c r="D521" s="79" t="n"/>
      <c r="E521" s="79" t="n"/>
      <c r="F521" s="79" t="n"/>
      <c r="G521" s="79" t="n"/>
      <c r="H521" s="79" t="n"/>
      <c r="I521" s="40" t="n"/>
      <c r="J521" s="40" t="n"/>
      <c r="K521" s="40" t="n"/>
    </row>
    <row r="522">
      <c r="B522" t="inlineStr">
        <is>
          <t>Total deposits / gross loans and advances</t>
        </is>
      </c>
      <c r="C522" s="68" t="inlineStr">
        <is>
          <t>-</t>
        </is>
      </c>
      <c r="D522" s="68" t="inlineStr">
        <is>
          <t>-</t>
        </is>
      </c>
      <c r="E522" s="68" t="inlineStr">
        <is>
          <t>-</t>
        </is>
      </c>
      <c r="F522" s="68" t="inlineStr">
        <is>
          <t>-</t>
        </is>
      </c>
      <c r="G522" s="68" t="inlineStr">
        <is>
          <t>-</t>
        </is>
      </c>
      <c r="H522" s="68" t="inlineStr">
        <is>
          <t>-</t>
        </is>
      </c>
      <c r="I522" s="93" t="inlineStr">
        <is>
          <t>-</t>
        </is>
      </c>
      <c r="J522" s="93" t="inlineStr">
        <is>
          <t>-</t>
        </is>
      </c>
      <c r="K522" s="93" t="inlineStr">
        <is>
          <t>-</t>
        </is>
      </c>
    </row>
    <row r="523">
      <c r="B523" t="inlineStr">
        <is>
          <t>Total deposits / total assets</t>
        </is>
      </c>
      <c r="C523" s="68" t="inlineStr">
        <is>
          <t>-</t>
        </is>
      </c>
      <c r="D523" s="68" t="n">
        <v>1319912237</v>
      </c>
      <c r="E523" s="68" t="n">
        <v>1048941366</v>
      </c>
      <c r="F523" s="68" t="n">
        <v>1736218021</v>
      </c>
      <c r="G523" s="68" t="n">
        <v>1983091144</v>
      </c>
      <c r="H523" s="68" t="n">
        <v>2425793952</v>
      </c>
      <c r="I523" s="68" t="n">
        <v>2655611675</v>
      </c>
      <c r="J523" s="68" t="n">
        <v>2789780828</v>
      </c>
      <c r="K523" s="68" t="n">
        <v>3378846406</v>
      </c>
    </row>
    <row r="524">
      <c r="C524" s="79" t="n"/>
      <c r="D524" s="79" t="n"/>
      <c r="E524" s="79" t="n"/>
      <c r="F524" s="79" t="n"/>
      <c r="G524" s="79" t="n"/>
      <c r="H524" s="79" t="n"/>
      <c r="I524" s="40" t="n"/>
      <c r="J524" s="40" t="n"/>
      <c r="K524" s="40" t="n"/>
    </row>
    <row r="525">
      <c r="B525" t="inlineStr">
        <is>
          <t>Deposit mix</t>
        </is>
      </c>
      <c r="C525" s="79" t="inlineStr">
        <is>
          <t>-</t>
        </is>
      </c>
      <c r="D525" s="79" t="inlineStr">
        <is>
          <t>-</t>
        </is>
      </c>
      <c r="E525" s="79" t="inlineStr">
        <is>
          <t>-</t>
        </is>
      </c>
      <c r="F525" s="79" t="inlineStr">
        <is>
          <t>-</t>
        </is>
      </c>
      <c r="G525" s="79" t="inlineStr">
        <is>
          <t>-</t>
        </is>
      </c>
      <c r="H525" s="79" t="inlineStr">
        <is>
          <t>-</t>
        </is>
      </c>
      <c r="I525" s="40" t="inlineStr">
        <is>
          <t>-</t>
        </is>
      </c>
      <c r="J525" s="40" t="inlineStr">
        <is>
          <t>-</t>
        </is>
      </c>
      <c r="K525" s="40" t="inlineStr">
        <is>
          <t>-</t>
        </is>
      </c>
    </row>
    <row r="526">
      <c r="B526" t="inlineStr">
        <is>
          <t>Current account balances</t>
        </is>
      </c>
      <c r="C526" s="68" t="inlineStr">
        <is>
          <t>-</t>
        </is>
      </c>
      <c r="D526" s="68" t="inlineStr">
        <is>
          <t>-</t>
        </is>
      </c>
      <c r="E526" s="68" t="inlineStr">
        <is>
          <t>-</t>
        </is>
      </c>
      <c r="F526" s="68" t="inlineStr">
        <is>
          <t>-</t>
        </is>
      </c>
      <c r="G526" s="68" t="inlineStr">
        <is>
          <t>-</t>
        </is>
      </c>
      <c r="H526" s="68" t="inlineStr">
        <is>
          <t>-</t>
        </is>
      </c>
      <c r="I526" s="93" t="inlineStr">
        <is>
          <t>-</t>
        </is>
      </c>
      <c r="J526" s="93" t="inlineStr">
        <is>
          <t>-</t>
        </is>
      </c>
      <c r="K526" s="93" t="inlineStr">
        <is>
          <t>-</t>
        </is>
      </c>
    </row>
    <row r="527">
      <c r="B527" t="inlineStr">
        <is>
          <t>Savings deposits</t>
        </is>
      </c>
      <c r="C527" s="68" t="inlineStr">
        <is>
          <t>-</t>
        </is>
      </c>
      <c r="D527" s="68" t="inlineStr">
        <is>
          <t>-</t>
        </is>
      </c>
      <c r="E527" s="68" t="inlineStr">
        <is>
          <t>-</t>
        </is>
      </c>
      <c r="F527" s="68" t="inlineStr">
        <is>
          <t>-</t>
        </is>
      </c>
      <c r="G527" s="68" t="inlineStr">
        <is>
          <t>-</t>
        </is>
      </c>
      <c r="H527" s="68" t="inlineStr">
        <is>
          <t>-</t>
        </is>
      </c>
      <c r="I527" s="93" t="inlineStr">
        <is>
          <t>-</t>
        </is>
      </c>
      <c r="J527" s="93" t="inlineStr">
        <is>
          <t>-</t>
        </is>
      </c>
      <c r="K527" s="93" t="inlineStr">
        <is>
          <t>-</t>
        </is>
      </c>
    </row>
    <row r="528">
      <c r="B528" t="inlineStr">
        <is>
          <t>Time deposits</t>
        </is>
      </c>
      <c r="C528" s="68" t="inlineStr">
        <is>
          <t>-</t>
        </is>
      </c>
      <c r="D528" s="68" t="inlineStr">
        <is>
          <t>-</t>
        </is>
      </c>
      <c r="E528" s="68" t="inlineStr">
        <is>
          <t>-</t>
        </is>
      </c>
      <c r="F528" s="68" t="inlineStr">
        <is>
          <t>-</t>
        </is>
      </c>
      <c r="G528" s="68" t="inlineStr">
        <is>
          <t>-</t>
        </is>
      </c>
      <c r="H528" s="68" t="inlineStr">
        <is>
          <t>-</t>
        </is>
      </c>
      <c r="I528" s="93" t="inlineStr">
        <is>
          <t>-</t>
        </is>
      </c>
      <c r="J528" s="93" t="inlineStr">
        <is>
          <t>-</t>
        </is>
      </c>
      <c r="K528" s="93" t="inlineStr">
        <is>
          <t>-</t>
        </is>
      </c>
    </row>
    <row r="529">
      <c r="B529" t="inlineStr">
        <is>
          <t>Other deposits</t>
        </is>
      </c>
      <c r="C529" s="68" t="inlineStr">
        <is>
          <t>-</t>
        </is>
      </c>
      <c r="D529" s="68" t="inlineStr">
        <is>
          <t>-</t>
        </is>
      </c>
      <c r="E529" s="68" t="inlineStr">
        <is>
          <t>-</t>
        </is>
      </c>
      <c r="F529" s="68" t="inlineStr">
        <is>
          <t>-</t>
        </is>
      </c>
      <c r="G529" s="68" t="inlineStr">
        <is>
          <t>-</t>
        </is>
      </c>
      <c r="H529" s="68" t="inlineStr">
        <is>
          <t>-</t>
        </is>
      </c>
      <c r="I529" s="93" t="inlineStr">
        <is>
          <t>-</t>
        </is>
      </c>
      <c r="J529" s="93" t="inlineStr">
        <is>
          <t>-</t>
        </is>
      </c>
      <c r="K529" s="93" t="inlineStr">
        <is>
          <t>-</t>
        </is>
      </c>
    </row>
    <row r="530">
      <c r="C530" s="79" t="n"/>
      <c r="D530" s="79" t="n"/>
      <c r="E530" s="79" t="n"/>
      <c r="F530" s="79" t="n"/>
      <c r="G530" s="79" t="n"/>
      <c r="H530" s="79" t="n"/>
      <c r="I530" s="40" t="n"/>
      <c r="J530" s="40" t="n"/>
      <c r="K530" s="40" t="n"/>
    </row>
    <row r="531">
      <c r="C531" s="79" t="n"/>
      <c r="D531" s="79" t="n"/>
      <c r="E531" s="79" t="n"/>
      <c r="F531" s="79" t="n"/>
      <c r="G531" s="79" t="n"/>
      <c r="H531" s="79" t="n"/>
      <c r="I531" s="40" t="n"/>
      <c r="J531" s="40" t="n"/>
      <c r="K531" s="40" t="n"/>
    </row>
    <row r="532" customFormat="1" s="7">
      <c r="C532" s="62" t="n"/>
      <c r="D532" s="62" t="n"/>
      <c r="E532" s="62" t="n"/>
      <c r="F532" s="62" t="n"/>
      <c r="G532" s="62" t="n"/>
      <c r="H532" s="62" t="n"/>
      <c r="I532" s="63" t="n"/>
      <c r="J532" s="63" t="n"/>
      <c r="K532" s="63" t="n"/>
    </row>
    <row r="533">
      <c r="C533" s="79" t="n"/>
      <c r="D533" s="79" t="n"/>
      <c r="E533" s="79" t="n"/>
      <c r="F533" s="79" t="n"/>
      <c r="G533" s="79" t="n"/>
      <c r="H533" s="79" t="n"/>
      <c r="I533" s="57" t="n"/>
      <c r="J533" s="40" t="n"/>
      <c r="K533" s="40" t="n"/>
    </row>
    <row r="534">
      <c r="B534" t="inlineStr">
        <is>
          <t>Financial liabilities at amortised cost – other borrowings</t>
        </is>
      </c>
      <c r="C534" s="31" t="inlineStr">
        <is>
          <t>-</t>
        </is>
      </c>
      <c r="D534" s="31" t="inlineStr">
        <is>
          <t>-</t>
        </is>
      </c>
      <c r="E534" s="31" t="inlineStr">
        <is>
          <t>-</t>
        </is>
      </c>
      <c r="F534" s="31" t="n">
        <v>-13.46</v>
      </c>
      <c r="G534" s="31" t="inlineStr">
        <is>
          <t>-</t>
        </is>
      </c>
      <c r="H534" s="31" t="n">
        <v>16150000</v>
      </c>
      <c r="I534" s="57" t="n">
        <v>12756000</v>
      </c>
      <c r="J534" s="57" t="inlineStr">
        <is>
          <t>-</t>
        </is>
      </c>
      <c r="K534" s="57" t="n">
        <v>14246000</v>
      </c>
    </row>
    <row r="535">
      <c r="C535" s="79" t="n"/>
      <c r="D535" s="79" t="n"/>
      <c r="E535" s="79" t="n"/>
      <c r="F535" s="79" t="n"/>
      <c r="G535" s="79" t="n"/>
      <c r="H535" s="79" t="n"/>
      <c r="I535" s="40" t="n"/>
      <c r="J535" s="40" t="n"/>
      <c r="K535" s="40" t="n"/>
    </row>
    <row r="536">
      <c r="B536" t="inlineStr">
        <is>
          <t>Refinance borrowings</t>
        </is>
      </c>
      <c r="C536" s="31" t="inlineStr">
        <is>
          <t>-</t>
        </is>
      </c>
      <c r="D536" s="31" t="inlineStr">
        <is>
          <t>-</t>
        </is>
      </c>
      <c r="E536" s="31" t="inlineStr">
        <is>
          <t>-</t>
        </is>
      </c>
      <c r="F536" s="31" t="inlineStr">
        <is>
          <t>-</t>
        </is>
      </c>
      <c r="G536" s="31" t="inlineStr">
        <is>
          <t>-</t>
        </is>
      </c>
      <c r="H536" s="31" t="inlineStr">
        <is>
          <t>-</t>
        </is>
      </c>
      <c r="I536" s="40" t="inlineStr">
        <is>
          <t>-</t>
        </is>
      </c>
      <c r="J536" s="40" t="inlineStr">
        <is>
          <t>-</t>
        </is>
      </c>
      <c r="K536" s="40" t="inlineStr">
        <is>
          <t>-</t>
        </is>
      </c>
    </row>
    <row r="537">
      <c r="B537" t="inlineStr">
        <is>
          <t>Borrowings from International Finance Corporation (IFC)</t>
        </is>
      </c>
      <c r="C537" s="31" t="inlineStr">
        <is>
          <t>-</t>
        </is>
      </c>
      <c r="D537" s="31" t="inlineStr">
        <is>
          <t>-</t>
        </is>
      </c>
      <c r="E537" s="31" t="inlineStr">
        <is>
          <t>-</t>
        </is>
      </c>
      <c r="F537" s="31" t="inlineStr">
        <is>
          <t>-</t>
        </is>
      </c>
      <c r="G537" s="31" t="inlineStr">
        <is>
          <t>-</t>
        </is>
      </c>
      <c r="H537" s="31" t="inlineStr">
        <is>
          <t>-</t>
        </is>
      </c>
      <c r="I537" s="40" t="inlineStr">
        <is>
          <t>-</t>
        </is>
      </c>
      <c r="J537" s="40" t="inlineStr">
        <is>
          <t>-</t>
        </is>
      </c>
      <c r="K537" s="40" t="inlineStr">
        <is>
          <t>-</t>
        </is>
      </c>
    </row>
    <row r="538">
      <c r="C538" s="79" t="n"/>
      <c r="D538" s="79" t="n"/>
      <c r="E538" s="79" t="n"/>
      <c r="F538" s="79" t="n"/>
      <c r="G538" s="79" t="n"/>
      <c r="H538" s="79" t="n"/>
      <c r="I538" s="40" t="n"/>
      <c r="J538" s="40" t="n"/>
      <c r="K538" s="40" t="n"/>
    </row>
    <row r="539" customFormat="1" s="33">
      <c r="B539" s="33" t="inlineStr">
        <is>
          <t>Check</t>
        </is>
      </c>
      <c r="C539" s="79" t="n">
        <v>-857269981</v>
      </c>
      <c r="D539" s="79" t="n">
        <v>-994370875</v>
      </c>
      <c r="E539" s="79" t="n">
        <v>-1068982587</v>
      </c>
      <c r="F539" s="79" t="n">
        <v>-1286616399</v>
      </c>
      <c r="G539" s="79" t="n">
        <v>0</v>
      </c>
      <c r="H539" s="79" t="n">
        <v>0</v>
      </c>
      <c r="I539" s="40" t="inlineStr">
        <is>
          <t>-</t>
        </is>
      </c>
      <c r="J539" s="40" t="inlineStr">
        <is>
          <t>-</t>
        </is>
      </c>
      <c r="K539" s="40" t="inlineStr">
        <is>
          <t>-</t>
        </is>
      </c>
    </row>
    <row r="540">
      <c r="C540" s="79" t="n"/>
      <c r="D540" s="79" t="n"/>
      <c r="E540" s="79" t="n"/>
      <c r="F540" s="79" t="n"/>
      <c r="G540" s="79" t="n"/>
      <c r="H540" s="79" t="n"/>
      <c r="I540" s="40" t="n"/>
      <c r="J540" s="40" t="n"/>
      <c r="K540" s="40" t="n"/>
    </row>
    <row r="541">
      <c r="B541" t="inlineStr">
        <is>
          <t>Growh YoY</t>
        </is>
      </c>
      <c r="C541" s="68" t="inlineStr">
        <is>
          <t>-</t>
        </is>
      </c>
      <c r="D541" s="68" t="inlineStr">
        <is>
          <t>-</t>
        </is>
      </c>
      <c r="E541" s="68" t="inlineStr">
        <is>
          <t>-</t>
        </is>
      </c>
      <c r="F541" s="68" t="inlineStr">
        <is>
          <t>-</t>
        </is>
      </c>
      <c r="G541" s="68" t="inlineStr">
        <is>
          <t>-</t>
        </is>
      </c>
      <c r="H541" s="68" t="inlineStr">
        <is>
          <t>-</t>
        </is>
      </c>
      <c r="I541" s="68" t="inlineStr">
        <is>
          <t>-</t>
        </is>
      </c>
      <c r="J541" s="93" t="inlineStr">
        <is>
          <t>-</t>
        </is>
      </c>
      <c r="K541" s="93" t="inlineStr">
        <is>
          <t>-</t>
        </is>
      </c>
    </row>
    <row r="542">
      <c r="C542" s="79" t="n"/>
      <c r="D542" s="79" t="n"/>
      <c r="E542" s="79" t="n"/>
      <c r="F542" s="79" t="n"/>
      <c r="G542" s="79" t="n"/>
      <c r="H542" s="79" t="n"/>
      <c r="I542" s="40" t="n"/>
      <c r="J542" s="40" t="n"/>
      <c r="K542" s="40" t="n"/>
    </row>
    <row r="543">
      <c r="B543" t="inlineStr">
        <is>
          <t>New debenture issue</t>
        </is>
      </c>
      <c r="C543" s="79" t="inlineStr">
        <is>
          <t>-</t>
        </is>
      </c>
      <c r="D543" s="79" t="inlineStr">
        <is>
          <t>-</t>
        </is>
      </c>
      <c r="E543" s="79" t="inlineStr">
        <is>
          <t>-</t>
        </is>
      </c>
      <c r="F543" s="79" t="inlineStr">
        <is>
          <t>-</t>
        </is>
      </c>
      <c r="G543" s="79" t="inlineStr">
        <is>
          <t>-</t>
        </is>
      </c>
      <c r="H543" s="79" t="inlineStr">
        <is>
          <t>-</t>
        </is>
      </c>
      <c r="I543" s="57" t="inlineStr">
        <is>
          <t>-</t>
        </is>
      </c>
      <c r="J543" s="40" t="inlineStr">
        <is>
          <t>-</t>
        </is>
      </c>
      <c r="K543" s="40" t="inlineStr">
        <is>
          <t>-</t>
        </is>
      </c>
    </row>
    <row r="544" customFormat="1" s="7">
      <c r="C544" s="62" t="n"/>
      <c r="D544" s="62" t="n"/>
      <c r="E544" s="62" t="n"/>
      <c r="F544" s="62" t="n"/>
      <c r="G544" s="62" t="n"/>
      <c r="H544" s="62" t="n"/>
      <c r="I544" s="63" t="n"/>
      <c r="J544" s="63" t="n"/>
      <c r="K544" s="63" t="n"/>
    </row>
    <row r="545">
      <c r="C545" s="79" t="n"/>
      <c r="D545" s="79" t="n"/>
      <c r="E545" s="79" t="n"/>
      <c r="F545" s="79" t="n"/>
      <c r="G545" s="79" t="n"/>
      <c r="H545" s="79" t="n"/>
      <c r="I545" s="40" t="n"/>
      <c r="J545" s="40" t="n"/>
      <c r="K545" s="40" t="n"/>
    </row>
    <row r="546">
      <c r="B546" t="inlineStr">
        <is>
          <t>Current tax liabilities</t>
        </is>
      </c>
      <c r="C546" s="31" t="inlineStr">
        <is>
          <t>-</t>
        </is>
      </c>
      <c r="D546" s="31" t="inlineStr">
        <is>
          <t>-</t>
        </is>
      </c>
      <c r="E546" s="31" t="inlineStr">
        <is>
          <t>-</t>
        </is>
      </c>
      <c r="F546" s="31" t="n">
        <v>34.58</v>
      </c>
      <c r="G546" s="31" t="inlineStr">
        <is>
          <t>-</t>
        </is>
      </c>
      <c r="H546" s="31" t="n">
        <v>24475000</v>
      </c>
      <c r="I546" s="57" t="n">
        <v>14952000</v>
      </c>
      <c r="J546" s="57" t="inlineStr">
        <is>
          <t>-</t>
        </is>
      </c>
      <c r="K546" s="57" t="n">
        <v>25759000</v>
      </c>
    </row>
    <row r="547">
      <c r="B547" t="inlineStr">
        <is>
          <t>Deferred tax liabilities</t>
        </is>
      </c>
      <c r="C547" s="31" t="inlineStr">
        <is>
          <t>-</t>
        </is>
      </c>
      <c r="D547" s="31" t="inlineStr">
        <is>
          <t>-</t>
        </is>
      </c>
      <c r="E547" s="31" t="inlineStr">
        <is>
          <t>-</t>
        </is>
      </c>
      <c r="F547" s="31" t="n">
        <v>-3.03</v>
      </c>
      <c r="G547" s="31" t="inlineStr">
        <is>
          <t>-</t>
        </is>
      </c>
      <c r="H547" s="31" t="inlineStr">
        <is>
          <t>-</t>
        </is>
      </c>
      <c r="I547" s="57" t="inlineStr">
        <is>
          <t>-</t>
        </is>
      </c>
      <c r="J547" s="57" t="inlineStr">
        <is>
          <t>-</t>
        </is>
      </c>
      <c r="K547" s="57" t="inlineStr">
        <is>
          <t>-</t>
        </is>
      </c>
    </row>
    <row r="548">
      <c r="C548" s="79" t="n"/>
      <c r="D548" s="79" t="n"/>
      <c r="E548" s="79" t="n"/>
      <c r="F548" s="79" t="n"/>
      <c r="G548" s="79" t="n"/>
      <c r="H548" s="79" t="n"/>
      <c r="I548" s="40" t="n"/>
      <c r="J548" s="40" t="n"/>
      <c r="K548" s="40" t="n"/>
    </row>
    <row r="549">
      <c r="B549" t="inlineStr">
        <is>
          <t>As a % of taxes</t>
        </is>
      </c>
      <c r="C549" s="68" t="inlineStr">
        <is>
          <t>-</t>
        </is>
      </c>
      <c r="D549" s="68" t="inlineStr">
        <is>
          <t>-</t>
        </is>
      </c>
      <c r="E549" s="68" t="inlineStr">
        <is>
          <t>-</t>
        </is>
      </c>
      <c r="F549" s="68" t="inlineStr">
        <is>
          <t>-</t>
        </is>
      </c>
      <c r="G549" s="68" t="inlineStr">
        <is>
          <t>-</t>
        </is>
      </c>
      <c r="H549" s="68" t="inlineStr">
        <is>
          <t>-</t>
        </is>
      </c>
      <c r="I549" s="93" t="inlineStr">
        <is>
          <t>-</t>
        </is>
      </c>
      <c r="J549" s="93" t="inlineStr">
        <is>
          <t>-</t>
        </is>
      </c>
      <c r="K549" s="93" t="inlineStr">
        <is>
          <t>-</t>
        </is>
      </c>
    </row>
    <row r="550">
      <c r="C550" s="79" t="n"/>
      <c r="D550" s="79" t="n"/>
      <c r="E550" s="79" t="n"/>
      <c r="F550" s="79" t="n"/>
      <c r="G550" s="79" t="n"/>
      <c r="H550" s="79" t="n"/>
      <c r="I550" s="40" t="n"/>
      <c r="J550" s="40" t="n"/>
      <c r="K550" s="40" t="n"/>
    </row>
    <row r="551" customFormat="1" s="7">
      <c r="C551" s="62" t="n"/>
      <c r="D551" s="62" t="n"/>
      <c r="E551" s="62" t="n"/>
      <c r="F551" s="62" t="n"/>
      <c r="G551" s="62" t="n"/>
      <c r="H551" s="62" t="n"/>
      <c r="I551" s="63" t="n"/>
      <c r="J551" s="63" t="n"/>
      <c r="K551" s="63" t="n"/>
    </row>
    <row r="552">
      <c r="C552" s="79" t="n"/>
      <c r="D552" s="79" t="n"/>
      <c r="E552" s="79" t="n"/>
      <c r="F552" s="79" t="n"/>
      <c r="G552" s="79" t="n"/>
      <c r="H552" s="79" t="n"/>
      <c r="I552" s="40" t="n"/>
      <c r="J552" s="40" t="n"/>
      <c r="K552" s="40" t="n"/>
    </row>
    <row r="553">
      <c r="B553" t="inlineStr">
        <is>
          <t>Other liabilities</t>
        </is>
      </c>
      <c r="C553" s="31" t="inlineStr">
        <is>
          <t>-</t>
        </is>
      </c>
      <c r="D553" s="31" t="inlineStr">
        <is>
          <t>-</t>
        </is>
      </c>
      <c r="E553" s="31" t="inlineStr">
        <is>
          <t>-</t>
        </is>
      </c>
      <c r="F553" s="31" t="n">
        <v>9.09</v>
      </c>
      <c r="G553" s="31" t="inlineStr">
        <is>
          <t>-</t>
        </is>
      </c>
      <c r="H553" s="31" t="n">
        <v>39861000</v>
      </c>
      <c r="I553" s="13" t="n">
        <v>55050000</v>
      </c>
      <c r="J553" s="13" t="inlineStr">
        <is>
          <t>-</t>
        </is>
      </c>
      <c r="K553" s="13" t="n">
        <v>69681000</v>
      </c>
    </row>
    <row r="554">
      <c r="C554" s="31" t="n"/>
      <c r="D554" s="31" t="n"/>
      <c r="E554" s="31" t="n"/>
      <c r="F554" s="31" t="n"/>
      <c r="G554" s="31" t="n"/>
      <c r="H554" s="31" t="n"/>
      <c r="I554" s="13" t="n"/>
      <c r="J554" s="13" t="n"/>
      <c r="K554" s="13" t="n"/>
    </row>
    <row r="555">
      <c r="B555" t="inlineStr">
        <is>
          <t>As a % of deposits</t>
        </is>
      </c>
      <c r="C555" s="81" t="inlineStr">
        <is>
          <t>-</t>
        </is>
      </c>
      <c r="D555" s="81" t="inlineStr">
        <is>
          <t>-</t>
        </is>
      </c>
      <c r="E555" s="81" t="inlineStr">
        <is>
          <t>-</t>
        </is>
      </c>
      <c r="F555" s="81" t="inlineStr">
        <is>
          <t>-</t>
        </is>
      </c>
      <c r="G555" s="81" t="inlineStr">
        <is>
          <t>-</t>
        </is>
      </c>
      <c r="H555" s="81" t="inlineStr">
        <is>
          <t>-</t>
        </is>
      </c>
      <c r="I555" s="156" t="inlineStr">
        <is>
          <t>-</t>
        </is>
      </c>
      <c r="J555" s="156" t="inlineStr">
        <is>
          <t>-</t>
        </is>
      </c>
      <c r="K555" s="156" t="inlineStr">
        <is>
          <t>-</t>
        </is>
      </c>
    </row>
    <row r="556">
      <c r="C556" s="31" t="n"/>
      <c r="D556" s="31" t="n"/>
      <c r="E556" s="31" t="n"/>
      <c r="F556" s="31" t="n"/>
      <c r="G556" s="31" t="n"/>
      <c r="H556" s="31" t="n"/>
      <c r="I556" s="13" t="n"/>
      <c r="J556" s="13" t="n"/>
      <c r="K556" s="13" t="n"/>
    </row>
    <row r="557" customFormat="1" s="7">
      <c r="C557" s="62" t="n"/>
      <c r="D557" s="62" t="n"/>
      <c r="E557" s="62" t="n"/>
      <c r="F557" s="62" t="n"/>
      <c r="G557" s="62" t="n"/>
      <c r="H557" s="62" t="n"/>
      <c r="I557" s="63" t="n"/>
      <c r="J557" s="63" t="n"/>
      <c r="K557" s="63" t="n"/>
    </row>
    <row r="558">
      <c r="C558" s="31" t="n"/>
      <c r="D558" s="31" t="n"/>
      <c r="E558" s="31" t="n"/>
      <c r="F558" s="31" t="n"/>
      <c r="G558" s="31" t="n"/>
      <c r="H558" s="31" t="n"/>
      <c r="I558" s="13" t="n"/>
      <c r="J558" s="13" t="n"/>
      <c r="K558" s="13" t="n"/>
    </row>
    <row r="559">
      <c r="B559" t="inlineStr">
        <is>
          <t>Subordinated liabilities</t>
        </is>
      </c>
      <c r="C559" s="31" t="n">
        <v>1535349</v>
      </c>
      <c r="D559" s="31" t="n">
        <v>3105553</v>
      </c>
      <c r="E559" s="31" t="n">
        <v>3848979</v>
      </c>
      <c r="F559" s="31" t="n">
        <v>0.99</v>
      </c>
      <c r="G559" s="31" t="n">
        <v>3398554</v>
      </c>
      <c r="H559" s="31" t="n">
        <v>61401000</v>
      </c>
      <c r="I559" s="57" t="n">
        <v>36483000</v>
      </c>
      <c r="J559" s="57" t="n">
        <v>7242090</v>
      </c>
      <c r="K559" s="57" t="n">
        <v>73322000</v>
      </c>
    </row>
    <row r="560">
      <c r="C560" s="79" t="n"/>
      <c r="D560" s="79" t="n"/>
      <c r="E560" s="79" t="n"/>
      <c r="F560" s="79" t="n"/>
      <c r="G560" s="79" t="n"/>
      <c r="H560" s="79" t="n"/>
      <c r="I560" s="40" t="n"/>
      <c r="J560" s="40" t="n"/>
      <c r="K560" s="40" t="n"/>
    </row>
    <row r="561">
      <c r="B561" t="inlineStr">
        <is>
          <t>Payable within 1 year</t>
        </is>
      </c>
      <c r="C561" s="79" t="inlineStr">
        <is>
          <t>-</t>
        </is>
      </c>
      <c r="D561" s="79" t="inlineStr">
        <is>
          <t>-</t>
        </is>
      </c>
      <c r="E561" s="31" t="inlineStr">
        <is>
          <t>-</t>
        </is>
      </c>
      <c r="F561" s="31" t="inlineStr">
        <is>
          <t>-</t>
        </is>
      </c>
      <c r="G561" s="31" t="inlineStr">
        <is>
          <t>-</t>
        </is>
      </c>
      <c r="H561" s="31" t="inlineStr">
        <is>
          <t>-</t>
        </is>
      </c>
      <c r="I561" s="40" t="inlineStr">
        <is>
          <t>-</t>
        </is>
      </c>
      <c r="J561" s="40" t="inlineStr">
        <is>
          <t>-</t>
        </is>
      </c>
      <c r="K561" s="40" t="inlineStr">
        <is>
          <t>-</t>
        </is>
      </c>
    </row>
    <row r="562">
      <c r="B562" t="inlineStr">
        <is>
          <t>Payable more than 1 year</t>
        </is>
      </c>
      <c r="C562" s="31" t="inlineStr">
        <is>
          <t>-</t>
        </is>
      </c>
      <c r="D562" s="31" t="inlineStr">
        <is>
          <t>-</t>
        </is>
      </c>
      <c r="E562" s="31" t="inlineStr">
        <is>
          <t>-</t>
        </is>
      </c>
      <c r="F562" s="31" t="inlineStr">
        <is>
          <t>-</t>
        </is>
      </c>
      <c r="G562" s="31" t="inlineStr">
        <is>
          <t>-</t>
        </is>
      </c>
      <c r="H562" s="31" t="inlineStr">
        <is>
          <t>-</t>
        </is>
      </c>
      <c r="I562" s="40" t="inlineStr">
        <is>
          <t>-</t>
        </is>
      </c>
      <c r="J562" s="40" t="inlineStr">
        <is>
          <t>-</t>
        </is>
      </c>
      <c r="K562" s="40" t="inlineStr">
        <is>
          <t>-</t>
        </is>
      </c>
    </row>
    <row r="563">
      <c r="C563" s="79" t="n"/>
      <c r="D563" s="79" t="n"/>
      <c r="E563" s="79" t="n"/>
      <c r="F563" s="79" t="n"/>
      <c r="G563" s="79" t="n"/>
      <c r="H563" s="79" t="n"/>
      <c r="I563" s="40" t="n"/>
      <c r="J563" s="40" t="n"/>
      <c r="K563" s="40" t="n"/>
    </row>
    <row r="564">
      <c r="B564" t="inlineStr">
        <is>
          <t>As a % of deposits</t>
        </is>
      </c>
      <c r="C564" s="81" t="inlineStr">
        <is>
          <t>-</t>
        </is>
      </c>
      <c r="D564" s="81" t="inlineStr">
        <is>
          <t>-</t>
        </is>
      </c>
      <c r="E564" s="81" t="inlineStr">
        <is>
          <t>-</t>
        </is>
      </c>
      <c r="F564" s="81" t="inlineStr">
        <is>
          <t>-</t>
        </is>
      </c>
      <c r="G564" s="81" t="inlineStr">
        <is>
          <t>-</t>
        </is>
      </c>
      <c r="H564" s="81" t="inlineStr">
        <is>
          <t>-</t>
        </is>
      </c>
      <c r="I564" s="94" t="inlineStr">
        <is>
          <t>-</t>
        </is>
      </c>
      <c r="J564" s="94" t="inlineStr">
        <is>
          <t>-</t>
        </is>
      </c>
      <c r="K564" s="94" t="inlineStr">
        <is>
          <t>-</t>
        </is>
      </c>
    </row>
    <row r="565">
      <c r="C565" s="79" t="n"/>
      <c r="D565" s="79" t="n"/>
      <c r="E565" s="79" t="n"/>
      <c r="F565" s="79" t="n"/>
      <c r="G565" s="79" t="n"/>
      <c r="H565" s="79" t="n"/>
      <c r="I565" s="40" t="n"/>
      <c r="J565" s="40" t="n"/>
      <c r="K565" s="40" t="n"/>
    </row>
    <row r="566">
      <c r="C566" s="79" t="n"/>
      <c r="D566" s="79" t="n"/>
      <c r="E566" s="79" t="n"/>
      <c r="F566" s="79" t="n"/>
      <c r="G566" s="79" t="n"/>
      <c r="H566" s="79" t="n"/>
      <c r="I566" s="40" t="n"/>
      <c r="J566" s="40" t="n"/>
      <c r="K566" s="40" t="n"/>
    </row>
    <row r="567">
      <c r="C567" s="79" t="n"/>
      <c r="D567" s="79" t="n"/>
      <c r="E567" s="79" t="n"/>
      <c r="F567" s="79" t="n"/>
      <c r="G567" s="79" t="n"/>
      <c r="H567" s="79" t="n"/>
      <c r="I567" s="40" t="n"/>
      <c r="J567" s="40" t="n"/>
      <c r="K567" s="40" t="n"/>
    </row>
    <row r="568" customFormat="1" s="7">
      <c r="C568" s="62" t="n"/>
      <c r="D568" s="62" t="n"/>
      <c r="E568" s="62" t="n"/>
      <c r="F568" s="62" t="n"/>
      <c r="G568" s="62" t="n"/>
      <c r="H568" s="62" t="n"/>
      <c r="I568" s="63" t="n"/>
      <c r="J568" s="63" t="n"/>
      <c r="K568" s="63" t="n"/>
    </row>
    <row r="569">
      <c r="C569" s="79" t="n"/>
      <c r="D569" s="79" t="n"/>
      <c r="E569" s="79" t="n"/>
      <c r="F569" s="79" t="n"/>
      <c r="G569" s="79" t="n"/>
      <c r="H569" s="79" t="n"/>
      <c r="I569" s="40" t="n"/>
      <c r="J569" s="40" t="n"/>
      <c r="K569" s="40" t="n"/>
    </row>
    <row r="570">
      <c r="B570" t="inlineStr">
        <is>
          <t>VOTING Number of shares at year end</t>
        </is>
      </c>
      <c r="C570" s="86" t="inlineStr">
        <is>
          <t>-</t>
        </is>
      </c>
      <c r="D570" s="86" t="inlineStr">
        <is>
          <t>-</t>
        </is>
      </c>
      <c r="E570" s="86" t="inlineStr">
        <is>
          <t>-</t>
        </is>
      </c>
      <c r="F570" s="86" t="inlineStr">
        <is>
          <t>-</t>
        </is>
      </c>
      <c r="G570" s="86" t="inlineStr">
        <is>
          <t>-</t>
        </is>
      </c>
      <c r="H570" s="86" t="inlineStr">
        <is>
          <t>-</t>
        </is>
      </c>
      <c r="I570" s="100" t="inlineStr">
        <is>
          <t>-</t>
        </is>
      </c>
      <c r="J570" s="100" t="inlineStr">
        <is>
          <t>-</t>
        </is>
      </c>
      <c r="K570" s="100" t="inlineStr">
        <is>
          <t>-</t>
        </is>
      </c>
    </row>
    <row r="571">
      <c r="B571" s="24" t="inlineStr">
        <is>
          <t>Issues to ESOP</t>
        </is>
      </c>
      <c r="C571" s="31" t="inlineStr">
        <is>
          <t>-</t>
        </is>
      </c>
      <c r="D571" s="31" t="inlineStr">
        <is>
          <t>-</t>
        </is>
      </c>
      <c r="E571" s="31" t="inlineStr">
        <is>
          <t>-</t>
        </is>
      </c>
      <c r="F571" s="79" t="inlineStr">
        <is>
          <t>-</t>
        </is>
      </c>
      <c r="G571" s="31" t="inlineStr">
        <is>
          <t>-</t>
        </is>
      </c>
      <c r="H571" s="79" t="inlineStr">
        <is>
          <t>-</t>
        </is>
      </c>
      <c r="I571" s="40" t="inlineStr">
        <is>
          <t>-</t>
        </is>
      </c>
      <c r="J571" s="40" t="inlineStr">
        <is>
          <t>-</t>
        </is>
      </c>
      <c r="K571" s="40" t="inlineStr">
        <is>
          <t>-</t>
        </is>
      </c>
    </row>
    <row r="572">
      <c r="B572" s="24" t="inlineStr">
        <is>
          <t>Issue for dividends</t>
        </is>
      </c>
      <c r="C572" s="31" t="inlineStr">
        <is>
          <t>-</t>
        </is>
      </c>
      <c r="D572" s="31" t="inlineStr">
        <is>
          <t>-</t>
        </is>
      </c>
      <c r="E572" s="31" t="inlineStr">
        <is>
          <t>-</t>
        </is>
      </c>
      <c r="F572" s="31" t="inlineStr">
        <is>
          <t>-</t>
        </is>
      </c>
      <c r="G572" s="31" t="inlineStr">
        <is>
          <t>-</t>
        </is>
      </c>
      <c r="H572" s="31" t="inlineStr">
        <is>
          <t>-</t>
        </is>
      </c>
      <c r="I572" s="40" t="inlineStr">
        <is>
          <t>-</t>
        </is>
      </c>
      <c r="J572" s="40" t="inlineStr">
        <is>
          <t>-</t>
        </is>
      </c>
      <c r="K572" s="40" t="inlineStr">
        <is>
          <t>-</t>
        </is>
      </c>
    </row>
    <row r="573">
      <c r="B573" s="24" t="inlineStr">
        <is>
          <t>Rights Issues</t>
        </is>
      </c>
      <c r="C573" s="31" t="inlineStr">
        <is>
          <t>-</t>
        </is>
      </c>
      <c r="D573" s="79" t="inlineStr">
        <is>
          <t>-</t>
        </is>
      </c>
      <c r="E573" s="79" t="inlineStr">
        <is>
          <t>-</t>
        </is>
      </c>
      <c r="F573" s="79" t="inlineStr">
        <is>
          <t>-</t>
        </is>
      </c>
      <c r="G573" s="79" t="inlineStr">
        <is>
          <t>-</t>
        </is>
      </c>
      <c r="H573" s="79" t="inlineStr">
        <is>
          <t>-</t>
        </is>
      </c>
      <c r="I573" s="40" t="inlineStr">
        <is>
          <t>-</t>
        </is>
      </c>
      <c r="J573" s="40" t="inlineStr">
        <is>
          <t>-</t>
        </is>
      </c>
      <c r="K573" s="40" t="inlineStr">
        <is>
          <t>-</t>
        </is>
      </c>
    </row>
    <row r="574">
      <c r="B574" s="24" t="inlineStr">
        <is>
          <t>Private placements</t>
        </is>
      </c>
      <c r="C574" s="79" t="inlineStr">
        <is>
          <t>-</t>
        </is>
      </c>
      <c r="D574" s="79" t="inlineStr">
        <is>
          <t>-</t>
        </is>
      </c>
      <c r="E574" s="79" t="inlineStr">
        <is>
          <t>-</t>
        </is>
      </c>
      <c r="F574" s="31" t="inlineStr">
        <is>
          <t>-</t>
        </is>
      </c>
      <c r="G574" s="79" t="inlineStr">
        <is>
          <t>-</t>
        </is>
      </c>
      <c r="H574" s="79" t="inlineStr">
        <is>
          <t>-</t>
        </is>
      </c>
      <c r="I574" s="40" t="inlineStr">
        <is>
          <t>-</t>
        </is>
      </c>
      <c r="J574" s="40" t="inlineStr">
        <is>
          <t>-</t>
        </is>
      </c>
      <c r="K574" s="40" t="inlineStr">
        <is>
          <t>-</t>
        </is>
      </c>
    </row>
    <row r="575">
      <c r="C575" s="79" t="n"/>
      <c r="D575" s="79" t="n"/>
      <c r="E575" s="79" t="n"/>
      <c r="F575" s="79" t="n"/>
      <c r="G575" s="79" t="n"/>
      <c r="H575" s="79" t="n"/>
      <c r="I575" s="40" t="n"/>
      <c r="J575" s="40" t="n"/>
      <c r="K575" s="40" t="n"/>
    </row>
    <row r="576" customFormat="1" s="33">
      <c r="B576" s="33" t="inlineStr">
        <is>
          <t>Check</t>
        </is>
      </c>
      <c r="C576" s="79" t="n">
        <v>-857269981</v>
      </c>
      <c r="D576" s="79" t="n">
        <v>-994370875</v>
      </c>
      <c r="E576" s="79" t="n">
        <v>-1068982587</v>
      </c>
      <c r="F576" s="79" t="n">
        <v>-1286616399</v>
      </c>
      <c r="G576" s="79" t="n">
        <v>0</v>
      </c>
      <c r="H576" s="79" t="n">
        <v>0</v>
      </c>
      <c r="I576" s="40" t="inlineStr">
        <is>
          <t>-</t>
        </is>
      </c>
      <c r="J576" s="40" t="inlineStr">
        <is>
          <t>-</t>
        </is>
      </c>
      <c r="K576" s="40" t="inlineStr">
        <is>
          <t>-</t>
        </is>
      </c>
    </row>
    <row r="577">
      <c r="C577" s="79" t="n"/>
      <c r="D577" s="79" t="n"/>
      <c r="E577" s="79" t="n"/>
      <c r="F577" s="79" t="n"/>
      <c r="G577" s="79" t="n"/>
      <c r="H577" s="79" t="n"/>
      <c r="I577" s="40" t="n"/>
      <c r="J577" s="40" t="n"/>
      <c r="K577" s="40" t="n"/>
    </row>
    <row r="578">
      <c r="B578" t="inlineStr">
        <is>
          <t>NON VOTING Number of shares at year end</t>
        </is>
      </c>
      <c r="C578" s="86" t="inlineStr">
        <is>
          <t>-</t>
        </is>
      </c>
      <c r="D578" s="86" t="inlineStr">
        <is>
          <t>-</t>
        </is>
      </c>
      <c r="E578" s="86" t="inlineStr">
        <is>
          <t>-</t>
        </is>
      </c>
      <c r="F578" s="86" t="inlineStr">
        <is>
          <t>-</t>
        </is>
      </c>
      <c r="G578" s="86" t="inlineStr">
        <is>
          <t>-</t>
        </is>
      </c>
      <c r="H578" s="86" t="inlineStr">
        <is>
          <t>-</t>
        </is>
      </c>
      <c r="I578" s="100" t="inlineStr">
        <is>
          <t>-</t>
        </is>
      </c>
      <c r="J578" s="100" t="inlineStr">
        <is>
          <t>-</t>
        </is>
      </c>
      <c r="K578" s="100" t="inlineStr">
        <is>
          <t>-</t>
        </is>
      </c>
    </row>
    <row r="579">
      <c r="B579" s="24" t="inlineStr">
        <is>
          <t>Issues to ESOP</t>
        </is>
      </c>
      <c r="C579" s="79" t="inlineStr">
        <is>
          <t>-</t>
        </is>
      </c>
      <c r="D579" s="79" t="inlineStr">
        <is>
          <t>-</t>
        </is>
      </c>
      <c r="E579" s="79" t="inlineStr">
        <is>
          <t>-</t>
        </is>
      </c>
      <c r="F579" s="79" t="inlineStr">
        <is>
          <t>-</t>
        </is>
      </c>
      <c r="G579" s="79" t="inlineStr">
        <is>
          <t>-</t>
        </is>
      </c>
      <c r="H579" s="79" t="inlineStr">
        <is>
          <t>-</t>
        </is>
      </c>
      <c r="I579" s="40" t="inlineStr">
        <is>
          <t>-</t>
        </is>
      </c>
      <c r="J579" s="40" t="inlineStr">
        <is>
          <t>-</t>
        </is>
      </c>
      <c r="K579" s="40" t="inlineStr">
        <is>
          <t>-</t>
        </is>
      </c>
    </row>
    <row r="580">
      <c r="B580" s="24" t="inlineStr">
        <is>
          <t>Issue for dividends</t>
        </is>
      </c>
      <c r="C580" s="31" t="inlineStr">
        <is>
          <t>-</t>
        </is>
      </c>
      <c r="D580" s="31" t="inlineStr">
        <is>
          <t>-</t>
        </is>
      </c>
      <c r="E580" s="31" t="inlineStr">
        <is>
          <t>-</t>
        </is>
      </c>
      <c r="F580" s="31" t="inlineStr">
        <is>
          <t>-</t>
        </is>
      </c>
      <c r="G580" s="31" t="inlineStr">
        <is>
          <t>-</t>
        </is>
      </c>
      <c r="H580" s="31" t="inlineStr">
        <is>
          <t>-</t>
        </is>
      </c>
      <c r="I580" s="40" t="inlineStr">
        <is>
          <t>-</t>
        </is>
      </c>
      <c r="J580" s="40" t="inlineStr">
        <is>
          <t>-</t>
        </is>
      </c>
      <c r="K580" s="40" t="inlineStr">
        <is>
          <t>-</t>
        </is>
      </c>
    </row>
    <row r="581">
      <c r="B581" s="24" t="inlineStr">
        <is>
          <t>Rights Issues</t>
        </is>
      </c>
      <c r="C581" s="31" t="inlineStr">
        <is>
          <t>-</t>
        </is>
      </c>
      <c r="D581" s="79" t="inlineStr">
        <is>
          <t>-</t>
        </is>
      </c>
      <c r="E581" s="79" t="inlineStr">
        <is>
          <t>-</t>
        </is>
      </c>
      <c r="F581" s="79" t="inlineStr">
        <is>
          <t>-</t>
        </is>
      </c>
      <c r="G581" s="79" t="inlineStr">
        <is>
          <t>-</t>
        </is>
      </c>
      <c r="H581" s="79" t="inlineStr">
        <is>
          <t>-</t>
        </is>
      </c>
      <c r="I581" s="40" t="inlineStr">
        <is>
          <t>-</t>
        </is>
      </c>
      <c r="J581" s="40" t="inlineStr">
        <is>
          <t>-</t>
        </is>
      </c>
      <c r="K581" s="40" t="inlineStr">
        <is>
          <t>-</t>
        </is>
      </c>
    </row>
    <row r="582">
      <c r="B582" s="24" t="inlineStr">
        <is>
          <t>Private placements</t>
        </is>
      </c>
      <c r="C582" s="79" t="inlineStr">
        <is>
          <t>-</t>
        </is>
      </c>
      <c r="D582" s="79" t="inlineStr">
        <is>
          <t>-</t>
        </is>
      </c>
      <c r="E582" s="79" t="inlineStr">
        <is>
          <t>-</t>
        </is>
      </c>
      <c r="F582" s="79" t="inlineStr">
        <is>
          <t>-</t>
        </is>
      </c>
      <c r="G582" s="79" t="inlineStr">
        <is>
          <t>-</t>
        </is>
      </c>
      <c r="H582" s="79" t="inlineStr">
        <is>
          <t>-</t>
        </is>
      </c>
      <c r="I582" s="40" t="inlineStr">
        <is>
          <t>-</t>
        </is>
      </c>
      <c r="J582" s="40" t="inlineStr">
        <is>
          <t>-</t>
        </is>
      </c>
      <c r="K582" s="40" t="inlineStr">
        <is>
          <t>-</t>
        </is>
      </c>
    </row>
    <row r="583">
      <c r="C583" s="79" t="n"/>
      <c r="D583" s="79" t="n"/>
      <c r="E583" s="79" t="n"/>
      <c r="F583" s="79" t="n"/>
      <c r="G583" s="79" t="n"/>
      <c r="H583" s="79" t="n"/>
      <c r="I583" s="40" t="n"/>
      <c r="J583" s="40" t="n"/>
      <c r="K583" s="40" t="n"/>
    </row>
    <row r="584" customFormat="1" s="33">
      <c r="B584" s="33" t="inlineStr">
        <is>
          <t>Check</t>
        </is>
      </c>
      <c r="C584" s="79" t="n">
        <v>-857269981</v>
      </c>
      <c r="D584" s="79" t="n">
        <v>-994370875</v>
      </c>
      <c r="E584" s="79" t="n">
        <v>-1068982587</v>
      </c>
      <c r="F584" s="79" t="n">
        <v>-1286616399</v>
      </c>
      <c r="G584" s="79" t="n">
        <v>0</v>
      </c>
      <c r="H584" s="79" t="n">
        <v>0</v>
      </c>
      <c r="I584" s="40" t="inlineStr">
        <is>
          <t>-</t>
        </is>
      </c>
      <c r="J584" s="40" t="inlineStr">
        <is>
          <t>-</t>
        </is>
      </c>
      <c r="K584" s="40" t="inlineStr">
        <is>
          <t>-</t>
        </is>
      </c>
    </row>
    <row r="585">
      <c r="C585" s="79" t="n"/>
      <c r="D585" s="79" t="n"/>
      <c r="E585" s="79" t="n"/>
      <c r="F585" s="79" t="n"/>
      <c r="G585" s="79" t="n"/>
      <c r="H585" s="79" t="n"/>
      <c r="I585" s="40" t="n"/>
      <c r="J585" s="40" t="n"/>
      <c r="K585" s="40" t="n"/>
    </row>
    <row r="586">
      <c r="B586" t="inlineStr">
        <is>
          <t>TOTAL shares (VOTING + NV)</t>
        </is>
      </c>
      <c r="C586" s="79" t="inlineStr">
        <is>
          <t>-</t>
        </is>
      </c>
      <c r="D586" s="79" t="inlineStr">
        <is>
          <t>-</t>
        </is>
      </c>
      <c r="E586" s="79" t="inlineStr">
        <is>
          <t>-</t>
        </is>
      </c>
      <c r="F586" s="79" t="inlineStr">
        <is>
          <t>-</t>
        </is>
      </c>
      <c r="G586" s="79" t="inlineStr">
        <is>
          <t>-</t>
        </is>
      </c>
      <c r="H586" s="79" t="inlineStr">
        <is>
          <t>-</t>
        </is>
      </c>
      <c r="I586" s="70" t="inlineStr">
        <is>
          <t>-</t>
        </is>
      </c>
      <c r="J586" s="70" t="inlineStr">
        <is>
          <t>-</t>
        </is>
      </c>
      <c r="K586" s="70" t="inlineStr">
        <is>
          <t>-</t>
        </is>
      </c>
    </row>
    <row r="587">
      <c r="C587" s="79" t="n"/>
      <c r="D587" s="79" t="n"/>
      <c r="E587" s="79" t="n"/>
      <c r="F587" s="79" t="n"/>
      <c r="G587" s="79" t="n"/>
      <c r="H587" s="79" t="n"/>
      <c r="I587" s="40" t="n"/>
      <c r="J587" s="40" t="n"/>
      <c r="K587" s="40" t="n"/>
    </row>
    <row r="588">
      <c r="B588" t="inlineStr">
        <is>
          <t>Nominal value per share</t>
        </is>
      </c>
      <c r="C588" s="61" t="inlineStr">
        <is>
          <t>-</t>
        </is>
      </c>
      <c r="D588" s="61" t="inlineStr">
        <is>
          <t>-</t>
        </is>
      </c>
      <c r="E588" s="61" t="inlineStr">
        <is>
          <t>-</t>
        </is>
      </c>
      <c r="F588" s="61" t="inlineStr">
        <is>
          <t>-</t>
        </is>
      </c>
      <c r="G588" s="61" t="inlineStr">
        <is>
          <t>-</t>
        </is>
      </c>
      <c r="H588" s="61" t="inlineStr">
        <is>
          <t>-</t>
        </is>
      </c>
      <c r="I588" s="40" t="inlineStr">
        <is>
          <t>-</t>
        </is>
      </c>
      <c r="J588" s="40" t="inlineStr">
        <is>
          <t>-</t>
        </is>
      </c>
      <c r="K588" s="40" t="inlineStr">
        <is>
          <t>-</t>
        </is>
      </c>
    </row>
    <row r="589">
      <c r="C589" s="79" t="n"/>
      <c r="D589" s="79" t="n"/>
      <c r="E589" s="79" t="n"/>
      <c r="F589" s="79" t="n"/>
      <c r="G589" s="79" t="n"/>
      <c r="H589" s="79" t="n"/>
      <c r="I589" s="40" t="n"/>
      <c r="J589" s="40" t="n"/>
      <c r="K589" s="40" t="n"/>
    </row>
    <row r="590">
      <c r="B590" t="inlineStr">
        <is>
          <t>Unadjusted</t>
        </is>
      </c>
      <c r="C590" s="79" t="inlineStr">
        <is>
          <t>-</t>
        </is>
      </c>
      <c r="D590" s="79" t="inlineStr">
        <is>
          <t>-</t>
        </is>
      </c>
      <c r="E590" s="79" t="inlineStr">
        <is>
          <t>-</t>
        </is>
      </c>
      <c r="F590" s="79" t="inlineStr">
        <is>
          <t>-</t>
        </is>
      </c>
      <c r="G590" s="79" t="inlineStr">
        <is>
          <t>-</t>
        </is>
      </c>
      <c r="H590" s="79" t="inlineStr">
        <is>
          <t>-</t>
        </is>
      </c>
      <c r="I590" s="40" t="inlineStr">
        <is>
          <t>-</t>
        </is>
      </c>
      <c r="J590" s="40" t="inlineStr">
        <is>
          <t>-</t>
        </is>
      </c>
      <c r="K590" s="40" t="inlineStr">
        <is>
          <t>-</t>
        </is>
      </c>
    </row>
    <row r="591">
      <c r="B591" t="inlineStr">
        <is>
          <t>NAVPS</t>
        </is>
      </c>
      <c r="C591" s="61" t="inlineStr">
        <is>
          <t>-</t>
        </is>
      </c>
      <c r="D591" s="61" t="inlineStr">
        <is>
          <t>-</t>
        </is>
      </c>
      <c r="E591" s="61" t="inlineStr">
        <is>
          <t>-</t>
        </is>
      </c>
      <c r="F591" s="61" t="inlineStr">
        <is>
          <t>-</t>
        </is>
      </c>
      <c r="G591" s="61" t="inlineStr">
        <is>
          <t>-</t>
        </is>
      </c>
      <c r="H591" s="61" t="inlineStr">
        <is>
          <t>-</t>
        </is>
      </c>
      <c r="I591" s="61" t="inlineStr">
        <is>
          <t>-</t>
        </is>
      </c>
      <c r="J591" s="61" t="inlineStr">
        <is>
          <t>-</t>
        </is>
      </c>
      <c r="K591" s="61" t="inlineStr">
        <is>
          <t>-</t>
        </is>
      </c>
    </row>
    <row r="592">
      <c r="B592" t="inlineStr">
        <is>
          <t>EPS</t>
        </is>
      </c>
      <c r="C592" s="61" t="inlineStr">
        <is>
          <t>-</t>
        </is>
      </c>
      <c r="D592" s="61" t="inlineStr">
        <is>
          <t>-</t>
        </is>
      </c>
      <c r="E592" s="61" t="inlineStr">
        <is>
          <t>-</t>
        </is>
      </c>
      <c r="F592" s="61" t="inlineStr">
        <is>
          <t>-</t>
        </is>
      </c>
      <c r="G592" s="61" t="inlineStr">
        <is>
          <t>-</t>
        </is>
      </c>
      <c r="H592" s="61" t="inlineStr">
        <is>
          <t>-</t>
        </is>
      </c>
      <c r="I592" s="61" t="inlineStr">
        <is>
          <t>-</t>
        </is>
      </c>
      <c r="J592" s="61" t="inlineStr">
        <is>
          <t>-</t>
        </is>
      </c>
      <c r="K592" s="61" t="inlineStr">
        <is>
          <t>-</t>
        </is>
      </c>
    </row>
    <row r="593">
      <c r="C593" s="61" t="n"/>
      <c r="D593" s="61" t="n"/>
      <c r="E593" s="61" t="n"/>
      <c r="F593" s="61" t="n"/>
      <c r="G593" s="61" t="n"/>
      <c r="H593" s="61" t="n"/>
      <c r="I593" s="40" t="n"/>
      <c r="J593" s="40" t="n"/>
      <c r="K593" s="40" t="n"/>
    </row>
    <row r="594">
      <c r="B594" t="inlineStr">
        <is>
          <t>Adjusted</t>
        </is>
      </c>
      <c r="C594" s="61" t="inlineStr">
        <is>
          <t>-</t>
        </is>
      </c>
      <c r="D594" s="61" t="inlineStr">
        <is>
          <t>-</t>
        </is>
      </c>
      <c r="E594" s="61" t="inlineStr">
        <is>
          <t>-</t>
        </is>
      </c>
      <c r="F594" s="61" t="inlineStr">
        <is>
          <t>-</t>
        </is>
      </c>
      <c r="G594" s="61" t="inlineStr">
        <is>
          <t>-</t>
        </is>
      </c>
      <c r="H594" s="61" t="inlineStr">
        <is>
          <t>-</t>
        </is>
      </c>
      <c r="I594" s="40" t="inlineStr">
        <is>
          <t>-</t>
        </is>
      </c>
      <c r="J594" s="40" t="inlineStr">
        <is>
          <t>-</t>
        </is>
      </c>
      <c r="K594" s="40" t="inlineStr">
        <is>
          <t>-</t>
        </is>
      </c>
    </row>
    <row r="595">
      <c r="B595" t="inlineStr">
        <is>
          <t>NAVPS</t>
        </is>
      </c>
      <c r="C595" s="61" t="inlineStr">
        <is>
          <t>-</t>
        </is>
      </c>
      <c r="D595" s="61" t="inlineStr">
        <is>
          <t>-</t>
        </is>
      </c>
      <c r="E595" s="61" t="inlineStr">
        <is>
          <t>-</t>
        </is>
      </c>
      <c r="F595" s="61" t="inlineStr">
        <is>
          <t>-</t>
        </is>
      </c>
      <c r="G595" s="61" t="inlineStr">
        <is>
          <t>-</t>
        </is>
      </c>
      <c r="H595" s="109" t="inlineStr">
        <is>
          <t>-</t>
        </is>
      </c>
      <c r="I595" s="109" t="inlineStr">
        <is>
          <t>-</t>
        </is>
      </c>
      <c r="J595" s="109" t="inlineStr">
        <is>
          <t>-</t>
        </is>
      </c>
      <c r="K595" s="109" t="inlineStr">
        <is>
          <t>-</t>
        </is>
      </c>
    </row>
    <row r="596">
      <c r="B596" t="inlineStr">
        <is>
          <t>EPS</t>
        </is>
      </c>
      <c r="C596" s="61" t="inlineStr">
        <is>
          <t>-</t>
        </is>
      </c>
      <c r="D596" s="61" t="inlineStr">
        <is>
          <t>-</t>
        </is>
      </c>
      <c r="E596" s="61" t="inlineStr">
        <is>
          <t>-</t>
        </is>
      </c>
      <c r="F596" s="61" t="inlineStr">
        <is>
          <t>-</t>
        </is>
      </c>
      <c r="G596" s="61" t="inlineStr">
        <is>
          <t>-</t>
        </is>
      </c>
      <c r="H596" s="61" t="inlineStr">
        <is>
          <t>-</t>
        </is>
      </c>
      <c r="I596" s="40" t="inlineStr">
        <is>
          <t>-</t>
        </is>
      </c>
      <c r="J596" s="40" t="inlineStr">
        <is>
          <t>-</t>
        </is>
      </c>
      <c r="K596" s="40" t="inlineStr">
        <is>
          <t>-</t>
        </is>
      </c>
    </row>
    <row r="597" customFormat="1" s="7">
      <c r="C597" s="62" t="n"/>
      <c r="D597" s="62" t="n"/>
      <c r="E597" s="62" t="n"/>
      <c r="F597" s="62" t="n"/>
      <c r="G597" s="62" t="n"/>
      <c r="H597" s="62" t="n"/>
      <c r="I597" s="63" t="n"/>
      <c r="J597" s="63" t="n"/>
      <c r="K597" s="63" t="n"/>
    </row>
    <row r="598">
      <c r="C598" s="79" t="n"/>
      <c r="D598" s="79" t="n"/>
      <c r="E598" s="79" t="n"/>
      <c r="F598" s="79" t="n"/>
      <c r="G598" s="79" t="n"/>
      <c r="H598" s="79" t="n"/>
      <c r="I598" s="40" t="n"/>
      <c r="J598" s="40" t="n"/>
      <c r="K598" s="40" t="n"/>
    </row>
    <row r="599">
      <c r="B599" s="4" t="inlineStr">
        <is>
          <t>Stated capital</t>
        </is>
      </c>
      <c r="C599" s="31" t="n">
        <v>278</v>
      </c>
      <c r="D599" s="31" t="inlineStr">
        <is>
          <t>-</t>
        </is>
      </c>
      <c r="E599" s="31" t="inlineStr">
        <is>
          <t>-</t>
        </is>
      </c>
      <c r="F599" s="31" t="n">
        <v>27.55</v>
      </c>
      <c r="G599" s="31" t="inlineStr">
        <is>
          <t>-</t>
        </is>
      </c>
      <c r="H599" s="31" t="n">
        <v>58150000</v>
      </c>
      <c r="I599" s="57" t="n">
        <v>62948000</v>
      </c>
      <c r="J599" s="57" t="inlineStr">
        <is>
          <t>-</t>
        </is>
      </c>
      <c r="K599" s="57" t="n">
        <v>91558000</v>
      </c>
    </row>
    <row r="600">
      <c r="C600" s="79" t="n"/>
      <c r="D600" s="79" t="n"/>
      <c r="E600" s="79" t="n"/>
      <c r="F600" s="79" t="n"/>
      <c r="G600" s="79" t="n"/>
      <c r="H600" s="79" t="n"/>
      <c r="I600" s="40" t="n"/>
      <c r="J600" s="40" t="n"/>
      <c r="K600" s="40" t="n"/>
    </row>
    <row r="601">
      <c r="B601" t="inlineStr">
        <is>
          <t>Dividends - VOTING</t>
        </is>
      </c>
      <c r="C601" s="31" t="inlineStr">
        <is>
          <t>-</t>
        </is>
      </c>
      <c r="D601" s="31" t="inlineStr">
        <is>
          <t>-</t>
        </is>
      </c>
      <c r="E601" s="31" t="inlineStr">
        <is>
          <t>-</t>
        </is>
      </c>
      <c r="F601" s="31" t="inlineStr">
        <is>
          <t>-</t>
        </is>
      </c>
      <c r="G601" s="31" t="inlineStr">
        <is>
          <t>-</t>
        </is>
      </c>
      <c r="H601" s="31" t="inlineStr">
        <is>
          <t>-</t>
        </is>
      </c>
      <c r="I601" s="40" t="inlineStr">
        <is>
          <t>-</t>
        </is>
      </c>
      <c r="J601" s="40" t="inlineStr">
        <is>
          <t>-</t>
        </is>
      </c>
      <c r="K601" s="40" t="inlineStr">
        <is>
          <t>-</t>
        </is>
      </c>
    </row>
    <row r="602">
      <c r="B602" t="inlineStr">
        <is>
          <t>Dividends - NON VOTING</t>
        </is>
      </c>
      <c r="C602" s="31" t="inlineStr">
        <is>
          <t>-</t>
        </is>
      </c>
      <c r="D602" s="31" t="inlineStr">
        <is>
          <t>-</t>
        </is>
      </c>
      <c r="E602" s="31" t="inlineStr">
        <is>
          <t>-</t>
        </is>
      </c>
      <c r="F602" s="31" t="inlineStr">
        <is>
          <t>-</t>
        </is>
      </c>
      <c r="G602" s="31" t="inlineStr">
        <is>
          <t>-</t>
        </is>
      </c>
      <c r="H602" s="31" t="inlineStr">
        <is>
          <t>-</t>
        </is>
      </c>
      <c r="I602" s="40" t="inlineStr">
        <is>
          <t>-</t>
        </is>
      </c>
      <c r="J602" s="40" t="inlineStr">
        <is>
          <t>-</t>
        </is>
      </c>
      <c r="K602" s="40" t="inlineStr">
        <is>
          <t>-</t>
        </is>
      </c>
    </row>
    <row r="603">
      <c r="C603" s="79" t="n"/>
      <c r="D603" s="79" t="n"/>
      <c r="E603" s="79" t="n"/>
      <c r="F603" s="79" t="n"/>
      <c r="G603" s="79" t="n"/>
      <c r="H603" s="79" t="n"/>
      <c r="I603" s="40" t="n"/>
      <c r="J603" s="40" t="n"/>
      <c r="K603" s="40" t="n"/>
    </row>
    <row r="604">
      <c r="B604" t="inlineStr">
        <is>
          <t>Dividend per share issued</t>
        </is>
      </c>
      <c r="C604" s="79" t="inlineStr">
        <is>
          <t>-</t>
        </is>
      </c>
      <c r="D604" s="79" t="inlineStr">
        <is>
          <t>-</t>
        </is>
      </c>
      <c r="E604" s="79" t="inlineStr">
        <is>
          <t>-</t>
        </is>
      </c>
      <c r="F604" s="79" t="inlineStr">
        <is>
          <t>-</t>
        </is>
      </c>
      <c r="G604" s="79" t="inlineStr">
        <is>
          <t>-</t>
        </is>
      </c>
      <c r="H604" s="79" t="n">
        <v>4.5</v>
      </c>
      <c r="I604" s="40" t="inlineStr">
        <is>
          <t>-</t>
        </is>
      </c>
      <c r="J604" s="40" t="inlineStr">
        <is>
          <t>-</t>
        </is>
      </c>
      <c r="K604" s="40" t="inlineStr">
        <is>
          <t>-</t>
        </is>
      </c>
    </row>
    <row r="605">
      <c r="B605" t="inlineStr">
        <is>
          <t>VOTING</t>
        </is>
      </c>
      <c r="C605" s="79" t="n">
        <v>386311</v>
      </c>
      <c r="D605" s="79" t="n">
        <v>203083</v>
      </c>
      <c r="E605" s="79" t="n">
        <v>30128</v>
      </c>
      <c r="F605" s="79" t="n">
        <v>9215775</v>
      </c>
      <c r="G605" s="79" t="n">
        <v>40866</v>
      </c>
      <c r="H605" s="79" t="inlineStr">
        <is>
          <t>-</t>
        </is>
      </c>
      <c r="I605" s="40" t="inlineStr">
        <is>
          <t>-</t>
        </is>
      </c>
      <c r="J605" s="40" t="n">
        <v>51740</v>
      </c>
      <c r="K605" s="40" t="n">
        <v>788473</v>
      </c>
    </row>
    <row r="606">
      <c r="B606" t="inlineStr">
        <is>
          <t>NON VOTING</t>
        </is>
      </c>
      <c r="C606" s="79" t="inlineStr">
        <is>
          <t>-</t>
        </is>
      </c>
      <c r="D606" s="79" t="inlineStr">
        <is>
          <t>-</t>
        </is>
      </c>
      <c r="E606" s="79" t="inlineStr">
        <is>
          <t>-</t>
        </is>
      </c>
      <c r="F606" s="79" t="inlineStr">
        <is>
          <t>-</t>
        </is>
      </c>
      <c r="G606" s="79" t="inlineStr">
        <is>
          <t>-</t>
        </is>
      </c>
      <c r="H606" s="79" t="inlineStr">
        <is>
          <t>-</t>
        </is>
      </c>
      <c r="I606" s="40" t="inlineStr">
        <is>
          <t>-</t>
        </is>
      </c>
      <c r="J606" s="40" t="inlineStr">
        <is>
          <t>-</t>
        </is>
      </c>
      <c r="K606" s="40" t="inlineStr">
        <is>
          <t>-</t>
        </is>
      </c>
    </row>
    <row r="607">
      <c r="C607" s="79" t="n"/>
      <c r="D607" s="79" t="n"/>
      <c r="E607" s="79" t="n"/>
      <c r="F607" s="79" t="n"/>
      <c r="G607" s="79" t="n"/>
      <c r="H607" s="79" t="n"/>
      <c r="I607" s="40" t="n"/>
      <c r="J607" s="40" t="n"/>
      <c r="K607" s="40" t="n"/>
    </row>
    <row r="608">
      <c r="C608" s="79" t="n"/>
      <c r="D608" s="79" t="n"/>
      <c r="E608" s="79" t="n"/>
      <c r="F608" s="79" t="n"/>
      <c r="G608" s="79" t="n"/>
      <c r="H608" s="79" t="n"/>
      <c r="I608" s="40" t="n"/>
      <c r="J608" s="40" t="n"/>
      <c r="K608" s="40" t="n"/>
    </row>
    <row r="609">
      <c r="B609" t="inlineStr">
        <is>
          <t>Statutory reserves</t>
        </is>
      </c>
      <c r="C609" s="31" t="n">
        <v>282</v>
      </c>
      <c r="D609" s="31" t="inlineStr">
        <is>
          <t>-</t>
        </is>
      </c>
      <c r="E609" s="31" t="inlineStr">
        <is>
          <t>-</t>
        </is>
      </c>
      <c r="F609" s="31" t="n">
        <v>10.7</v>
      </c>
      <c r="G609" s="31" t="inlineStr">
        <is>
          <t>-</t>
        </is>
      </c>
      <c r="H609" s="31" t="n">
        <v>11353000</v>
      </c>
      <c r="I609" s="13" t="n">
        <v>12376000</v>
      </c>
      <c r="J609" s="13" t="inlineStr">
        <is>
          <t>-</t>
        </is>
      </c>
      <c r="K609" s="13" t="n">
        <v>18004000</v>
      </c>
    </row>
    <row r="610">
      <c r="B610" t="inlineStr">
        <is>
          <t>As a % of deposits</t>
        </is>
      </c>
      <c r="C610" s="81" t="inlineStr">
        <is>
          <t>-</t>
        </is>
      </c>
      <c r="D610" s="81" t="inlineStr">
        <is>
          <t>-</t>
        </is>
      </c>
      <c r="E610" s="81" t="inlineStr">
        <is>
          <t>-</t>
        </is>
      </c>
      <c r="F610" s="81" t="inlineStr">
        <is>
          <t>-</t>
        </is>
      </c>
      <c r="G610" s="81" t="inlineStr">
        <is>
          <t>-</t>
        </is>
      </c>
      <c r="H610" s="81" t="inlineStr">
        <is>
          <t>-</t>
        </is>
      </c>
      <c r="I610" s="94" t="inlineStr">
        <is>
          <t>-</t>
        </is>
      </c>
      <c r="J610" s="94" t="inlineStr">
        <is>
          <t>-</t>
        </is>
      </c>
      <c r="K610" s="94" t="inlineStr">
        <is>
          <t>-</t>
        </is>
      </c>
    </row>
    <row r="611">
      <c r="C611" s="79" t="n"/>
      <c r="D611" s="79" t="n"/>
      <c r="E611" s="79" t="n"/>
      <c r="F611" s="79" t="n"/>
      <c r="G611" s="79" t="n"/>
      <c r="H611" s="79" t="n"/>
      <c r="I611" s="57">
        <f>I599-H599</f>
        <v/>
      </c>
      <c r="J611" s="57">
        <f>J599-I599</f>
        <v/>
      </c>
      <c r="K611" s="57">
        <f>K599-J599</f>
        <v/>
      </c>
    </row>
    <row r="612">
      <c r="C612" s="79" t="n"/>
      <c r="D612" s="79" t="n"/>
      <c r="E612" s="79" t="n"/>
      <c r="F612" s="79" t="n"/>
      <c r="G612" s="79" t="n"/>
      <c r="H612" s="79" t="n"/>
      <c r="I612" s="40" t="n"/>
      <c r="J612" s="40" t="n"/>
      <c r="K612" s="40" t="n"/>
    </row>
    <row r="613" customFormat="1" s="7">
      <c r="C613" s="62" t="n"/>
      <c r="D613" s="62" t="n"/>
      <c r="E613" s="62" t="n"/>
      <c r="F613" s="62" t="n"/>
      <c r="G613" s="62" t="n"/>
      <c r="H613" s="62" t="n"/>
      <c r="I613" s="63" t="n"/>
      <c r="J613" s="63" t="n"/>
      <c r="K613" s="63" t="n"/>
    </row>
    <row r="614">
      <c r="C614" s="79" t="n"/>
      <c r="D614" s="79" t="n"/>
      <c r="E614" s="79" t="n"/>
      <c r="F614" s="79" t="n"/>
      <c r="G614" s="79" t="n"/>
      <c r="H614" s="79" t="n"/>
      <c r="I614" s="40" t="n"/>
      <c r="J614" s="40" t="n"/>
      <c r="K614" s="40" t="n"/>
    </row>
    <row r="615">
      <c r="B615" t="inlineStr">
        <is>
          <t>Retained earnings</t>
        </is>
      </c>
      <c r="C615" s="31" t="n">
        <v>282</v>
      </c>
      <c r="D615" s="31" t="inlineStr">
        <is>
          <t>-</t>
        </is>
      </c>
      <c r="E615" s="31" t="inlineStr">
        <is>
          <t>-</t>
        </is>
      </c>
      <c r="F615" s="31" t="n">
        <v>56.72</v>
      </c>
      <c r="G615" s="31" t="inlineStr">
        <is>
          <t>-</t>
        </is>
      </c>
      <c r="H615" s="31" t="n">
        <v>128604000</v>
      </c>
      <c r="I615" s="57" t="n">
        <v>8558000</v>
      </c>
      <c r="J615" s="57" t="inlineStr">
        <is>
          <t>-</t>
        </is>
      </c>
      <c r="K615" s="57" t="n">
        <v>17282000</v>
      </c>
    </row>
    <row r="616">
      <c r="C616" s="79" t="n"/>
      <c r="D616" s="79" t="n"/>
      <c r="E616" s="79" t="n"/>
      <c r="F616" s="79" t="n"/>
      <c r="G616" s="79" t="n"/>
      <c r="H616" s="79" t="n"/>
      <c r="I616" s="40" t="n"/>
      <c r="J616" s="40" t="n"/>
      <c r="K616" s="40" t="n"/>
    </row>
    <row r="617">
      <c r="B617" t="inlineStr">
        <is>
          <t>Profit for the year</t>
        </is>
      </c>
      <c r="C617" s="31" t="n">
        <v>16626507</v>
      </c>
      <c r="D617" s="31" t="inlineStr">
        <is>
          <t>-</t>
        </is>
      </c>
      <c r="E617" s="31" t="n">
        <v>17420396</v>
      </c>
      <c r="F617" s="31" t="n">
        <v>17420396</v>
      </c>
      <c r="G617" s="79" t="n">
        <v>24290288</v>
      </c>
      <c r="H617" s="79" t="n">
        <v>24399472</v>
      </c>
      <c r="I617" s="79" t="inlineStr">
        <is>
          <t>-</t>
        </is>
      </c>
      <c r="J617" s="79" t="n">
        <v>55686412</v>
      </c>
      <c r="K617" s="79" t="n">
        <v>60937517</v>
      </c>
    </row>
    <row r="618">
      <c r="B618" t="inlineStr">
        <is>
          <t>Other comprehensive</t>
        </is>
      </c>
      <c r="C618" s="31" t="n">
        <v>15349974</v>
      </c>
      <c r="D618" s="31" t="n">
        <v>176760611</v>
      </c>
      <c r="E618" s="31" t="n">
        <v>197825017</v>
      </c>
      <c r="F618" s="31" t="n">
        <v>278461369</v>
      </c>
      <c r="G618" s="31" t="n">
        <v>251</v>
      </c>
      <c r="H618" s="31" t="n">
        <v>117056240</v>
      </c>
      <c r="I618" s="40" t="n">
        <v>287732972</v>
      </c>
      <c r="J618" s="40" t="n">
        <v>4090697</v>
      </c>
      <c r="K618" s="40" t="n">
        <v>2911061462</v>
      </c>
    </row>
    <row r="619">
      <c r="B619" t="inlineStr">
        <is>
          <t>Dividends paid</t>
        </is>
      </c>
      <c r="C619" s="31" t="inlineStr">
        <is>
          <t>-</t>
        </is>
      </c>
      <c r="D619" s="31" t="inlineStr">
        <is>
          <t>-</t>
        </is>
      </c>
      <c r="E619" s="31" t="inlineStr">
        <is>
          <t>-</t>
        </is>
      </c>
      <c r="F619" s="31" t="inlineStr">
        <is>
          <t>-</t>
        </is>
      </c>
      <c r="G619" s="31" t="inlineStr">
        <is>
          <t>-</t>
        </is>
      </c>
      <c r="H619" s="31" t="inlineStr">
        <is>
          <t>-</t>
        </is>
      </c>
      <c r="I619" s="79" t="inlineStr">
        <is>
          <t>-</t>
        </is>
      </c>
      <c r="J619" s="79" t="inlineStr">
        <is>
          <t>-</t>
        </is>
      </c>
      <c r="K619" s="79" t="inlineStr">
        <is>
          <t>-</t>
        </is>
      </c>
    </row>
    <row r="620">
      <c r="B620" t="inlineStr">
        <is>
          <t>Transfer to other reserves (general reserve)</t>
        </is>
      </c>
      <c r="C620" s="31" t="n">
        <v>283</v>
      </c>
      <c r="D620" s="31" t="inlineStr">
        <is>
          <t>-</t>
        </is>
      </c>
      <c r="E620" s="31" t="inlineStr">
        <is>
          <t>-</t>
        </is>
      </c>
      <c r="F620" s="31" t="n">
        <v>13.18</v>
      </c>
      <c r="G620" s="31" t="inlineStr">
        <is>
          <t>-</t>
        </is>
      </c>
      <c r="H620" s="31" t="inlineStr">
        <is>
          <t>-</t>
        </is>
      </c>
      <c r="I620" s="79" t="n">
        <v>131049000</v>
      </c>
      <c r="J620" s="79" t="inlineStr">
        <is>
          <t>-</t>
        </is>
      </c>
      <c r="K620" s="79" t="n">
        <v>197476000</v>
      </c>
    </row>
    <row r="621">
      <c r="B621" t="inlineStr">
        <is>
          <t>Surcharge tax</t>
        </is>
      </c>
      <c r="C621" s="79" t="inlineStr">
        <is>
          <t>-</t>
        </is>
      </c>
      <c r="D621" s="79" t="inlineStr">
        <is>
          <t>-</t>
        </is>
      </c>
      <c r="E621" s="79" t="inlineStr">
        <is>
          <t>-</t>
        </is>
      </c>
      <c r="F621" s="79" t="inlineStr">
        <is>
          <t>-</t>
        </is>
      </c>
      <c r="G621" s="79" t="inlineStr">
        <is>
          <t>-</t>
        </is>
      </c>
      <c r="H621" s="31" t="n">
        <v>-5036184</v>
      </c>
      <c r="I621" s="40" t="inlineStr">
        <is>
          <t>-</t>
        </is>
      </c>
      <c r="J621" s="40" t="inlineStr">
        <is>
          <t>-</t>
        </is>
      </c>
      <c r="K621" s="40" t="inlineStr">
        <is>
          <t>-</t>
        </is>
      </c>
    </row>
    <row r="622">
      <c r="C622" s="79" t="n"/>
      <c r="D622" s="79" t="n"/>
      <c r="E622" s="79" t="n"/>
      <c r="F622" s="79" t="n"/>
      <c r="G622" s="79" t="n"/>
      <c r="H622" s="79" t="n"/>
      <c r="I622" s="40" t="n"/>
      <c r="J622" s="40" t="n"/>
      <c r="K622" s="40" t="n"/>
    </row>
    <row r="623" customFormat="1" s="33">
      <c r="B623" s="33" t="inlineStr">
        <is>
          <t>Check - other adjustments</t>
        </is>
      </c>
      <c r="C623" s="79" t="n">
        <v>-857269981</v>
      </c>
      <c r="D623" s="79" t="n">
        <v>-994370875</v>
      </c>
      <c r="E623" s="79" t="n">
        <v>-1068982587</v>
      </c>
      <c r="F623" s="79" t="n">
        <v>-1286616399</v>
      </c>
      <c r="G623" s="79" t="n">
        <v>0</v>
      </c>
      <c r="H623" s="79" t="n">
        <v>0</v>
      </c>
      <c r="I623" s="40" t="inlineStr">
        <is>
          <t>-</t>
        </is>
      </c>
      <c r="J623" s="40" t="inlineStr">
        <is>
          <t>-</t>
        </is>
      </c>
      <c r="K623" s="40" t="inlineStr">
        <is>
          <t>-</t>
        </is>
      </c>
    </row>
    <row r="624">
      <c r="C624" s="79" t="n"/>
      <c r="D624" s="79" t="n"/>
      <c r="E624" s="79" t="n"/>
      <c r="F624" s="79" t="n"/>
      <c r="G624" s="79" t="n"/>
      <c r="H624" s="79" t="n"/>
      <c r="I624" s="40" t="n"/>
      <c r="J624" s="40" t="n"/>
      <c r="K624" s="40" t="n"/>
    </row>
    <row r="625">
      <c r="B625" t="inlineStr">
        <is>
          <t>Dividend payout</t>
        </is>
      </c>
      <c r="C625" s="68" t="inlineStr">
        <is>
          <t>-</t>
        </is>
      </c>
      <c r="D625" s="68" t="inlineStr">
        <is>
          <t>-</t>
        </is>
      </c>
      <c r="E625" s="68" t="inlineStr">
        <is>
          <t>-</t>
        </is>
      </c>
      <c r="F625" s="68" t="inlineStr">
        <is>
          <t>-</t>
        </is>
      </c>
      <c r="G625" s="68" t="inlineStr">
        <is>
          <t>-</t>
        </is>
      </c>
      <c r="H625" s="68" t="inlineStr">
        <is>
          <t>-</t>
        </is>
      </c>
      <c r="I625" s="93" t="inlineStr">
        <is>
          <t>-</t>
        </is>
      </c>
      <c r="J625" s="93" t="inlineStr">
        <is>
          <t>-</t>
        </is>
      </c>
      <c r="K625" s="93" t="inlineStr">
        <is>
          <t>-</t>
        </is>
      </c>
    </row>
    <row r="626">
      <c r="B626" t="inlineStr">
        <is>
          <t>Transfer to general reserve out of profit</t>
        </is>
      </c>
      <c r="C626" s="68" t="inlineStr">
        <is>
          <t>-</t>
        </is>
      </c>
      <c r="D626" s="68" t="inlineStr">
        <is>
          <t>-</t>
        </is>
      </c>
      <c r="E626" s="68" t="inlineStr">
        <is>
          <t>-</t>
        </is>
      </c>
      <c r="F626" s="68" t="inlineStr">
        <is>
          <t>-</t>
        </is>
      </c>
      <c r="G626" s="68" t="inlineStr">
        <is>
          <t>-</t>
        </is>
      </c>
      <c r="H626" s="68" t="inlineStr">
        <is>
          <t>-</t>
        </is>
      </c>
      <c r="I626" s="93" t="inlineStr">
        <is>
          <t>-</t>
        </is>
      </c>
      <c r="J626" s="93" t="inlineStr">
        <is>
          <t>-</t>
        </is>
      </c>
      <c r="K626" s="93" t="inlineStr">
        <is>
          <t>-</t>
        </is>
      </c>
    </row>
    <row r="627">
      <c r="C627" s="79" t="n"/>
      <c r="D627" s="79" t="n"/>
      <c r="E627" s="79" t="n"/>
      <c r="F627" s="79" t="n"/>
      <c r="G627" s="79" t="n"/>
      <c r="H627" s="79" t="n"/>
      <c r="I627" s="40" t="n"/>
      <c r="J627" s="40" t="n"/>
      <c r="K627" s="40" t="n"/>
    </row>
    <row r="628">
      <c r="C628" s="79" t="n"/>
      <c r="D628" s="79" t="n"/>
      <c r="E628" s="79" t="n"/>
      <c r="F628" s="79" t="n"/>
      <c r="G628" s="79" t="n"/>
      <c r="H628" s="79" t="n"/>
      <c r="I628" s="40" t="n"/>
      <c r="J628" s="40" t="n"/>
      <c r="K628" s="40" t="n"/>
    </row>
    <row r="629" customFormat="1" s="7">
      <c r="C629" s="62" t="n"/>
      <c r="D629" s="62" t="n"/>
      <c r="E629" s="62" t="n"/>
      <c r="F629" s="62" t="n"/>
      <c r="G629" s="62" t="n"/>
      <c r="H629" s="62" t="n"/>
      <c r="I629" s="63" t="n"/>
      <c r="J629" s="63" t="n"/>
      <c r="K629" s="63" t="n"/>
    </row>
    <row r="630">
      <c r="C630" s="79" t="n"/>
      <c r="D630" s="79" t="n"/>
      <c r="E630" s="79" t="n"/>
      <c r="F630" s="79" t="n"/>
      <c r="G630" s="79" t="n"/>
      <c r="H630" s="79" t="n"/>
      <c r="I630" s="40" t="n"/>
      <c r="J630" s="40" t="n"/>
      <c r="K630" s="40" t="n"/>
    </row>
    <row r="631">
      <c r="B631" t="inlineStr">
        <is>
          <t>Other reserves</t>
        </is>
      </c>
      <c r="C631" s="31" t="n">
        <v>283</v>
      </c>
      <c r="D631" s="31" t="inlineStr">
        <is>
          <t>-</t>
        </is>
      </c>
      <c r="E631" s="31" t="inlineStr">
        <is>
          <t>-</t>
        </is>
      </c>
      <c r="F631" s="31" t="n">
        <v>13.18</v>
      </c>
      <c r="G631" s="31" t="inlineStr">
        <is>
          <t>-</t>
        </is>
      </c>
      <c r="H631" s="31" t="inlineStr">
        <is>
          <t>-</t>
        </is>
      </c>
      <c r="I631" s="57" t="n">
        <v>131049000</v>
      </c>
      <c r="J631" s="57" t="inlineStr">
        <is>
          <t>-</t>
        </is>
      </c>
      <c r="K631" s="57" t="n">
        <v>197476000</v>
      </c>
    </row>
    <row r="632">
      <c r="C632" s="79" t="n"/>
      <c r="D632" s="79" t="n"/>
      <c r="E632" s="79" t="n"/>
      <c r="F632" s="79" t="n"/>
      <c r="G632" s="79" t="n"/>
      <c r="H632" s="79" t="n"/>
      <c r="I632" s="40" t="n"/>
      <c r="J632" s="40" t="n"/>
      <c r="K632" s="40" t="n"/>
    </row>
    <row r="633">
      <c r="B633" t="inlineStr">
        <is>
          <t>Revaluation reserve</t>
        </is>
      </c>
      <c r="C633" s="31" t="inlineStr">
        <is>
          <t>-</t>
        </is>
      </c>
      <c r="D633" s="31" t="inlineStr">
        <is>
          <t>-</t>
        </is>
      </c>
      <c r="E633" s="31" t="inlineStr">
        <is>
          <t>-</t>
        </is>
      </c>
      <c r="F633" s="31" t="inlineStr">
        <is>
          <t>-</t>
        </is>
      </c>
      <c r="G633" s="31" t="inlineStr">
        <is>
          <t>-</t>
        </is>
      </c>
      <c r="H633" s="31" t="inlineStr">
        <is>
          <t>-</t>
        </is>
      </c>
      <c r="I633" s="57" t="inlineStr">
        <is>
          <t>-</t>
        </is>
      </c>
      <c r="J633" s="57" t="inlineStr">
        <is>
          <t>-</t>
        </is>
      </c>
      <c r="K633" s="57" t="inlineStr">
        <is>
          <t>-</t>
        </is>
      </c>
    </row>
    <row r="634">
      <c r="B634" t="inlineStr">
        <is>
          <t>General reserve</t>
        </is>
      </c>
      <c r="C634" s="31" t="inlineStr">
        <is>
          <t>-</t>
        </is>
      </c>
      <c r="D634" s="31" t="inlineStr">
        <is>
          <t>-</t>
        </is>
      </c>
      <c r="E634" s="31" t="inlineStr">
        <is>
          <t>-</t>
        </is>
      </c>
      <c r="F634" s="31" t="inlineStr">
        <is>
          <t>-</t>
        </is>
      </c>
      <c r="G634" s="31" t="inlineStr">
        <is>
          <t>-</t>
        </is>
      </c>
      <c r="H634" s="31" t="inlineStr">
        <is>
          <t>-</t>
        </is>
      </c>
      <c r="I634" s="57" t="inlineStr">
        <is>
          <t>-</t>
        </is>
      </c>
      <c r="J634" s="57" t="inlineStr">
        <is>
          <t>-</t>
        </is>
      </c>
      <c r="K634" s="57" t="inlineStr">
        <is>
          <t>-</t>
        </is>
      </c>
    </row>
    <row r="635">
      <c r="B635" t="inlineStr">
        <is>
          <t>Fair value reserve</t>
        </is>
      </c>
      <c r="C635" s="31" t="inlineStr">
        <is>
          <t>-</t>
        </is>
      </c>
      <c r="D635" s="31" t="inlineStr">
        <is>
          <t>-</t>
        </is>
      </c>
      <c r="E635" s="31" t="inlineStr">
        <is>
          <t>-</t>
        </is>
      </c>
      <c r="F635" s="31" t="inlineStr">
        <is>
          <t>-</t>
        </is>
      </c>
      <c r="G635" s="31" t="inlineStr">
        <is>
          <t>-</t>
        </is>
      </c>
      <c r="H635" s="31" t="inlineStr">
        <is>
          <t>-</t>
        </is>
      </c>
      <c r="I635" s="57" t="inlineStr">
        <is>
          <t>-</t>
        </is>
      </c>
      <c r="J635" s="57" t="inlineStr">
        <is>
          <t>-</t>
        </is>
      </c>
      <c r="K635" s="57" t="inlineStr">
        <is>
          <t>-</t>
        </is>
      </c>
    </row>
    <row r="636">
      <c r="B636" t="inlineStr">
        <is>
          <t>Foreign currency translation reserve</t>
        </is>
      </c>
      <c r="C636" s="31" t="inlineStr">
        <is>
          <t>-</t>
        </is>
      </c>
      <c r="D636" s="31" t="inlineStr">
        <is>
          <t>-</t>
        </is>
      </c>
      <c r="E636" s="31" t="inlineStr">
        <is>
          <t>-</t>
        </is>
      </c>
      <c r="F636" s="31" t="inlineStr">
        <is>
          <t>-</t>
        </is>
      </c>
      <c r="G636" s="31" t="inlineStr">
        <is>
          <t>-</t>
        </is>
      </c>
      <c r="H636" s="31" t="inlineStr">
        <is>
          <t>-</t>
        </is>
      </c>
      <c r="I636" s="57" t="inlineStr">
        <is>
          <t>-</t>
        </is>
      </c>
      <c r="J636" s="57" t="inlineStr">
        <is>
          <t>-</t>
        </is>
      </c>
      <c r="K636" s="57" t="inlineStr">
        <is>
          <t>-</t>
        </is>
      </c>
    </row>
    <row r="637">
      <c r="B637" t="inlineStr">
        <is>
          <t>Employee share option reserve</t>
        </is>
      </c>
      <c r="C637" s="31" t="inlineStr">
        <is>
          <t>-</t>
        </is>
      </c>
      <c r="D637" s="31" t="inlineStr">
        <is>
          <t>-</t>
        </is>
      </c>
      <c r="E637" s="31" t="inlineStr">
        <is>
          <t>-</t>
        </is>
      </c>
      <c r="F637" s="31" t="inlineStr">
        <is>
          <t>-</t>
        </is>
      </c>
      <c r="G637" s="31" t="inlineStr">
        <is>
          <t>-</t>
        </is>
      </c>
      <c r="H637" s="31" t="inlineStr">
        <is>
          <t>-</t>
        </is>
      </c>
      <c r="I637" s="57" t="inlineStr">
        <is>
          <t>-</t>
        </is>
      </c>
      <c r="J637" s="57" t="inlineStr">
        <is>
          <t>-</t>
        </is>
      </c>
      <c r="K637" s="57" t="inlineStr">
        <is>
          <t>-</t>
        </is>
      </c>
    </row>
    <row r="638">
      <c r="B638" t="inlineStr">
        <is>
          <t>Hedging reserve</t>
        </is>
      </c>
      <c r="C638" s="31" t="inlineStr">
        <is>
          <t>-</t>
        </is>
      </c>
      <c r="D638" s="31" t="inlineStr">
        <is>
          <t>-</t>
        </is>
      </c>
      <c r="E638" s="31" t="inlineStr">
        <is>
          <t>-</t>
        </is>
      </c>
      <c r="F638" s="31" t="inlineStr">
        <is>
          <t>-</t>
        </is>
      </c>
      <c r="G638" s="31" t="inlineStr">
        <is>
          <t>-</t>
        </is>
      </c>
      <c r="H638" s="31" t="inlineStr">
        <is>
          <t>-</t>
        </is>
      </c>
      <c r="I638" s="57" t="inlineStr">
        <is>
          <t>-</t>
        </is>
      </c>
      <c r="J638" s="57" t="inlineStr">
        <is>
          <t>-</t>
        </is>
      </c>
      <c r="K638" s="57" t="inlineStr">
        <is>
          <t>-</t>
        </is>
      </c>
    </row>
    <row r="639">
      <c r="C639" s="79" t="n"/>
      <c r="D639" s="79" t="n"/>
      <c r="E639" s="79" t="n"/>
      <c r="F639" s="79" t="n"/>
      <c r="G639" s="79" t="n"/>
      <c r="H639" s="79" t="n"/>
      <c r="I639" s="40" t="n"/>
      <c r="J639" s="40" t="n"/>
      <c r="K639" s="40" t="n"/>
    </row>
    <row r="640" customFormat="1" s="33">
      <c r="B640" s="33" t="inlineStr">
        <is>
          <t>Check</t>
        </is>
      </c>
      <c r="C640" s="79" t="n">
        <v>-857269981</v>
      </c>
      <c r="D640" s="79" t="n">
        <v>-994370875</v>
      </c>
      <c r="E640" s="79" t="n">
        <v>-1068982587</v>
      </c>
      <c r="F640" s="79" t="n">
        <v>-1286616399</v>
      </c>
      <c r="G640" s="79" t="n">
        <v>0</v>
      </c>
      <c r="H640" s="79" t="n">
        <v>0</v>
      </c>
      <c r="I640" s="40" t="inlineStr">
        <is>
          <t>-</t>
        </is>
      </c>
      <c r="J640" s="40" t="inlineStr">
        <is>
          <t>-</t>
        </is>
      </c>
      <c r="K640" s="40" t="inlineStr">
        <is>
          <t>-</t>
        </is>
      </c>
    </row>
    <row r="641">
      <c r="C641" s="79" t="n"/>
      <c r="D641" s="79" t="n"/>
      <c r="E641" s="79" t="n"/>
      <c r="F641" s="79" t="n"/>
      <c r="G641" s="79" t="n"/>
      <c r="H641" s="79" t="n"/>
      <c r="I641" s="40" t="n"/>
      <c r="J641" s="40" t="n"/>
      <c r="K641" s="40" t="n"/>
    </row>
    <row r="642">
      <c r="C642" s="79" t="n"/>
      <c r="D642" s="79" t="n"/>
      <c r="E642" s="79" t="n"/>
      <c r="F642" s="79" t="n"/>
      <c r="G642" s="79" t="n"/>
      <c r="H642" s="79" t="n"/>
      <c r="I642" s="40" t="n"/>
      <c r="J642" s="40" t="n"/>
      <c r="K642" s="40" t="n"/>
    </row>
    <row r="643">
      <c r="C643" s="79" t="n"/>
      <c r="D643" s="79" t="n"/>
      <c r="E643" s="79" t="n"/>
      <c r="F643" s="79" t="n"/>
      <c r="G643" s="79" t="n"/>
      <c r="H643" s="79" t="n"/>
      <c r="I643" s="40" t="n"/>
      <c r="J643" s="40" t="n"/>
      <c r="K643" s="40" t="n"/>
    </row>
    <row r="644">
      <c r="C644" s="79" t="n"/>
      <c r="D644" s="79" t="n"/>
      <c r="E644" s="79" t="n"/>
      <c r="F644" s="79" t="n"/>
      <c r="G644" s="79" t="n"/>
      <c r="H644" s="79" t="n"/>
      <c r="I644" s="40" t="n"/>
      <c r="J644" s="40" t="n"/>
      <c r="K644" s="40" t="n"/>
    </row>
    <row r="645">
      <c r="C645" s="79" t="n"/>
      <c r="D645" s="79" t="n"/>
      <c r="E645" s="79" t="n"/>
      <c r="F645" s="79" t="n"/>
      <c r="G645" s="79" t="n"/>
      <c r="H645" s="79" t="n"/>
      <c r="I645" s="40" t="n"/>
      <c r="J645" s="40" t="n"/>
      <c r="K645" s="40" t="n"/>
    </row>
    <row r="646">
      <c r="C646" s="79" t="n"/>
      <c r="D646" s="79" t="n"/>
      <c r="E646" s="79" t="n"/>
      <c r="F646" s="79" t="n"/>
      <c r="G646" s="79" t="n"/>
      <c r="H646" s="79" t="n"/>
      <c r="I646" s="40" t="n"/>
      <c r="J646" s="40" t="n"/>
      <c r="K646" s="40" t="n"/>
    </row>
    <row r="647">
      <c r="C647" s="79" t="n"/>
      <c r="D647" s="79" t="n"/>
      <c r="E647" s="79" t="n"/>
      <c r="F647" s="79" t="n"/>
      <c r="G647" s="79" t="n"/>
      <c r="H647" s="79" t="n"/>
      <c r="I647" s="40" t="n"/>
      <c r="J647" s="40" t="n"/>
      <c r="K647" s="40" t="n"/>
    </row>
    <row r="648">
      <c r="C648" s="79" t="n"/>
      <c r="D648" s="79" t="n"/>
      <c r="E648" s="79" t="n"/>
      <c r="F648" s="79" t="n"/>
      <c r="G648" s="79" t="n"/>
      <c r="H648" s="79" t="n"/>
      <c r="I648" s="40" t="n"/>
      <c r="J648" s="40" t="n"/>
      <c r="K648" s="40" t="n"/>
    </row>
    <row r="649">
      <c r="C649" s="79" t="n"/>
      <c r="D649" s="79" t="n"/>
      <c r="E649" s="79" t="n"/>
      <c r="F649" s="79" t="n"/>
      <c r="G649" s="79" t="n"/>
      <c r="H649" s="79" t="n"/>
      <c r="I649" s="40" t="n"/>
      <c r="J649" s="40" t="n"/>
      <c r="K649" s="40" t="n"/>
    </row>
    <row r="650">
      <c r="C650" s="79" t="n"/>
      <c r="D650" s="79" t="n"/>
      <c r="E650" s="79" t="n"/>
      <c r="F650" s="79" t="n"/>
      <c r="G650" s="79" t="n"/>
      <c r="H650" s="79" t="n"/>
      <c r="I650" s="40" t="n"/>
      <c r="J650" s="40" t="n"/>
      <c r="K650" s="40" t="n"/>
    </row>
    <row r="651">
      <c r="C651" s="79" t="n"/>
      <c r="D651" s="79" t="n"/>
      <c r="E651" s="79" t="n"/>
      <c r="F651" s="79" t="n"/>
      <c r="G651" s="79" t="n"/>
      <c r="H651" s="79" t="n"/>
      <c r="I651" s="40" t="n"/>
      <c r="J651" s="40" t="n"/>
      <c r="K651" s="40" t="n"/>
    </row>
    <row r="652">
      <c r="C652" s="79" t="n"/>
      <c r="D652" s="79" t="n"/>
      <c r="E652" s="79" t="n"/>
      <c r="F652" s="79" t="n"/>
      <c r="G652" s="79" t="n"/>
      <c r="H652" s="79" t="n"/>
      <c r="I652" s="40" t="n"/>
      <c r="J652" s="40" t="n"/>
      <c r="K652" s="40" t="n"/>
    </row>
    <row r="653">
      <c r="C653" s="79" t="n"/>
      <c r="D653" s="79" t="n"/>
      <c r="E653" s="79" t="n"/>
      <c r="F653" s="79" t="n"/>
      <c r="G653" s="79" t="n"/>
      <c r="H653" s="79" t="n"/>
      <c r="I653" s="40" t="n"/>
      <c r="J653" s="40" t="n"/>
      <c r="K653" s="40" t="n"/>
    </row>
    <row r="654">
      <c r="C654" s="79" t="n"/>
      <c r="D654" s="79" t="n"/>
      <c r="E654" s="79" t="n"/>
      <c r="F654" s="79" t="n"/>
      <c r="G654" s="79" t="n"/>
      <c r="H654" s="79" t="n"/>
      <c r="I654" s="40" t="n"/>
      <c r="J654" s="40" t="n"/>
      <c r="K654" s="40" t="n"/>
    </row>
    <row r="655">
      <c r="C655" s="79" t="n"/>
      <c r="D655" s="79" t="n"/>
      <c r="E655" s="79" t="n"/>
      <c r="F655" s="79" t="n"/>
      <c r="G655" s="79" t="n"/>
      <c r="H655" s="79" t="n"/>
      <c r="I655" s="40" t="n"/>
      <c r="J655" s="40" t="n"/>
      <c r="K655" s="40" t="n"/>
    </row>
    <row r="656">
      <c r="C656" s="79" t="n"/>
      <c r="D656" s="79" t="n"/>
      <c r="E656" s="79" t="n"/>
      <c r="F656" s="79" t="n"/>
      <c r="G656" s="79" t="n"/>
      <c r="H656" s="79" t="n"/>
      <c r="I656" s="40" t="n"/>
      <c r="J656" s="40" t="n"/>
      <c r="K656" s="40" t="n"/>
    </row>
    <row r="657">
      <c r="C657" s="79" t="n"/>
      <c r="D657" s="79" t="n"/>
      <c r="E657" s="79" t="n"/>
      <c r="F657" s="79" t="n"/>
      <c r="G657" s="79" t="n"/>
      <c r="H657" s="79" t="n"/>
      <c r="I657" s="40" t="n"/>
      <c r="J657" s="40" t="n"/>
      <c r="K657" s="40" t="n"/>
    </row>
    <row r="658">
      <c r="C658" s="79" t="n"/>
      <c r="D658" s="79" t="n"/>
      <c r="E658" s="79" t="n"/>
      <c r="F658" s="79" t="n"/>
      <c r="G658" s="79" t="n"/>
      <c r="H658" s="79" t="n"/>
      <c r="I658" s="40" t="n"/>
      <c r="J658" s="40" t="n"/>
      <c r="K658" s="40" t="n"/>
    </row>
    <row r="659">
      <c r="C659" s="79" t="n"/>
      <c r="D659" s="79" t="n"/>
      <c r="E659" s="79" t="n"/>
      <c r="F659" s="79" t="n"/>
      <c r="G659" s="79" t="n"/>
      <c r="H659" s="79" t="n"/>
      <c r="I659" s="40" t="n"/>
      <c r="J659" s="40" t="n"/>
      <c r="K659" s="40" t="n"/>
    </row>
    <row r="660">
      <c r="C660" s="79" t="n"/>
      <c r="D660" s="79" t="n"/>
      <c r="E660" s="79" t="n"/>
      <c r="F660" s="79" t="n"/>
      <c r="G660" s="79" t="n"/>
      <c r="H660" s="79" t="n"/>
      <c r="I660" s="40" t="n"/>
      <c r="J660" s="40" t="n"/>
      <c r="K660" s="40" t="n"/>
    </row>
    <row r="661">
      <c r="C661" s="79" t="n"/>
      <c r="D661" s="79" t="n"/>
      <c r="E661" s="79" t="n"/>
      <c r="F661" s="79" t="n"/>
      <c r="G661" s="79" t="n"/>
      <c r="H661" s="79" t="n"/>
      <c r="I661" s="40" t="n"/>
      <c r="J661" s="40" t="n"/>
      <c r="K661" s="40" t="n"/>
    </row>
    <row r="662">
      <c r="C662" s="79" t="n"/>
      <c r="D662" s="79" t="n"/>
      <c r="E662" s="79" t="n"/>
      <c r="F662" s="79" t="n"/>
      <c r="G662" s="79" t="n"/>
      <c r="H662" s="79" t="n"/>
      <c r="I662" s="40" t="n"/>
      <c r="J662" s="40" t="n"/>
      <c r="K662" s="40" t="n"/>
    </row>
    <row r="663">
      <c r="C663" s="79" t="n"/>
      <c r="D663" s="79" t="n"/>
      <c r="E663" s="79" t="n"/>
      <c r="F663" s="79" t="n"/>
      <c r="G663" s="79" t="n"/>
      <c r="H663" s="79" t="n"/>
      <c r="I663" s="40" t="n"/>
      <c r="J663" s="40" t="n"/>
      <c r="K663" s="40" t="n"/>
    </row>
    <row r="664">
      <c r="C664" s="79" t="n"/>
      <c r="D664" s="79" t="n"/>
      <c r="E664" s="79" t="n"/>
      <c r="F664" s="79" t="n"/>
      <c r="G664" s="79" t="n"/>
      <c r="H664" s="79" t="n"/>
      <c r="I664" s="40" t="n"/>
      <c r="J664" s="40" t="n"/>
      <c r="K664" s="40" t="n"/>
    </row>
    <row r="665">
      <c r="C665" s="79" t="n"/>
      <c r="D665" s="79" t="n"/>
      <c r="E665" s="79" t="n"/>
      <c r="F665" s="79" t="n"/>
      <c r="G665" s="79" t="n"/>
      <c r="H665" s="79" t="n"/>
      <c r="I665" s="40" t="n"/>
      <c r="J665" s="40" t="n"/>
      <c r="K665" s="40" t="n"/>
    </row>
    <row r="666">
      <c r="C666" s="79" t="n"/>
      <c r="D666" s="79" t="n"/>
      <c r="E666" s="79" t="n"/>
      <c r="F666" s="79" t="n"/>
      <c r="G666" s="79" t="n"/>
      <c r="H666" s="79" t="n"/>
      <c r="I666" s="40" t="n"/>
      <c r="J666" s="40" t="n"/>
      <c r="K666" s="40" t="n"/>
    </row>
    <row r="667">
      <c r="C667" s="79" t="n"/>
      <c r="D667" s="79" t="n"/>
      <c r="E667" s="79" t="n"/>
      <c r="F667" s="79" t="n"/>
      <c r="G667" s="79" t="n"/>
      <c r="H667" s="79" t="n"/>
      <c r="I667" s="40" t="n"/>
      <c r="J667" s="40" t="n"/>
      <c r="K667" s="40" t="n"/>
    </row>
    <row r="668">
      <c r="C668" s="79" t="n"/>
      <c r="D668" s="79" t="n"/>
      <c r="E668" s="79" t="n"/>
      <c r="F668" s="79" t="n"/>
      <c r="G668" s="79" t="n"/>
      <c r="H668" s="79" t="n"/>
      <c r="I668" s="40" t="n"/>
      <c r="J668" s="40" t="n"/>
      <c r="K668" s="40" t="n"/>
    </row>
    <row r="669">
      <c r="C669" s="79" t="n"/>
      <c r="D669" s="79" t="n"/>
      <c r="E669" s="79" t="n"/>
      <c r="F669" s="79" t="n"/>
      <c r="G669" s="79" t="n"/>
      <c r="H669" s="79" t="n"/>
      <c r="I669" s="40" t="n"/>
      <c r="J669" s="40" t="n"/>
      <c r="K669" s="40" t="n"/>
    </row>
    <row r="670">
      <c r="C670" s="79" t="n"/>
      <c r="D670" s="79" t="n"/>
      <c r="E670" s="79" t="n"/>
      <c r="F670" s="79" t="n"/>
      <c r="G670" s="79" t="n"/>
      <c r="H670" s="79" t="n"/>
      <c r="I670" s="40" t="n"/>
      <c r="J670" s="40" t="n"/>
      <c r="K670" s="40" t="n"/>
    </row>
    <row r="671">
      <c r="C671" s="79" t="n"/>
      <c r="D671" s="79" t="n"/>
      <c r="E671" s="79" t="n"/>
      <c r="F671" s="79" t="n"/>
      <c r="G671" s="79" t="n"/>
      <c r="H671" s="79" t="n"/>
      <c r="I671" s="40" t="n"/>
      <c r="J671" s="40" t="n"/>
      <c r="K671" s="40" t="n"/>
    </row>
    <row r="672">
      <c r="C672" s="79" t="n"/>
      <c r="D672" s="79" t="n"/>
      <c r="E672" s="79" t="n"/>
      <c r="F672" s="79" t="n"/>
      <c r="G672" s="79" t="n"/>
      <c r="H672" s="79" t="n"/>
      <c r="I672" s="40" t="n"/>
      <c r="J672" s="40" t="n"/>
      <c r="K672" s="40" t="n"/>
    </row>
    <row r="673">
      <c r="C673" s="79" t="n"/>
      <c r="D673" s="79" t="n"/>
      <c r="E673" s="79" t="n"/>
      <c r="F673" s="79" t="n"/>
      <c r="G673" s="79" t="n"/>
      <c r="H673" s="79" t="n"/>
      <c r="I673" s="40" t="n"/>
      <c r="J673" s="40" t="n"/>
      <c r="K673" s="40" t="n"/>
    </row>
    <row r="674">
      <c r="C674" s="79" t="n"/>
      <c r="D674" s="79" t="n"/>
      <c r="E674" s="79" t="n"/>
      <c r="F674" s="79" t="n"/>
      <c r="G674" s="79" t="n"/>
      <c r="H674" s="79" t="n"/>
      <c r="I674" s="40" t="n"/>
      <c r="J674" s="40" t="n"/>
      <c r="K674" s="40" t="n"/>
    </row>
    <row r="675">
      <c r="C675" s="79" t="n"/>
      <c r="D675" s="79" t="n"/>
      <c r="E675" s="79" t="n"/>
      <c r="F675" s="79" t="n"/>
      <c r="G675" s="79" t="n"/>
      <c r="H675" s="79" t="n"/>
      <c r="I675" s="40" t="n"/>
      <c r="J675" s="40" t="n"/>
      <c r="K675" s="40" t="n"/>
    </row>
    <row r="676">
      <c r="C676" s="79" t="n"/>
      <c r="D676" s="79" t="n"/>
      <c r="E676" s="79" t="n"/>
      <c r="F676" s="79" t="n"/>
      <c r="G676" s="79" t="n"/>
      <c r="H676" s="79" t="n"/>
      <c r="I676" s="40" t="n"/>
      <c r="J676" s="40" t="n"/>
      <c r="K676" s="40" t="n"/>
    </row>
    <row r="677">
      <c r="C677" s="79" t="n"/>
      <c r="D677" s="79" t="n"/>
      <c r="E677" s="79" t="n"/>
      <c r="F677" s="79" t="n"/>
      <c r="G677" s="79" t="n"/>
      <c r="H677" s="79" t="n"/>
      <c r="I677" s="40" t="n"/>
      <c r="J677" s="40" t="n"/>
      <c r="K677" s="40" t="n"/>
    </row>
    <row r="678">
      <c r="C678" s="79" t="n"/>
      <c r="D678" s="79" t="n"/>
      <c r="E678" s="79" t="n"/>
      <c r="F678" s="79" t="n"/>
      <c r="G678" s="79" t="n"/>
      <c r="H678" s="79" t="n"/>
      <c r="I678" s="40" t="n"/>
      <c r="J678" s="40" t="n"/>
      <c r="K678" s="40" t="n"/>
    </row>
    <row r="679">
      <c r="C679" s="79" t="n"/>
      <c r="D679" s="79" t="n"/>
      <c r="E679" s="79" t="n"/>
      <c r="F679" s="79" t="n"/>
      <c r="G679" s="79" t="n"/>
      <c r="H679" s="79" t="n"/>
      <c r="I679" s="40" t="n"/>
      <c r="J679" s="40" t="n"/>
      <c r="K679" s="40" t="n"/>
    </row>
    <row r="680">
      <c r="C680" s="79" t="n"/>
      <c r="D680" s="79" t="n"/>
      <c r="E680" s="79" t="n"/>
      <c r="F680" s="79" t="n"/>
      <c r="G680" s="79" t="n"/>
      <c r="H680" s="79" t="n"/>
      <c r="I680" s="40" t="n"/>
      <c r="J680" s="40" t="n"/>
      <c r="K680" s="40" t="n"/>
    </row>
    <row r="681">
      <c r="C681" s="79" t="n"/>
      <c r="D681" s="79" t="n"/>
      <c r="E681" s="79" t="n"/>
      <c r="F681" s="79" t="n"/>
      <c r="G681" s="79" t="n"/>
      <c r="H681" s="79" t="n"/>
      <c r="I681" s="40" t="n"/>
      <c r="J681" s="40" t="n"/>
      <c r="K681" s="40" t="n"/>
    </row>
  </sheetData>
  <pageMargins left="0.7" right="0.7" top="0.75" bottom="0.75" header="0.3" footer="0.3"/>
  <pageSetup orientation="landscape" scale="70"/>
  <rowBreaks count="2" manualBreakCount="2">
    <brk id="339" min="0" max="7" man="1"/>
    <brk id="472" min="0" max="7" man="1"/>
  </rowBreaks>
  <colBreaks count="1" manualBreakCount="1">
    <brk id="8" min="0" max="1048575" man="1"/>
  </col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B23" sqref="B23"/>
    </sheetView>
  </sheetViews>
  <sheetFormatPr baseColWidth="8" defaultRowHeight="14.4"/>
  <cols>
    <col width="30.33203125" bestFit="1" customWidth="1" min="2" max="2"/>
    <col hidden="1" width="12" customWidth="1" min="3" max="3"/>
    <col hidden="1" width="10.109375" customWidth="1" min="4" max="5"/>
    <col width="10.109375" bestFit="1" customWidth="1" min="6" max="8"/>
    <col width="10.109375" bestFit="1" customWidth="1" style="144" min="9" max="12"/>
  </cols>
  <sheetData>
    <row r="2">
      <c r="B2" s="146" t="n"/>
      <c r="C2" s="145">
        <f>FS!C4</f>
        <v/>
      </c>
      <c r="D2" s="145">
        <f>FS!D4</f>
        <v/>
      </c>
      <c r="E2" s="145">
        <f>FS!E4</f>
        <v/>
      </c>
      <c r="F2" s="145">
        <f>FS!F4</f>
        <v/>
      </c>
      <c r="G2" s="145">
        <f>FS!G4</f>
        <v/>
      </c>
      <c r="H2" s="145">
        <f>FS!H4</f>
        <v/>
      </c>
      <c r="I2" s="129">
        <f>FS!I4</f>
        <v/>
      </c>
      <c r="J2" s="129">
        <f>FS!J4</f>
        <v/>
      </c>
      <c r="K2" s="129">
        <f>FS!K4</f>
        <v/>
      </c>
    </row>
    <row r="3">
      <c r="B3" t="inlineStr">
        <is>
          <t>Avg. yield on interest earning assets</t>
        </is>
      </c>
      <c r="C3" s="156" t="inlineStr">
        <is>
          <t>-</t>
        </is>
      </c>
      <c r="D3" s="156" t="inlineStr">
        <is>
          <t>-</t>
        </is>
      </c>
      <c r="E3" s="156" t="n">
        <v>0.1046999048205896</v>
      </c>
      <c r="F3" s="156" t="n">
        <v>0.4456186583741633</v>
      </c>
      <c r="G3" s="156" t="n">
        <v>89985.21544715448</v>
      </c>
      <c r="H3" s="156" t="n">
        <v>0.1108278763324297</v>
      </c>
      <c r="I3" s="141" t="n">
        <v>0.1361647422497655</v>
      </c>
      <c r="J3" s="141" t="n">
        <v>0.1329707601158999</v>
      </c>
      <c r="K3" s="141" t="n">
        <v>0.05270482094104093</v>
      </c>
    </row>
    <row r="4">
      <c r="B4" t="inlineStr">
        <is>
          <t>Avg. cost on interest bearing funds</t>
        </is>
      </c>
      <c r="C4" s="156" t="inlineStr">
        <is>
          <t>-</t>
        </is>
      </c>
      <c r="D4" s="156" t="inlineStr">
        <is>
          <t>-</t>
        </is>
      </c>
      <c r="E4" s="156" t="inlineStr">
        <is>
          <t>-</t>
        </is>
      </c>
      <c r="F4" s="156" t="n">
        <v>18.54730794423437</v>
      </c>
      <c r="G4" s="156" t="inlineStr">
        <is>
          <t>-</t>
        </is>
      </c>
      <c r="H4" s="156" t="n">
        <v>0.06570214946146588</v>
      </c>
      <c r="I4" s="141" t="n">
        <v>0.09352300900471709</v>
      </c>
      <c r="J4" s="141" t="inlineStr">
        <is>
          <t>-</t>
        </is>
      </c>
      <c r="K4" s="141" t="n">
        <v>0.0580225451041346</v>
      </c>
    </row>
    <row r="5">
      <c r="B5" t="inlineStr">
        <is>
          <t>Net interest margin</t>
        </is>
      </c>
      <c r="C5" s="156" t="inlineStr">
        <is>
          <t>-</t>
        </is>
      </c>
      <c r="D5" s="156" t="inlineStr">
        <is>
          <t>-</t>
        </is>
      </c>
      <c r="E5" s="156" t="n">
        <v>0.03916009353177794</v>
      </c>
      <c r="F5" s="156" t="n">
        <v>0.1826779360527093</v>
      </c>
      <c r="G5" s="156" t="n">
        <v>44997.51490514905</v>
      </c>
      <c r="H5" s="156" t="n">
        <v>0.04219225515721679</v>
      </c>
      <c r="I5" s="141" t="n">
        <v>0.03953263400828137</v>
      </c>
      <c r="J5" s="141" t="n">
        <v>0.05707660518633962</v>
      </c>
      <c r="K5" s="141" t="n">
        <v>0.02465203592276735</v>
      </c>
    </row>
    <row r="6">
      <c r="B6" t="inlineStr">
        <is>
          <t>Interest rate spread</t>
        </is>
      </c>
      <c r="C6" s="108" t="inlineStr">
        <is>
          <t>-</t>
        </is>
      </c>
      <c r="D6" s="108" t="inlineStr">
        <is>
          <t>-</t>
        </is>
      </c>
      <c r="E6" s="108" t="inlineStr">
        <is>
          <t>-</t>
        </is>
      </c>
      <c r="F6" s="108" t="n">
        <v>-18.10168928586021</v>
      </c>
      <c r="G6" s="108" t="inlineStr">
        <is>
          <t>-</t>
        </is>
      </c>
      <c r="H6" s="108" t="n">
        <v>0.04512572687096386</v>
      </c>
      <c r="I6" s="142" t="n">
        <v>0.04264173324504845</v>
      </c>
      <c r="J6" s="142" t="inlineStr">
        <is>
          <t>-</t>
        </is>
      </c>
      <c r="K6" s="142" t="n">
        <v>-0.005317724163093673</v>
      </c>
    </row>
    <row r="7">
      <c r="B7" t="inlineStr">
        <is>
          <t>Cost to income (operating)</t>
        </is>
      </c>
      <c r="C7" s="156" t="n">
        <v>0.4012799994138688</v>
      </c>
      <c r="D7" s="156" t="inlineStr">
        <is>
          <t>-</t>
        </is>
      </c>
      <c r="E7" s="156" t="n">
        <v>0.3859770632167062</v>
      </c>
      <c r="F7" s="156" t="n">
        <v>0.3859770632167062</v>
      </c>
      <c r="G7" s="156" t="n">
        <v>0.3168618630058148</v>
      </c>
      <c r="H7" s="156" t="n">
        <v>0.2655381392665468</v>
      </c>
      <c r="I7" s="141" t="inlineStr">
        <is>
          <t>-</t>
        </is>
      </c>
      <c r="J7" s="141" t="n">
        <v>0.4842021702994843</v>
      </c>
      <c r="K7" s="141" t="n">
        <v>0.3008135525646552</v>
      </c>
    </row>
    <row r="8">
      <c r="B8" t="inlineStr">
        <is>
          <t>Cost to income (with impairments)</t>
        </is>
      </c>
      <c r="C8" s="156" t="n">
        <v>0.193427007322853</v>
      </c>
      <c r="D8" s="156" t="inlineStr">
        <is>
          <t>-</t>
        </is>
      </c>
      <c r="E8" s="156" t="n">
        <v>0.2484857268118245</v>
      </c>
      <c r="F8" s="156" t="n">
        <v>0.3128653566364036</v>
      </c>
      <c r="G8" s="156" t="n">
        <v>0.3347949322986475</v>
      </c>
      <c r="H8" s="156" t="n">
        <v>0.3859184720098807</v>
      </c>
      <c r="I8" s="141" t="n">
        <v>0.1115305612791898</v>
      </c>
      <c r="J8" s="141" t="n">
        <v>0.1885197001362454</v>
      </c>
      <c r="K8" s="141" t="n">
        <v>0.1574644217693625</v>
      </c>
    </row>
    <row r="9">
      <c r="B9" t="inlineStr">
        <is>
          <t>Impairments/ Gross loans</t>
        </is>
      </c>
      <c r="C9" s="156" t="inlineStr">
        <is>
          <t>-</t>
        </is>
      </c>
      <c r="D9" s="156" t="n">
        <v>-5.086375156259945e-06</v>
      </c>
      <c r="E9" s="156" t="n">
        <v>0.01267622800018021</v>
      </c>
      <c r="F9" s="156" t="n">
        <v>12101430.50847458</v>
      </c>
      <c r="G9" s="156" t="n">
        <v>102194.8211382114</v>
      </c>
      <c r="H9" s="156" t="n">
        <v>0.06362486811459708</v>
      </c>
      <c r="I9" s="141" t="n">
        <v>0.03238385358223673</v>
      </c>
      <c r="J9" s="141" t="inlineStr">
        <is>
          <t>-</t>
        </is>
      </c>
      <c r="K9" s="141" t="inlineStr">
        <is>
          <t>-</t>
        </is>
      </c>
    </row>
    <row r="10">
      <c r="B10" t="inlineStr">
        <is>
          <t>Net margin</t>
        </is>
      </c>
      <c r="C10" s="156" t="n">
        <v>0.1422993603613708</v>
      </c>
      <c r="D10" s="156" t="inlineStr">
        <is>
          <t>-</t>
        </is>
      </c>
      <c r="E10" s="156" t="n">
        <v>0.1155649829317651</v>
      </c>
      <c r="F10" s="156" t="n">
        <v>0.1146331985871115</v>
      </c>
      <c r="G10" s="156" t="n">
        <v>0.1484053257830356</v>
      </c>
      <c r="H10" s="156" t="n">
        <v>0.08702071377474695</v>
      </c>
      <c r="I10" s="141" t="n">
        <v>0.06411541891440078</v>
      </c>
      <c r="J10" s="141" t="n">
        <v>0.2025138545457674</v>
      </c>
      <c r="K10" s="141" t="n">
        <v>0.1668694018086795</v>
      </c>
    </row>
    <row r="11">
      <c r="B11" t="inlineStr">
        <is>
          <t>ROE</t>
        </is>
      </c>
      <c r="C11" s="156" t="n">
        <v>0.1527234399522807</v>
      </c>
      <c r="D11" s="156" t="inlineStr">
        <is>
          <t>-</t>
        </is>
      </c>
      <c r="E11" s="156" t="inlineStr">
        <is>
          <t>-</t>
        </is>
      </c>
      <c r="F11" s="156" t="n">
        <v>0.1108547594739943</v>
      </c>
      <c r="G11" s="156" t="inlineStr">
        <is>
          <t>-</t>
        </is>
      </c>
      <c r="H11" s="156" t="n">
        <v>0.119784372466923</v>
      </c>
      <c r="I11" s="141" t="n">
        <v>0.1018915838106183</v>
      </c>
      <c r="J11" s="141" t="inlineStr">
        <is>
          <t>-</t>
        </is>
      </c>
      <c r="K11" s="141" t="n">
        <v>0.1368713715563942</v>
      </c>
    </row>
    <row r="12">
      <c r="B12" t="inlineStr">
        <is>
          <t>ROA</t>
        </is>
      </c>
      <c r="C12" s="156" t="inlineStr">
        <is>
          <t>-</t>
        </is>
      </c>
      <c r="D12" s="156" t="inlineStr">
        <is>
          <t>-</t>
        </is>
      </c>
      <c r="E12" s="156" t="n">
        <v>0.01660759749272773</v>
      </c>
      <c r="F12" s="156" t="n">
        <v>0.0100335302302452</v>
      </c>
      <c r="G12" s="156" t="n">
        <v>0.0122486997501311</v>
      </c>
      <c r="H12" s="156" t="n">
        <v>0.01005834480702011</v>
      </c>
      <c r="I12" s="141" t="n">
        <v>0.008246559617945647</v>
      </c>
      <c r="J12" s="141" t="n">
        <v>0.0199608555055996</v>
      </c>
      <c r="K12" s="141" t="n">
        <v>0.01803500653116104</v>
      </c>
    </row>
    <row r="13">
      <c r="B13" t="inlineStr">
        <is>
          <t>Equity/ total assets</t>
        </is>
      </c>
      <c r="C13" s="156" t="inlineStr">
        <is>
          <t>-</t>
        </is>
      </c>
      <c r="D13" s="156" t="inlineStr">
        <is>
          <t>-</t>
        </is>
      </c>
      <c r="E13" s="156" t="inlineStr">
        <is>
          <t>-</t>
        </is>
      </c>
      <c r="F13" s="156" t="n">
        <v>0.09051059492487551</v>
      </c>
      <c r="G13" s="156" t="inlineStr">
        <is>
          <t>-</t>
        </is>
      </c>
      <c r="H13" s="156" t="n">
        <v>0.08397042619059181</v>
      </c>
      <c r="I13" s="141" t="n">
        <v>0.08093464945321872</v>
      </c>
      <c r="J13" s="141" t="inlineStr">
        <is>
          <t>-</t>
        </is>
      </c>
      <c r="K13" s="141" t="n">
        <v>0.1317660978046837</v>
      </c>
    </row>
    <row r="14">
      <c r="B14" t="inlineStr">
        <is>
          <t>Deposits / total assets</t>
        </is>
      </c>
      <c r="C14" s="156" t="inlineStr">
        <is>
          <t>-</t>
        </is>
      </c>
      <c r="D14" s="156" t="inlineStr">
        <is>
          <t>-</t>
        </is>
      </c>
      <c r="E14" s="156" t="inlineStr">
        <is>
          <t>-</t>
        </is>
      </c>
      <c r="F14" s="156" t="n">
        <v>1.172663787251405e-08</v>
      </c>
      <c r="G14" s="156" t="inlineStr">
        <is>
          <t>-</t>
        </is>
      </c>
      <c r="H14" s="156" t="n">
        <v>0.7891680158661719</v>
      </c>
      <c r="I14" s="141" t="n">
        <v>0.7851471732967132</v>
      </c>
      <c r="J14" s="141" t="inlineStr">
        <is>
          <t>-</t>
        </is>
      </c>
      <c r="K14" s="141" t="n">
        <v>0.7721132263861774</v>
      </c>
    </row>
    <row r="15">
      <c r="B15" t="inlineStr">
        <is>
          <t>Cash / total assets</t>
        </is>
      </c>
      <c r="C15" s="156" t="inlineStr">
        <is>
          <t>-</t>
        </is>
      </c>
      <c r="D15" s="156" t="n">
        <v>0.03360523583053954</v>
      </c>
      <c r="E15" s="156" t="n">
        <v>0.05117647157410322</v>
      </c>
      <c r="F15" s="156" t="n">
        <v>0.02894257886521499</v>
      </c>
      <c r="G15" s="156" t="n">
        <v>0.03496328406779472</v>
      </c>
      <c r="H15" s="156" t="n">
        <v>0.06158542891774841</v>
      </c>
      <c r="I15" s="141" t="n">
        <v>0.06013737192957627</v>
      </c>
      <c r="J15" s="141" t="n">
        <v>0.03113086523799138</v>
      </c>
      <c r="K15" s="141" t="n">
        <v>0.02629803202720662</v>
      </c>
    </row>
    <row r="16">
      <c r="B16" t="inlineStr">
        <is>
          <t>Gross income per employee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n">
        <v>30050.70456792565</v>
      </c>
      <c r="G16" s="16" t="inlineStr">
        <is>
          <t>-</t>
        </is>
      </c>
      <c r="H16" s="16" t="n">
        <v>54752.38117555165</v>
      </c>
      <c r="I16" s="143" t="inlineStr">
        <is>
          <t>-</t>
        </is>
      </c>
      <c r="J16" s="143" t="inlineStr">
        <is>
          <t>-</t>
        </is>
      </c>
      <c r="K16" s="143" t="inlineStr">
        <is>
          <t>-</t>
        </is>
      </c>
    </row>
    <row r="17">
      <c r="B17" t="inlineStr">
        <is>
          <t>Dividend payout</t>
        </is>
      </c>
      <c r="C17" s="16" t="inlineStr">
        <is>
          <t>-</t>
        </is>
      </c>
      <c r="D17" s="16" t="inlineStr">
        <is>
          <t>-</t>
        </is>
      </c>
      <c r="E17" s="16" t="inlineStr">
        <is>
          <t>-</t>
        </is>
      </c>
      <c r="F17" s="156" t="inlineStr">
        <is>
          <t>-</t>
        </is>
      </c>
      <c r="G17" s="156" t="inlineStr">
        <is>
          <t>-</t>
        </is>
      </c>
      <c r="H17" s="156" t="n">
        <v>0.2342529932326913</v>
      </c>
      <c r="I17" s="141" t="inlineStr">
        <is>
          <t>-</t>
        </is>
      </c>
      <c r="J17" s="141" t="inlineStr">
        <is>
          <t>-</t>
        </is>
      </c>
      <c r="K17" s="141" t="inlineStr">
        <is>
          <t>-</t>
        </is>
      </c>
    </row>
    <row r="18">
      <c r="B18" t="inlineStr">
        <is>
          <t>Gross income per service centre</t>
        </is>
      </c>
      <c r="C18" s="16" t="inlineStr">
        <is>
          <t>-</t>
        </is>
      </c>
      <c r="D18" s="16" t="inlineStr">
        <is>
          <t>-</t>
        </is>
      </c>
      <c r="E18" s="16" t="inlineStr">
        <is>
          <t>-</t>
        </is>
      </c>
      <c r="F18" s="16" t="n">
        <v>529499.6968641115</v>
      </c>
      <c r="G18" s="16" t="inlineStr">
        <is>
          <t>-</t>
        </is>
      </c>
      <c r="H18" s="16" t="n">
        <v>970197.0380622838</v>
      </c>
      <c r="I18" s="143" t="inlineStr">
        <is>
          <t>-</t>
        </is>
      </c>
      <c r="J18" s="143" t="inlineStr">
        <is>
          <t>-</t>
        </is>
      </c>
      <c r="K18" s="143" t="inlineStr">
        <is>
          <t>-</t>
        </is>
      </c>
    </row>
    <row r="19">
      <c r="B19" t="inlineStr">
        <is>
          <t>Net interest spread</t>
        </is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16" t="n">
        <v>-18.10168928586021</v>
      </c>
      <c r="G19" s="16" t="inlineStr">
        <is>
          <t>-</t>
        </is>
      </c>
      <c r="H19" s="16" t="n">
        <v>0.04512572687096386</v>
      </c>
      <c r="I19" s="143" t="n">
        <v>0.04264173324504845</v>
      </c>
      <c r="J19" s="143" t="inlineStr">
        <is>
          <t>-</t>
        </is>
      </c>
      <c r="K19" s="143" t="n">
        <v>-0.005317724163093673</v>
      </c>
    </row>
    <row r="20">
      <c r="B20" t="inlineStr">
        <is>
          <t>Gross income per service centre</t>
        </is>
      </c>
      <c r="C20" s="16">
        <f>FS!C6/FS!C88</f>
        <v/>
      </c>
      <c r="D20" s="16">
        <f>FS!D6/FS!D88</f>
        <v/>
      </c>
      <c r="E20" s="16">
        <f>FS!E6/FS!E88</f>
        <v/>
      </c>
      <c r="F20" s="16">
        <f>FS!F6/FS!F88</f>
        <v/>
      </c>
      <c r="G20" s="16">
        <f>FS!G6/FS!G88</f>
        <v/>
      </c>
      <c r="H20" s="16">
        <f>FS!H6/FS!H88</f>
        <v/>
      </c>
      <c r="I20" s="143">
        <f>FS!I6/FS!I88</f>
        <v/>
      </c>
      <c r="J20" s="143">
        <f>FS!J6/FS!J88</f>
        <v/>
      </c>
      <c r="K20" s="143">
        <f>FS!K6/FS!K88</f>
        <v/>
      </c>
    </row>
    <row r="22">
      <c r="B22" t="inlineStr">
        <is>
          <t>Net interest spread</t>
        </is>
      </c>
      <c r="C22" s="156" t="n"/>
      <c r="D22" s="156" t="n"/>
      <c r="E22" s="156" t="n"/>
      <c r="F22" s="156">
        <f>F3-F4</f>
        <v/>
      </c>
      <c r="G22" s="156">
        <f>G3-G4</f>
        <v/>
      </c>
      <c r="H22" s="156">
        <f>H3-H4</f>
        <v/>
      </c>
      <c r="I22" s="141">
        <f>I3-I4</f>
        <v/>
      </c>
      <c r="J22" s="141">
        <f>J3-J4</f>
        <v/>
      </c>
      <c r="K22" s="141">
        <f>K3-K4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2"/>
  <sheetViews>
    <sheetView workbookViewId="0">
      <selection activeCell="C26" sqref="C26"/>
    </sheetView>
  </sheetViews>
  <sheetFormatPr baseColWidth="8" defaultRowHeight="14.4"/>
  <cols>
    <col width="47.44140625" bestFit="1" customWidth="1" min="2" max="2"/>
    <col width="9.88671875" bestFit="1" customWidth="1" min="3" max="4"/>
    <col width="11.88671875" customWidth="1" min="5" max="5"/>
    <col width="12.109375" customWidth="1" min="6" max="6"/>
    <col width="9.88671875" bestFit="1" customWidth="1" min="7" max="8"/>
    <col width="10.5546875" bestFit="1" customWidth="1" min="9" max="9"/>
    <col width="9.88671875" bestFit="1" customWidth="1" min="10" max="10"/>
    <col width="10.88671875" bestFit="1" customWidth="1" min="12" max="12"/>
  </cols>
  <sheetData>
    <row r="1">
      <c r="C1" t="inlineStr">
        <is>
          <t>For the quarter ended</t>
        </is>
      </c>
    </row>
    <row r="2">
      <c r="C2" s="97" t="inlineStr">
        <is>
          <t>Mar 2017</t>
        </is>
      </c>
      <c r="D2" s="98" t="inlineStr">
        <is>
          <t>Jun 2017</t>
        </is>
      </c>
      <c r="E2" s="98" t="inlineStr">
        <is>
          <t>Sep 2017</t>
        </is>
      </c>
      <c r="F2" s="98" t="inlineStr">
        <is>
          <t>Dec 2017</t>
        </is>
      </c>
      <c r="G2" s="98" t="n">
        <v>44805</v>
      </c>
    </row>
    <row r="3">
      <c r="B3" t="inlineStr">
        <is>
          <t>Gross income</t>
        </is>
      </c>
      <c r="C3" s="38" t="n">
        <v>27243099</v>
      </c>
      <c r="D3" s="38" t="n">
        <v>55938093</v>
      </c>
      <c r="E3" s="38" t="n">
        <v>85476633</v>
      </c>
      <c r="F3" s="38" t="n">
        <v>116841755</v>
      </c>
      <c r="G3" s="38" t="n">
        <v>76055638</v>
      </c>
    </row>
    <row r="4">
      <c r="B4" t="inlineStr">
        <is>
          <t>Interest income</t>
        </is>
      </c>
      <c r="C4" s="38" t="n">
        <v>23931177</v>
      </c>
      <c r="D4" s="38" t="n">
        <v>49466361</v>
      </c>
      <c r="E4" s="38" t="n">
        <v>76424541</v>
      </c>
      <c r="F4" s="38" t="n">
        <v>104049102</v>
      </c>
      <c r="G4" s="38" t="n">
        <v>62139977</v>
      </c>
    </row>
    <row r="5">
      <c r="B5" t="inlineStr">
        <is>
          <t>Less : Interest expense</t>
        </is>
      </c>
      <c r="C5" s="38" t="n">
        <v>15144424</v>
      </c>
      <c r="D5" s="38" t="n">
        <v>31376625</v>
      </c>
      <c r="E5" s="38" t="n">
        <v>47780885</v>
      </c>
      <c r="F5" s="38" t="n">
        <v>64481804</v>
      </c>
      <c r="G5" s="38" t="n">
        <v>40038742</v>
      </c>
    </row>
    <row r="6">
      <c r="B6" t="inlineStr">
        <is>
          <t>Net interest income</t>
        </is>
      </c>
      <c r="C6" s="38" t="n">
        <v>8786753</v>
      </c>
      <c r="D6" s="38" t="n">
        <v>18089736</v>
      </c>
      <c r="E6" s="38" t="n">
        <v>28643656</v>
      </c>
      <c r="F6" s="38" t="n">
        <v>39567298</v>
      </c>
      <c r="G6" s="38" t="n">
        <v>22101235</v>
      </c>
    </row>
    <row r="7">
      <c r="B7" t="inlineStr">
        <is>
          <t>Fee and commission income</t>
        </is>
      </c>
      <c r="C7" s="38" t="inlineStr">
        <is>
          <t>-</t>
        </is>
      </c>
      <c r="D7" s="38" t="n">
        <v>4859671</v>
      </c>
      <c r="E7" s="38" t="n">
        <v>7496694</v>
      </c>
      <c r="F7" s="38" t="n">
        <v>10510800</v>
      </c>
      <c r="G7" s="38" t="n">
        <v>6447150</v>
      </c>
    </row>
    <row r="8">
      <c r="B8" t="inlineStr">
        <is>
          <t>Less: Fee and commission expense</t>
        </is>
      </c>
      <c r="C8" s="38" t="inlineStr">
        <is>
          <t>-</t>
        </is>
      </c>
      <c r="D8" s="38" t="n">
        <v>777261</v>
      </c>
      <c r="E8" s="38" t="n">
        <v>1178744</v>
      </c>
      <c r="F8" s="38" t="n">
        <v>1586334</v>
      </c>
      <c r="G8" s="38" t="n">
        <v>1411595</v>
      </c>
    </row>
    <row r="9">
      <c r="B9" t="inlineStr">
        <is>
          <t>Net fee and commission income</t>
        </is>
      </c>
      <c r="C9" s="38" t="inlineStr">
        <is>
          <t>-</t>
        </is>
      </c>
      <c r="D9" s="38" t="n">
        <v>4082410</v>
      </c>
      <c r="E9" s="38" t="n">
        <v>6317950</v>
      </c>
      <c r="F9" s="38" t="n">
        <v>8924466</v>
      </c>
      <c r="G9" s="38" t="n">
        <v>5035555</v>
      </c>
    </row>
    <row r="10">
      <c r="B10" t="inlineStr">
        <is>
          <t>Net gains/(losses) from trading</t>
        </is>
      </c>
      <c r="C10" s="38" t="n">
        <v>789108</v>
      </c>
      <c r="D10" s="38" t="n">
        <v>1271114</v>
      </c>
      <c r="E10" s="38" t="n">
        <v>350857</v>
      </c>
      <c r="F10" s="38" t="n">
        <v>233956</v>
      </c>
      <c r="G10" s="38" t="n">
        <v>2022197</v>
      </c>
    </row>
    <row r="11">
      <c r="B11" t="inlineStr">
        <is>
          <t>Net gains/(losses) from derecognition of financial assets</t>
        </is>
      </c>
      <c r="C11" s="38" t="inlineStr">
        <is>
          <t>-</t>
        </is>
      </c>
      <c r="D11" s="38" t="inlineStr">
        <is>
          <t>-</t>
        </is>
      </c>
      <c r="E11" s="38" t="inlineStr">
        <is>
          <t>-</t>
        </is>
      </c>
      <c r="F11" s="38" t="inlineStr">
        <is>
          <t>-</t>
        </is>
      </c>
      <c r="G11" s="38" t="n">
        <v>106832</v>
      </c>
    </row>
    <row r="12">
      <c r="B12" t="inlineStr">
        <is>
          <t>Net other operating income</t>
        </is>
      </c>
      <c r="C12" s="38" t="inlineStr">
        <is>
          <t>-</t>
        </is>
      </c>
      <c r="D12" s="38" t="inlineStr">
        <is>
          <t>-</t>
        </is>
      </c>
      <c r="E12" s="38" t="inlineStr">
        <is>
          <t>-</t>
        </is>
      </c>
      <c r="F12" s="38" t="inlineStr">
        <is>
          <t>-</t>
        </is>
      </c>
      <c r="G12" s="38" t="n">
        <v>5339482</v>
      </c>
    </row>
    <row r="13">
      <c r="B13" t="inlineStr">
        <is>
          <t>Total operating income</t>
        </is>
      </c>
      <c r="C13" s="38" t="n">
        <v>11693443</v>
      </c>
      <c r="D13" s="38" t="inlineStr">
        <is>
          <t>-</t>
        </is>
      </c>
      <c r="E13" s="38" t="n">
        <v>36517004</v>
      </c>
      <c r="F13" s="38" t="n">
        <v>50773617</v>
      </c>
      <c r="G13" s="38" t="n">
        <v>34605301</v>
      </c>
    </row>
    <row r="14">
      <c r="B14" t="inlineStr">
        <is>
          <t>Less : Impairment charges and other losses</t>
        </is>
      </c>
      <c r="C14" s="38" t="inlineStr">
        <is>
          <t>-</t>
        </is>
      </c>
      <c r="D14" s="38" t="inlineStr">
        <is>
          <t>-</t>
        </is>
      </c>
      <c r="E14" s="38" t="inlineStr">
        <is>
          <t>-</t>
        </is>
      </c>
      <c r="F14" s="38" t="inlineStr">
        <is>
          <t>-</t>
        </is>
      </c>
      <c r="G14" s="38" t="n">
        <v>17052988</v>
      </c>
    </row>
    <row r="15">
      <c r="B15" t="inlineStr">
        <is>
          <t>Net operating income</t>
        </is>
      </c>
      <c r="C15" s="38" t="n">
        <v>11441564</v>
      </c>
      <c r="D15" s="38" t="n">
        <v>22823634</v>
      </c>
      <c r="E15" s="38" t="n">
        <v>34897960</v>
      </c>
      <c r="F15" s="38" t="n">
        <v>48547703</v>
      </c>
      <c r="G15" s="38" t="n">
        <v>17552313</v>
      </c>
    </row>
    <row r="16">
      <c r="B16" t="inlineStr">
        <is>
          <t>Less: Expenses</t>
        </is>
      </c>
      <c r="C16" s="38" t="n">
        <v>5009500</v>
      </c>
      <c r="D16" s="38" t="n">
        <v>9937631</v>
      </c>
      <c r="E16" s="38" t="n">
        <v>14939808</v>
      </c>
      <c r="F16" s="38" t="n">
        <v>20374437</v>
      </c>
      <c r="G16" s="38" t="n">
        <v>7985228</v>
      </c>
    </row>
    <row r="17">
      <c r="B17" t="inlineStr">
        <is>
          <t>Personnel expenses</t>
        </is>
      </c>
      <c r="C17" s="38" t="n">
        <v>2727154</v>
      </c>
      <c r="D17" s="38" t="n">
        <v>5488192</v>
      </c>
      <c r="E17" s="38" t="n">
        <v>8380408</v>
      </c>
      <c r="F17" s="38" t="n">
        <v>11338517</v>
      </c>
      <c r="G17" s="38" t="n">
        <v>5055534</v>
      </c>
    </row>
    <row r="18">
      <c r="B18" t="inlineStr">
        <is>
          <t>Depreciation and amortisation</t>
        </is>
      </c>
      <c r="C18" s="38" t="n">
        <v>329807</v>
      </c>
      <c r="D18" s="38" t="n">
        <v>690052</v>
      </c>
      <c r="E18" s="38" t="n">
        <v>1044044</v>
      </c>
      <c r="F18" s="38" t="n">
        <v>1416927</v>
      </c>
      <c r="G18" s="38" t="n">
        <v>905454</v>
      </c>
    </row>
    <row r="19">
      <c r="B19" t="inlineStr">
        <is>
          <t>Other operating expenses</t>
        </is>
      </c>
      <c r="C19" s="38" t="inlineStr">
        <is>
          <t>-</t>
        </is>
      </c>
      <c r="D19" s="38" t="inlineStr">
        <is>
          <t>-</t>
        </is>
      </c>
      <c r="E19" s="38" t="inlineStr">
        <is>
          <t>-</t>
        </is>
      </c>
      <c r="F19" s="38" t="inlineStr">
        <is>
          <t>-</t>
        </is>
      </c>
      <c r="G19" s="38" t="n">
        <v>2024240</v>
      </c>
    </row>
    <row r="20">
      <c r="B20" t="inlineStr">
        <is>
          <t>Operating profit before Taxes on financial services</t>
        </is>
      </c>
      <c r="C20" s="38" t="inlineStr">
        <is>
          <t>-</t>
        </is>
      </c>
      <c r="D20" s="38" t="inlineStr">
        <is>
          <t>-</t>
        </is>
      </c>
      <c r="E20" s="38" t="inlineStr">
        <is>
          <t>-</t>
        </is>
      </c>
      <c r="F20" s="38" t="inlineStr">
        <is>
          <t>-</t>
        </is>
      </c>
      <c r="G20" s="38" t="n">
        <v>9567085</v>
      </c>
    </row>
    <row r="21">
      <c r="B21" t="inlineStr">
        <is>
          <t>Less: Taxes on financial services</t>
        </is>
      </c>
      <c r="C21" s="38" t="inlineStr">
        <is>
          <t>-</t>
        </is>
      </c>
      <c r="D21" s="38" t="inlineStr">
        <is>
          <t>-</t>
        </is>
      </c>
      <c r="E21" s="38" t="inlineStr">
        <is>
          <t>-</t>
        </is>
      </c>
      <c r="F21" s="38" t="inlineStr">
        <is>
          <t>-</t>
        </is>
      </c>
      <c r="G21" s="38" t="n">
        <v>907846</v>
      </c>
    </row>
    <row r="22">
      <c r="B22" t="inlineStr">
        <is>
          <t>Operating profit after Taxes on financial services</t>
        </is>
      </c>
      <c r="C22" s="38" t="inlineStr">
        <is>
          <t>-</t>
        </is>
      </c>
      <c r="D22" s="38" t="inlineStr">
        <is>
          <t>-</t>
        </is>
      </c>
      <c r="E22" s="38" t="inlineStr">
        <is>
          <t>-</t>
        </is>
      </c>
      <c r="F22" s="38" t="inlineStr">
        <is>
          <t>-</t>
        </is>
      </c>
      <c r="G22" s="38" t="n">
        <v>8659239</v>
      </c>
    </row>
    <row r="23">
      <c r="B23" t="inlineStr">
        <is>
          <t>Add/(less): Share of profit/(loss) of associate, net of tax</t>
        </is>
      </c>
      <c r="C23" s="38" t="inlineStr">
        <is>
          <t>-</t>
        </is>
      </c>
      <c r="D23" s="38" t="inlineStr">
        <is>
          <t>-</t>
        </is>
      </c>
      <c r="E23" s="38" t="inlineStr">
        <is>
          <t>-</t>
        </is>
      </c>
      <c r="F23" s="38" t="inlineStr">
        <is>
          <t>-</t>
        </is>
      </c>
      <c r="G23" s="38" t="n">
        <v>1220</v>
      </c>
    </row>
    <row r="24">
      <c r="B24" t="inlineStr">
        <is>
          <t>Profit before income tax</t>
        </is>
      </c>
      <c r="C24" s="38" t="n">
        <v>5306793</v>
      </c>
      <c r="D24" s="38" t="n">
        <v>10609103</v>
      </c>
      <c r="E24" s="38" t="n">
        <v>16406082</v>
      </c>
      <c r="F24" s="38" t="n">
        <v>23280324</v>
      </c>
      <c r="G24" s="38" t="n">
        <v>8660459</v>
      </c>
    </row>
    <row r="25">
      <c r="B25" t="inlineStr">
        <is>
          <t>Less : Income tax expense / (reversal)</t>
        </is>
      </c>
      <c r="C25" s="38" t="n">
        <v>1493057</v>
      </c>
      <c r="D25" s="38" t="n">
        <v>2954835</v>
      </c>
      <c r="E25" s="38" t="n">
        <v>4632201</v>
      </c>
      <c r="F25" s="38" t="n">
        <v>6653817</v>
      </c>
      <c r="G25" s="38" t="n">
        <v>2377804</v>
      </c>
    </row>
    <row r="26">
      <c r="B26" t="inlineStr">
        <is>
          <t>Profit for the period</t>
        </is>
      </c>
      <c r="C26" s="38" t="n">
        <v>3813736</v>
      </c>
      <c r="D26" s="38" t="n">
        <v>7654268</v>
      </c>
      <c r="E26" s="38" t="n">
        <v>11773881</v>
      </c>
      <c r="F26" s="38" t="n">
        <v>16626507</v>
      </c>
      <c r="G26" s="38" t="n">
        <v>6282655</v>
      </c>
    </row>
    <row r="27">
      <c r="B27" t="inlineStr">
        <is>
          <t>Profit attributable to: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</row>
    <row r="28">
      <c r="B28" t="inlineStr">
        <is>
          <t>Equity holders of the Bank</t>
        </is>
      </c>
      <c r="C28" s="38" t="n">
        <v>3819907</v>
      </c>
      <c r="D28" s="38" t="n">
        <v>7657744</v>
      </c>
      <c r="E28" s="38" t="n">
        <v>11769309</v>
      </c>
      <c r="F28" s="38" t="n">
        <v>16605963</v>
      </c>
      <c r="G28" s="38" t="n">
        <v>6095730</v>
      </c>
    </row>
    <row r="29">
      <c r="B29" t="inlineStr">
        <is>
          <t>Non-controlling interest</t>
        </is>
      </c>
      <c r="C29" s="38" t="n">
        <v>-6171</v>
      </c>
      <c r="D29" s="38" t="n">
        <v>-3476</v>
      </c>
      <c r="E29" s="38" t="n">
        <v>4572</v>
      </c>
      <c r="F29" s="38" t="n">
        <v>20544</v>
      </c>
      <c r="G29" s="38" t="n">
        <v>186925</v>
      </c>
    </row>
    <row r="30">
      <c r="B30" t="inlineStr">
        <is>
          <t>Profit for the period</t>
        </is>
      </c>
      <c r="C30" s="38" t="n">
        <v>3813736</v>
      </c>
      <c r="D30" s="38" t="n">
        <v>7654268</v>
      </c>
      <c r="E30" s="38" t="n">
        <v>11773881</v>
      </c>
      <c r="F30" s="38" t="n">
        <v>16626507</v>
      </c>
      <c r="G30" s="38" t="n">
        <v>6282655</v>
      </c>
    </row>
    <row r="31">
      <c r="B31" t="inlineStr">
        <is>
          <t>Earnings per share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</row>
    <row r="32">
      <c r="B32" t="inlineStr">
        <is>
          <t>Earnings per share</t>
        </is>
      </c>
      <c r="C32" t="n">
        <v>4.75</v>
      </c>
      <c r="D32" t="n">
        <v>2.86</v>
      </c>
      <c r="E32" t="n">
        <v>3.21</v>
      </c>
      <c r="F32" t="n">
        <v>7.08</v>
      </c>
      <c r="G32" t="n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Hansinee Beddage</dc:creator>
  <dcterms:created xsi:type="dcterms:W3CDTF">2023-09-14T04:39:27Z</dcterms:created>
  <dcterms:modified xsi:type="dcterms:W3CDTF">2026-06-23T03:07:49Z</dcterms:modified>
  <cp:lastModifiedBy>Hansinee Beddage</cp:lastModifiedBy>
  <cp:lastPrinted>2023-10-03T02:55:37Z</cp:lastPrinted>
</cp:coreProperties>
</file>